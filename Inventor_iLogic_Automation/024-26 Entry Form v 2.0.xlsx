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JOBS\2026\024-26 - Polynt - Water Tank\"/>
    </mc:Choice>
  </mc:AlternateContent>
  <xr:revisionPtr revIDLastSave="0" documentId="13_ncr:1_{807E1C4C-D338-4F65-B41B-240E1B3EFD32}" xr6:coauthVersionLast="47" xr6:coauthVersionMax="47" xr10:uidLastSave="{00000000-0000-0000-0000-000000000000}"/>
  <bookViews>
    <workbookView xWindow="-120" yWindow="-120" windowWidth="29040" windowHeight="15840" xr2:uid="{499AC0F3-4E20-4AA0-AE25-530AFC9A7ADA}"/>
  </bookViews>
  <sheets>
    <sheet name="Sheet1" sheetId="1" r:id="rId1"/>
    <sheet name="LIS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H22" i="1"/>
  <c r="C14" i="1"/>
  <c r="I44" i="1"/>
  <c r="I43" i="1"/>
  <c r="I42" i="1"/>
  <c r="I41" i="1"/>
  <c r="I40" i="1"/>
  <c r="C25" i="1"/>
  <c r="C18" i="1"/>
  <c r="I45" i="1" l="1"/>
</calcChain>
</file>

<file path=xl/sharedStrings.xml><?xml version="1.0" encoding="utf-8"?>
<sst xmlns="http://schemas.openxmlformats.org/spreadsheetml/2006/main" count="87" uniqueCount="62">
  <si>
    <t>NEW JOB ORDER NOTIFICATION</t>
  </si>
  <si>
    <t>CUSTOMER ID#</t>
  </si>
  <si>
    <t>JOB #</t>
  </si>
  <si>
    <t>DATE OF PO</t>
  </si>
  <si>
    <t>CUSTOMER NAME</t>
  </si>
  <si>
    <t>QUOTE #</t>
  </si>
  <si>
    <t>CUSTOMER PO#</t>
  </si>
  <si>
    <t>JOB DESCRIPTION</t>
  </si>
  <si>
    <t>CUSTOMER ADDRESS</t>
  </si>
  <si>
    <t>STREET OR PO BOX</t>
  </si>
  <si>
    <t>CITY, STATE ZIP</t>
  </si>
  <si>
    <t>OTHER</t>
  </si>
  <si>
    <t>COMMERCIAL CONTACT</t>
  </si>
  <si>
    <t>PRIMARY CONTACT NAME/PH #</t>
  </si>
  <si>
    <t>PRIMARY CONTACT EMAIL</t>
  </si>
  <si>
    <t>REFERENCE INFORMATION</t>
  </si>
  <si>
    <t>SHIPPING ADDRESS</t>
  </si>
  <si>
    <t>SHIPPING CONTACT</t>
  </si>
  <si>
    <t>INVOICE ADDRESS</t>
  </si>
  <si>
    <t>AP EMAIL ADDRESS</t>
  </si>
  <si>
    <t>PRICE</t>
  </si>
  <si>
    <t>VA$</t>
  </si>
  <si>
    <t>LABOR MAN HOURS</t>
  </si>
  <si>
    <t>VPH</t>
  </si>
  <si>
    <t>ESTIMATED SHIPPING DATE</t>
  </si>
  <si>
    <t>FREIGHT</t>
  </si>
  <si>
    <t>MILESTONE</t>
  </si>
  <si>
    <t>%</t>
  </si>
  <si>
    <t>NET DAYS</t>
  </si>
  <si>
    <t>AMOUNT</t>
  </si>
  <si>
    <t>EST. DATE</t>
  </si>
  <si>
    <t>PAYMENT              TERMS</t>
  </si>
  <si>
    <t>INVOICE CONTACT</t>
  </si>
  <si>
    <t>Included</t>
  </si>
  <si>
    <t>PrePay &amp; Add</t>
  </si>
  <si>
    <t>Collect</t>
  </si>
  <si>
    <t>Third Party</t>
  </si>
  <si>
    <t>ASME</t>
  </si>
  <si>
    <t>API 650</t>
  </si>
  <si>
    <t>30 days</t>
  </si>
  <si>
    <t xml:space="preserve">60 days </t>
  </si>
  <si>
    <t>90 days</t>
  </si>
  <si>
    <t>Upon completion of approval prints</t>
  </si>
  <si>
    <t>Upon receipt of major raw materials</t>
  </si>
  <si>
    <t>Balance upon tank completion</t>
  </si>
  <si>
    <t>Upon Delivery</t>
  </si>
  <si>
    <t>Upon PO issuance</t>
  </si>
  <si>
    <t>None</t>
  </si>
  <si>
    <t>ASME (no stamp)</t>
  </si>
  <si>
    <t xml:space="preserve">CODE </t>
  </si>
  <si>
    <t>Total</t>
  </si>
  <si>
    <t>Polynt Composites USA Inc.</t>
  </si>
  <si>
    <t>Bryan Croft</t>
  </si>
  <si>
    <t>bryan.croft@polynt.com</t>
  </si>
  <si>
    <t>024-26</t>
  </si>
  <si>
    <t>Water Tank</t>
  </si>
  <si>
    <t>100 East College Ave</t>
  </si>
  <si>
    <t>Carpentersville</t>
  </si>
  <si>
    <t>IL</t>
  </si>
  <si>
    <t>6350 Collins Road</t>
  </si>
  <si>
    <t>Morris</t>
  </si>
  <si>
    <t>accounts.payable@polynt.com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</si>
</sst>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m/d/yy;@"/>
    <numFmt numFmtId="166" formatCode="[&lt;=9999999]###\-####;\(###\)\ ###\-####"/>
  </numFmts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horizontal="right"/>
    </xf>
    <xf numFmtId="0" fontId="0" fillId="2" borderId="8" xfId="0" applyFill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/>
    <xf numFmtId="0" fontId="0" fillId="0" borderId="12" xfId="0" applyBorder="1" applyAlignment="1">
      <alignment horizontal="center"/>
    </xf>
    <xf numFmtId="0" fontId="0" fillId="2" borderId="4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3" fillId="0" borderId="0" xfId="0" applyFont="1"/>
    <xf numFmtId="165" fontId="0" fillId="0" borderId="4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5" fontId="0" fillId="2" borderId="13" xfId="0" applyNumberFormat="1" applyFill="1" applyBorder="1" applyAlignment="1">
      <alignment horizontal="left"/>
    </xf>
    <xf numFmtId="0" fontId="0" fillId="0" borderId="23" xfId="0" applyBorder="1"/>
    <xf numFmtId="164" fontId="0" fillId="0" borderId="24" xfId="0" applyNumberFormat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9" fontId="0" fillId="0" borderId="12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1" fontId="0" fillId="2" borderId="7" xfId="0" applyNumberFormat="1" applyFill="1" applyBorder="1" applyAlignment="1">
      <alignment horizontal="left"/>
    </xf>
    <xf numFmtId="1" fontId="0" fillId="2" borderId="14" xfId="0" applyNumberFormat="1" applyFill="1" applyBorder="1" applyAlignment="1">
      <alignment horizontal="left"/>
    </xf>
    <xf numFmtId="0" fontId="0" fillId="0" borderId="9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left"/>
    </xf>
    <xf numFmtId="0" fontId="0" fillId="2" borderId="15" xfId="0" applyFill="1" applyBorder="1" applyAlignment="1">
      <alignment horizontal="left"/>
    </xf>
    <xf numFmtId="0" fontId="2" fillId="0" borderId="9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2" borderId="10" xfId="0" applyFill="1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12" xfId="0" applyFill="1" applyBorder="1" applyAlignment="1">
      <alignment horizontal="left"/>
    </xf>
    <xf numFmtId="0" fontId="0" fillId="2" borderId="13" xfId="0" applyFill="1" applyBorder="1" applyAlignment="1">
      <alignment horizontal="left"/>
    </xf>
    <xf numFmtId="0" fontId="4" fillId="2" borderId="12" xfId="1" applyFill="1" applyBorder="1" applyAlignment="1">
      <alignment horizontal="left"/>
    </xf>
    <xf numFmtId="0" fontId="0" fillId="2" borderId="21" xfId="0" applyFill="1" applyBorder="1" applyAlignment="1">
      <alignment horizontal="left"/>
    </xf>
    <xf numFmtId="166" fontId="0" fillId="2" borderId="15" xfId="0" applyNumberFormat="1" applyFill="1" applyBorder="1" applyAlignment="1">
      <alignment horizontal="left"/>
    </xf>
    <xf numFmtId="166" fontId="0" fillId="2" borderId="22" xfId="0" applyNumberFormat="1" applyFill="1" applyBorder="1" applyAlignment="1">
      <alignment horizontal="left"/>
    </xf>
    <xf numFmtId="164" fontId="0" fillId="2" borderId="11" xfId="0" applyNumberFormat="1" applyFill="1" applyBorder="1" applyAlignment="1">
      <alignment horizontal="center"/>
    </xf>
    <xf numFmtId="164" fontId="0" fillId="2" borderId="13" xfId="0" applyNumberForma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65" fontId="0" fillId="2" borderId="11" xfId="0" applyNumberFormat="1" applyFill="1" applyBorder="1" applyAlignment="1">
      <alignment horizontal="center"/>
    </xf>
    <xf numFmtId="165" fontId="0" fillId="2" borderId="13" xfId="0" applyNumberForma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 vertical="center" textRotation="90" wrapText="1"/>
    </xf>
    <xf numFmtId="0" fontId="0" fillId="0" borderId="9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8</xdr:col>
      <xdr:colOff>1066800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398462-5748-9546-C9D2-472164ABF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6610349" cy="7524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ccounts.payable@polynt.com" TargetMode="External"/><Relationship Id="rId1" Type="http://schemas.openxmlformats.org/officeDocument/2006/relationships/hyperlink" Target="mailto:bryan.croft@polynt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DDE01-1391-4C47-9D9D-15C511237D97}">
  <dimension ref="A4:I45"/>
  <sheetViews>
    <sheetView tabSelected="1" view="pageLayout" topLeftCell="A20" zoomScaleNormal="100" workbookViewId="0">
      <selection activeCell="H28" sqref="H28:I28"/>
    </sheetView>
  </sheetViews>
  <sheetFormatPr defaultRowHeight="15" x14ac:dyDescent="0.25"/>
  <cols>
    <col min="2" max="2" width="13.140625" customWidth="1"/>
    <col min="9" max="9" width="15.42578125" customWidth="1"/>
  </cols>
  <sheetData>
    <row r="4" spans="1:9" ht="15.75" thickBot="1" x14ac:dyDescent="0.3"/>
    <row r="5" spans="1:9" x14ac:dyDescent="0.25">
      <c r="A5" s="21" t="s">
        <v>0</v>
      </c>
      <c r="B5" s="22"/>
      <c r="C5" s="22"/>
      <c r="D5" s="22"/>
      <c r="E5" s="22"/>
      <c r="F5" s="22"/>
      <c r="G5" s="22"/>
      <c r="H5" s="22"/>
      <c r="I5" s="23"/>
    </row>
    <row r="6" spans="1:9" ht="15.75" thickBot="1" x14ac:dyDescent="0.3">
      <c r="A6" s="24"/>
      <c r="B6" s="25"/>
      <c r="C6" s="25"/>
      <c r="D6" s="25"/>
      <c r="E6" s="25"/>
      <c r="F6" s="25"/>
      <c r="G6" s="25"/>
      <c r="H6" s="25"/>
      <c r="I6" s="26"/>
    </row>
    <row r="7" spans="1:9" x14ac:dyDescent="0.25">
      <c r="A7" s="27" t="s">
        <v>1</v>
      </c>
      <c r="B7" s="28"/>
      <c r="C7" s="29"/>
      <c r="D7" s="29"/>
      <c r="E7" s="29"/>
      <c r="F7" s="30"/>
      <c r="G7" s="27" t="s">
        <v>2</v>
      </c>
      <c r="H7" s="28"/>
      <c r="I7" s="2" t="s">
        <v>54</v>
      </c>
    </row>
    <row r="8" spans="1:9" x14ac:dyDescent="0.25">
      <c r="A8" s="31" t="s">
        <v>4</v>
      </c>
      <c r="B8" s="32"/>
      <c r="C8" s="33" t="s">
        <v>51</v>
      </c>
      <c r="D8" s="33"/>
      <c r="E8" s="33"/>
      <c r="F8" s="34"/>
      <c r="G8" s="31" t="s">
        <v>6</v>
      </c>
      <c r="H8" s="32"/>
      <c r="I8" s="10">
        <v>4500688953</v>
      </c>
    </row>
    <row r="9" spans="1:9" ht="15.75" thickBot="1" x14ac:dyDescent="0.3">
      <c r="A9" s="35" t="s">
        <v>13</v>
      </c>
      <c r="B9" s="36"/>
      <c r="C9" s="34" t="s">
        <v>52</v>
      </c>
      <c r="D9" s="46"/>
      <c r="E9" s="47">
        <v>7793429890</v>
      </c>
      <c r="F9" s="48"/>
      <c r="G9" s="37" t="s">
        <v>3</v>
      </c>
      <c r="H9" s="38"/>
      <c r="I9" s="16">
        <v>46078</v>
      </c>
    </row>
    <row r="10" spans="1:9" ht="15.75" thickBot="1" x14ac:dyDescent="0.3">
      <c r="A10" s="37" t="s">
        <v>14</v>
      </c>
      <c r="B10" s="38"/>
      <c r="C10" s="45" t="s">
        <v>53</v>
      </c>
      <c r="D10" s="43"/>
      <c r="E10" s="43"/>
      <c r="F10" s="44"/>
      <c r="G10" s="1"/>
      <c r="H10" s="1"/>
    </row>
    <row r="11" spans="1:9" ht="15.75" thickBot="1" x14ac:dyDescent="0.3">
      <c r="A11" s="1"/>
      <c r="B11" s="1"/>
      <c r="C11" s="3"/>
      <c r="D11" s="3"/>
      <c r="E11" s="3"/>
      <c r="F11" s="3"/>
      <c r="G11" s="1"/>
      <c r="H11" s="1"/>
    </row>
    <row r="12" spans="1:9" x14ac:dyDescent="0.25">
      <c r="A12" s="40" t="s">
        <v>15</v>
      </c>
      <c r="B12" s="41"/>
      <c r="C12" s="41"/>
      <c r="D12" s="41"/>
      <c r="E12" s="41"/>
      <c r="F12" s="42"/>
      <c r="G12" s="7"/>
      <c r="H12" s="40" t="s">
        <v>20</v>
      </c>
      <c r="I12" s="42"/>
    </row>
    <row r="13" spans="1:9" ht="15.75" thickBot="1" x14ac:dyDescent="0.3">
      <c r="A13" s="31" t="s">
        <v>5</v>
      </c>
      <c r="B13" s="32"/>
      <c r="C13" s="33">
        <v>9434</v>
      </c>
      <c r="D13" s="33"/>
      <c r="E13" s="33"/>
      <c r="F13" s="39"/>
      <c r="H13" s="49">
        <v>19500</v>
      </c>
      <c r="I13" s="50"/>
    </row>
    <row r="14" spans="1:9" ht="15.75" thickBot="1" x14ac:dyDescent="0.3">
      <c r="A14" s="31" t="s">
        <v>2</v>
      </c>
      <c r="B14" s="32"/>
      <c r="C14" s="33" t="str">
        <f>I7</f>
        <v>024-26</v>
      </c>
      <c r="D14" s="33"/>
      <c r="E14" s="33"/>
      <c r="F14" s="39"/>
    </row>
    <row r="15" spans="1:9" ht="15.75" thickBot="1" x14ac:dyDescent="0.3">
      <c r="A15" s="37" t="s">
        <v>7</v>
      </c>
      <c r="B15" s="38"/>
      <c r="C15" s="43" t="s">
        <v>55</v>
      </c>
      <c r="D15" s="43"/>
      <c r="E15" s="43"/>
      <c r="F15" s="44"/>
      <c r="H15" s="40" t="s">
        <v>21</v>
      </c>
      <c r="I15" s="42"/>
    </row>
    <row r="16" spans="1:9" ht="15.75" thickBot="1" x14ac:dyDescent="0.3">
      <c r="H16" s="49">
        <v>14935</v>
      </c>
      <c r="I16" s="50"/>
    </row>
    <row r="17" spans="1:9" ht="15.75" thickBot="1" x14ac:dyDescent="0.3">
      <c r="A17" s="40" t="s">
        <v>8</v>
      </c>
      <c r="B17" s="41"/>
      <c r="C17" s="41"/>
      <c r="D17" s="41"/>
      <c r="E17" s="41"/>
      <c r="F17" s="42"/>
    </row>
    <row r="18" spans="1:9" x14ac:dyDescent="0.25">
      <c r="A18" s="31" t="s">
        <v>4</v>
      </c>
      <c r="B18" s="32"/>
      <c r="C18" s="33" t="str">
        <f>IF($C$8="","",$C$8)</f>
        <v>Polynt Composites USA Inc.</v>
      </c>
      <c r="D18" s="33"/>
      <c r="E18" s="33"/>
      <c r="F18" s="39"/>
      <c r="H18" s="40" t="s">
        <v>22</v>
      </c>
      <c r="I18" s="42"/>
    </row>
    <row r="19" spans="1:9" ht="15.75" thickBot="1" x14ac:dyDescent="0.3">
      <c r="A19" s="31" t="s">
        <v>9</v>
      </c>
      <c r="B19" s="32"/>
      <c r="C19" s="33" t="s">
        <v>56</v>
      </c>
      <c r="D19" s="33"/>
      <c r="E19" s="33"/>
      <c r="F19" s="39"/>
      <c r="H19" s="53">
        <v>93</v>
      </c>
      <c r="I19" s="54"/>
    </row>
    <row r="20" spans="1:9" ht="15.75" thickBot="1" x14ac:dyDescent="0.3">
      <c r="A20" s="31" t="s">
        <v>10</v>
      </c>
      <c r="B20" s="32"/>
      <c r="C20" s="33" t="s">
        <v>57</v>
      </c>
      <c r="D20" s="33"/>
      <c r="E20" s="9" t="s">
        <v>58</v>
      </c>
      <c r="F20" s="10">
        <v>60110</v>
      </c>
    </row>
    <row r="21" spans="1:9" x14ac:dyDescent="0.25">
      <c r="A21" s="31" t="s">
        <v>11</v>
      </c>
      <c r="B21" s="32"/>
      <c r="C21" s="33"/>
      <c r="D21" s="33"/>
      <c r="E21" s="33"/>
      <c r="F21" s="39"/>
      <c r="H21" s="40" t="s">
        <v>23</v>
      </c>
      <c r="I21" s="42"/>
    </row>
    <row r="22" spans="1:9" ht="15.75" thickBot="1" x14ac:dyDescent="0.3">
      <c r="A22" s="37" t="s">
        <v>12</v>
      </c>
      <c r="B22" s="38"/>
      <c r="C22" s="34" t="s">
        <v>52</v>
      </c>
      <c r="D22" s="46"/>
      <c r="E22" s="47">
        <v>7793429890</v>
      </c>
      <c r="F22" s="48"/>
      <c r="H22" s="55">
        <f>H16/H19</f>
        <v>160.59139784946237</v>
      </c>
      <c r="I22" s="56"/>
    </row>
    <row r="23" spans="1:9" ht="15.75" thickBot="1" x14ac:dyDescent="0.3"/>
    <row r="24" spans="1:9" x14ac:dyDescent="0.25">
      <c r="A24" s="40" t="s">
        <v>16</v>
      </c>
      <c r="B24" s="41"/>
      <c r="C24" s="41"/>
      <c r="D24" s="41"/>
      <c r="E24" s="41"/>
      <c r="F24" s="42"/>
      <c r="H24" s="40" t="s">
        <v>24</v>
      </c>
      <c r="I24" s="42"/>
    </row>
    <row r="25" spans="1:9" ht="15.75" thickBot="1" x14ac:dyDescent="0.3">
      <c r="A25" s="31" t="s">
        <v>4</v>
      </c>
      <c r="B25" s="32"/>
      <c r="C25" s="33" t="str">
        <f>IF($C$8="","",$C$8)</f>
        <v>Polynt Composites USA Inc.</v>
      </c>
      <c r="D25" s="33"/>
      <c r="E25" s="33"/>
      <c r="F25" s="39"/>
      <c r="H25" s="57">
        <v>46228</v>
      </c>
      <c r="I25" s="58"/>
    </row>
    <row r="26" spans="1:9" ht="15.75" thickBot="1" x14ac:dyDescent="0.3">
      <c r="A26" s="31" t="s">
        <v>9</v>
      </c>
      <c r="B26" s="32"/>
      <c r="C26" s="33" t="s">
        <v>59</v>
      </c>
      <c r="D26" s="33"/>
      <c r="E26" s="33"/>
      <c r="F26" s="39"/>
    </row>
    <row r="27" spans="1:9" x14ac:dyDescent="0.25">
      <c r="A27" s="31" t="s">
        <v>10</v>
      </c>
      <c r="B27" s="32"/>
      <c r="C27" s="33" t="s">
        <v>60</v>
      </c>
      <c r="D27" s="33"/>
      <c r="E27" s="9" t="s">
        <v>58</v>
      </c>
      <c r="F27" s="10">
        <v>60450</v>
      </c>
      <c r="H27" s="59" t="s">
        <v>49</v>
      </c>
      <c r="I27" s="60"/>
    </row>
    <row r="28" spans="1:9" ht="15.75" thickBot="1" x14ac:dyDescent="0.3">
      <c r="A28" s="31" t="s">
        <v>11</v>
      </c>
      <c r="B28" s="32"/>
      <c r="C28" s="33"/>
      <c r="D28" s="33"/>
      <c r="E28" s="33"/>
      <c r="F28" s="39"/>
      <c r="H28" s="51" t="s">
        <v>37</v>
      </c>
      <c r="I28" s="52"/>
    </row>
    <row r="29" spans="1:9" ht="15.75" thickBot="1" x14ac:dyDescent="0.3">
      <c r="A29" s="37" t="s">
        <v>17</v>
      </c>
      <c r="B29" s="38"/>
      <c r="C29" s="34" t="s">
        <v>52</v>
      </c>
      <c r="D29" s="46"/>
      <c r="E29" s="47">
        <v>7793429890</v>
      </c>
      <c r="F29" s="48"/>
    </row>
    <row r="30" spans="1:9" ht="15.75" thickBot="1" x14ac:dyDescent="0.3">
      <c r="H30" s="59" t="s">
        <v>25</v>
      </c>
      <c r="I30" s="60"/>
    </row>
    <row r="31" spans="1:9" ht="15.75" thickBot="1" x14ac:dyDescent="0.3">
      <c r="A31" s="40" t="s">
        <v>18</v>
      </c>
      <c r="B31" s="41"/>
      <c r="C31" s="41"/>
      <c r="D31" s="41"/>
      <c r="E31" s="41"/>
      <c r="F31" s="42"/>
      <c r="H31" s="51" t="s">
        <v>34</v>
      </c>
      <c r="I31" s="52"/>
    </row>
    <row r="32" spans="1:9" x14ac:dyDescent="0.25">
      <c r="A32" s="31" t="s">
        <v>4</v>
      </c>
      <c r="B32" s="32"/>
      <c r="C32" s="33" t="str">
        <f>IF($C$8="","",$C$8)</f>
        <v>Polynt Composites USA Inc.</v>
      </c>
      <c r="D32" s="33"/>
      <c r="E32" s="33"/>
      <c r="F32" s="39"/>
    </row>
    <row r="33" spans="1:9" x14ac:dyDescent="0.25">
      <c r="A33" s="31" t="s">
        <v>9</v>
      </c>
      <c r="B33" s="32"/>
      <c r="C33" s="33" t="s">
        <v>56</v>
      </c>
      <c r="D33" s="33"/>
      <c r="E33" s="33"/>
      <c r="F33" s="39"/>
    </row>
    <row r="34" spans="1:9" x14ac:dyDescent="0.25">
      <c r="A34" s="31" t="s">
        <v>10</v>
      </c>
      <c r="B34" s="32"/>
      <c r="C34" s="33" t="s">
        <v>57</v>
      </c>
      <c r="D34" s="33"/>
      <c r="E34" s="9" t="s">
        <v>58</v>
      </c>
      <c r="F34" s="10">
        <v>60110</v>
      </c>
    </row>
    <row r="35" spans="1:9" x14ac:dyDescent="0.25">
      <c r="A35" s="31" t="s">
        <v>11</v>
      </c>
      <c r="B35" s="32"/>
      <c r="C35" s="33"/>
      <c r="D35" s="33"/>
      <c r="E35" s="33"/>
      <c r="F35" s="39"/>
    </row>
    <row r="36" spans="1:9" x14ac:dyDescent="0.25">
      <c r="A36" s="31" t="s">
        <v>32</v>
      </c>
      <c r="B36" s="32"/>
      <c r="C36" s="34" t="s">
        <v>52</v>
      </c>
      <c r="D36" s="46"/>
      <c r="E36" s="47">
        <v>7793429890</v>
      </c>
      <c r="F36" s="48"/>
    </row>
    <row r="37" spans="1:9" ht="15.75" thickBot="1" x14ac:dyDescent="0.3">
      <c r="A37" s="37" t="s">
        <v>19</v>
      </c>
      <c r="B37" s="38"/>
      <c r="C37" s="45" t="s">
        <v>61</v>
      </c>
      <c r="D37" s="43"/>
      <c r="E37" s="43"/>
      <c r="F37" s="44"/>
    </row>
    <row r="38" spans="1:9" ht="15.75" thickBot="1" x14ac:dyDescent="0.3"/>
    <row r="39" spans="1:9" x14ac:dyDescent="0.25">
      <c r="A39" s="63" t="s">
        <v>31</v>
      </c>
      <c r="B39" s="41" t="s">
        <v>26</v>
      </c>
      <c r="C39" s="41"/>
      <c r="D39" s="41"/>
      <c r="E39" s="41"/>
      <c r="F39" s="5" t="s">
        <v>27</v>
      </c>
      <c r="G39" s="5" t="s">
        <v>28</v>
      </c>
      <c r="H39" s="5" t="s">
        <v>30</v>
      </c>
      <c r="I39" s="6" t="s">
        <v>29</v>
      </c>
    </row>
    <row r="40" spans="1:9" x14ac:dyDescent="0.25">
      <c r="A40" s="64"/>
      <c r="B40" s="61" t="s">
        <v>42</v>
      </c>
      <c r="C40" s="61"/>
      <c r="D40" s="61"/>
      <c r="E40" s="61"/>
      <c r="F40" s="19">
        <v>0.1</v>
      </c>
      <c r="G40" s="4" t="s">
        <v>39</v>
      </c>
      <c r="H40" s="12">
        <v>46106</v>
      </c>
      <c r="I40" s="14">
        <f>F40*$H$13</f>
        <v>1950</v>
      </c>
    </row>
    <row r="41" spans="1:9" x14ac:dyDescent="0.25">
      <c r="A41" s="64"/>
      <c r="B41" s="61" t="s">
        <v>43</v>
      </c>
      <c r="C41" s="61"/>
      <c r="D41" s="61"/>
      <c r="E41" s="61"/>
      <c r="F41" s="19">
        <v>0.5</v>
      </c>
      <c r="G41" s="4" t="s">
        <v>39</v>
      </c>
      <c r="H41" s="12">
        <v>46147</v>
      </c>
      <c r="I41" s="14">
        <f t="shared" ref="I41:I44" si="0">F41*$H$13</f>
        <v>9750</v>
      </c>
    </row>
    <row r="42" spans="1:9" x14ac:dyDescent="0.25">
      <c r="A42" s="64"/>
      <c r="B42" s="61" t="s">
        <v>44</v>
      </c>
      <c r="C42" s="61"/>
      <c r="D42" s="61"/>
      <c r="E42" s="61"/>
      <c r="F42" s="19">
        <v>0.4</v>
      </c>
      <c r="G42" s="4" t="s">
        <v>39</v>
      </c>
      <c r="H42" s="12">
        <v>46228</v>
      </c>
      <c r="I42" s="14">
        <f t="shared" si="0"/>
        <v>7800</v>
      </c>
    </row>
    <row r="43" spans="1:9" x14ac:dyDescent="0.25">
      <c r="A43" s="64"/>
      <c r="B43" s="61"/>
      <c r="C43" s="61"/>
      <c r="D43" s="61"/>
      <c r="E43" s="61"/>
      <c r="F43" s="19"/>
      <c r="G43" s="4"/>
      <c r="H43" s="12"/>
      <c r="I43" s="14">
        <f t="shared" si="0"/>
        <v>0</v>
      </c>
    </row>
    <row r="44" spans="1:9" ht="15.75" thickBot="1" x14ac:dyDescent="0.3">
      <c r="A44" s="65"/>
      <c r="B44" s="62"/>
      <c r="C44" s="62"/>
      <c r="D44" s="62"/>
      <c r="E44" s="62"/>
      <c r="F44" s="20"/>
      <c r="G44" s="8"/>
      <c r="H44" s="13"/>
      <c r="I44" s="15">
        <f t="shared" si="0"/>
        <v>0</v>
      </c>
    </row>
    <row r="45" spans="1:9" ht="15.75" thickBot="1" x14ac:dyDescent="0.3">
      <c r="H45" s="17" t="s">
        <v>50</v>
      </c>
      <c r="I45" s="18">
        <f>SUM(I40:I44)</f>
        <v>19500</v>
      </c>
    </row>
  </sheetData>
  <mergeCells count="79">
    <mergeCell ref="H12:I12"/>
    <mergeCell ref="A33:B33"/>
    <mergeCell ref="B43:E43"/>
    <mergeCell ref="B44:E44"/>
    <mergeCell ref="A39:A44"/>
    <mergeCell ref="H30:I30"/>
    <mergeCell ref="H31:I31"/>
    <mergeCell ref="B40:E40"/>
    <mergeCell ref="B41:E41"/>
    <mergeCell ref="B42:E42"/>
    <mergeCell ref="A34:B34"/>
    <mergeCell ref="A35:B35"/>
    <mergeCell ref="C35:F35"/>
    <mergeCell ref="C36:D36"/>
    <mergeCell ref="E36:F36"/>
    <mergeCell ref="C33:F33"/>
    <mergeCell ref="H28:I28"/>
    <mergeCell ref="B39:E39"/>
    <mergeCell ref="H19:I19"/>
    <mergeCell ref="H21:I21"/>
    <mergeCell ref="H22:I22"/>
    <mergeCell ref="H24:I24"/>
    <mergeCell ref="H25:I25"/>
    <mergeCell ref="H27:I27"/>
    <mergeCell ref="A36:B36"/>
    <mergeCell ref="A37:B37"/>
    <mergeCell ref="C37:F37"/>
    <mergeCell ref="C34:D34"/>
    <mergeCell ref="A28:B28"/>
    <mergeCell ref="C28:F28"/>
    <mergeCell ref="A29:B29"/>
    <mergeCell ref="A31:F31"/>
    <mergeCell ref="A32:B32"/>
    <mergeCell ref="C32:F32"/>
    <mergeCell ref="C29:D29"/>
    <mergeCell ref="E29:F29"/>
    <mergeCell ref="A27:B27"/>
    <mergeCell ref="C27:D27"/>
    <mergeCell ref="H13:I13"/>
    <mergeCell ref="H15:I15"/>
    <mergeCell ref="H16:I16"/>
    <mergeCell ref="H18:I18"/>
    <mergeCell ref="A19:B19"/>
    <mergeCell ref="C19:F19"/>
    <mergeCell ref="A26:B26"/>
    <mergeCell ref="C26:F26"/>
    <mergeCell ref="A21:B21"/>
    <mergeCell ref="C21:F21"/>
    <mergeCell ref="C20:D20"/>
    <mergeCell ref="A24:F24"/>
    <mergeCell ref="A25:B25"/>
    <mergeCell ref="C25:F25"/>
    <mergeCell ref="C22:D22"/>
    <mergeCell ref="E22:F22"/>
    <mergeCell ref="A22:B22"/>
    <mergeCell ref="A20:B20"/>
    <mergeCell ref="A9:B9"/>
    <mergeCell ref="G9:H9"/>
    <mergeCell ref="A18:B18"/>
    <mergeCell ref="C18:F18"/>
    <mergeCell ref="A17:F17"/>
    <mergeCell ref="A13:B13"/>
    <mergeCell ref="C13:F13"/>
    <mergeCell ref="A14:B14"/>
    <mergeCell ref="C14:F14"/>
    <mergeCell ref="A15:B15"/>
    <mergeCell ref="C15:F15"/>
    <mergeCell ref="A10:B10"/>
    <mergeCell ref="C10:F10"/>
    <mergeCell ref="A12:F12"/>
    <mergeCell ref="C9:D9"/>
    <mergeCell ref="E9:F9"/>
    <mergeCell ref="A5:I6"/>
    <mergeCell ref="A7:B7"/>
    <mergeCell ref="C7:F7"/>
    <mergeCell ref="G7:H7"/>
    <mergeCell ref="G8:H8"/>
    <mergeCell ref="A8:B8"/>
    <mergeCell ref="C8:F8"/>
  </mergeCells>
  <hyperlinks>
    <hyperlink ref="C10" r:id="rId1" xr:uid="{2C5AC5CE-2B65-420D-98F6-65E1991D5B23}"/>
    <hyperlink ref="C37" r:id="rId2" xr:uid="{603F21E7-E196-42E2-8B1F-498EBA39A9EF}"/>
  </hyperlinks>
  <printOptions horizontalCentered="1" verticalCentered="1"/>
  <pageMargins left="0.6" right="0.5" top="0.75" bottom="0.75" header="0.3" footer="0.3"/>
  <pageSetup orientation="portrait" r:id="rId3"/>
  <drawing r:id="rId4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DF1DA3E-A2A8-41D2-88F5-125CAA4619D5}">
          <x14:formula1>
            <xm:f>LISTS!$F$8:$F$12</xm:f>
          </x14:formula1>
          <xm:sqref>B40:E44</xm:sqref>
        </x14:dataValidation>
        <x14:dataValidation type="list" allowBlank="1" showInputMessage="1" showErrorMessage="1" xr:uid="{64648F9C-DE07-4434-B309-8D666ECB5176}">
          <x14:formula1>
            <xm:f>LISTS!$J$8:$J$27</xm:f>
          </x14:formula1>
          <xm:sqref>F40:F44</xm:sqref>
        </x14:dataValidation>
        <x14:dataValidation type="list" allowBlank="1" showInputMessage="1" showErrorMessage="1" xr:uid="{5199BA0B-494E-4CB5-9FE7-17D2422BB123}">
          <x14:formula1>
            <xm:f>LISTS!$H$8:$H$10</xm:f>
          </x14:formula1>
          <xm:sqref>G40:G44</xm:sqref>
        </x14:dataValidation>
        <x14:dataValidation type="list" allowBlank="1" showInputMessage="1" showErrorMessage="1" xr:uid="{741E5538-7A8D-4F8A-B478-4EA236E4C056}">
          <x14:formula1>
            <xm:f>LISTS!$B$8:$B$11</xm:f>
          </x14:formula1>
          <xm:sqref>H31:I31</xm:sqref>
        </x14:dataValidation>
        <x14:dataValidation type="list" allowBlank="1" showInputMessage="1" showErrorMessage="1" xr:uid="{B879F4E0-7576-4CC0-9E1C-1EFE6BCBC4B4}">
          <x14:formula1>
            <xm:f>LISTS!$D$8:$D$11</xm:f>
          </x14:formula1>
          <xm:sqref>H28:I28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9160F-698A-4CEC-9E73-B7C1AEA390BB}">
  <dimension ref="B8:J27"/>
  <sheetViews>
    <sheetView topLeftCell="A7" workbookViewId="0">
      <selection activeCell="J8" sqref="J8:J27"/>
    </sheetView>
  </sheetViews>
  <sheetFormatPr defaultRowHeight="15" x14ac:dyDescent="0.25"/>
  <cols>
    <col min="6" max="6" width="49.140625" bestFit="1" customWidth="1"/>
  </cols>
  <sheetData>
    <row r="8" spans="2:10" x14ac:dyDescent="0.25">
      <c r="B8" t="s">
        <v>33</v>
      </c>
      <c r="D8" s="11" t="s">
        <v>37</v>
      </c>
      <c r="F8" t="s">
        <v>42</v>
      </c>
      <c r="H8" t="s">
        <v>39</v>
      </c>
      <c r="J8">
        <v>0.05</v>
      </c>
    </row>
    <row r="9" spans="2:10" x14ac:dyDescent="0.25">
      <c r="B9" t="s">
        <v>34</v>
      </c>
      <c r="D9" s="11" t="s">
        <v>48</v>
      </c>
      <c r="F9" t="s">
        <v>43</v>
      </c>
      <c r="H9" t="s">
        <v>40</v>
      </c>
      <c r="J9">
        <v>0.1</v>
      </c>
    </row>
    <row r="10" spans="2:10" x14ac:dyDescent="0.25">
      <c r="B10" t="s">
        <v>35</v>
      </c>
      <c r="D10" s="11" t="s">
        <v>38</v>
      </c>
      <c r="F10" t="s">
        <v>44</v>
      </c>
      <c r="H10" t="s">
        <v>41</v>
      </c>
      <c r="J10">
        <v>0.15</v>
      </c>
    </row>
    <row r="11" spans="2:10" x14ac:dyDescent="0.25">
      <c r="B11" t="s">
        <v>36</v>
      </c>
      <c r="D11" s="11" t="s">
        <v>47</v>
      </c>
      <c r="F11" t="s">
        <v>45</v>
      </c>
      <c r="J11">
        <v>0.2</v>
      </c>
    </row>
    <row r="12" spans="2:10" x14ac:dyDescent="0.25">
      <c r="F12" t="s">
        <v>46</v>
      </c>
      <c r="J12">
        <v>0.25</v>
      </c>
    </row>
    <row r="13" spans="2:10" x14ac:dyDescent="0.25">
      <c r="J13">
        <v>0.3</v>
      </c>
    </row>
    <row r="14" spans="2:10" x14ac:dyDescent="0.25">
      <c r="J14">
        <v>0.35</v>
      </c>
    </row>
    <row r="15" spans="2:10" x14ac:dyDescent="0.25">
      <c r="J15">
        <v>0.4</v>
      </c>
    </row>
    <row r="16" spans="2:10" x14ac:dyDescent="0.25">
      <c r="J16">
        <v>0.45</v>
      </c>
    </row>
    <row r="17" spans="10:10" x14ac:dyDescent="0.25">
      <c r="J17">
        <v>0.5</v>
      </c>
    </row>
    <row r="18" spans="10:10" x14ac:dyDescent="0.25">
      <c r="J18">
        <v>0.55000000000000004</v>
      </c>
    </row>
    <row r="19" spans="10:10" x14ac:dyDescent="0.25">
      <c r="J19">
        <v>0.6</v>
      </c>
    </row>
    <row r="20" spans="10:10" x14ac:dyDescent="0.25">
      <c r="J20">
        <v>0.65</v>
      </c>
    </row>
    <row r="21" spans="10:10" x14ac:dyDescent="0.25">
      <c r="J21">
        <v>0.7</v>
      </c>
    </row>
    <row r="22" spans="10:10" x14ac:dyDescent="0.25">
      <c r="J22">
        <v>0.75</v>
      </c>
    </row>
    <row r="23" spans="10:10" x14ac:dyDescent="0.25">
      <c r="J23">
        <v>0.8</v>
      </c>
    </row>
    <row r="24" spans="10:10" x14ac:dyDescent="0.25">
      <c r="J24">
        <v>0.85</v>
      </c>
    </row>
    <row r="25" spans="10:10" x14ac:dyDescent="0.25">
      <c r="J25">
        <v>0.9</v>
      </c>
    </row>
    <row r="26" spans="10:10" x14ac:dyDescent="0.25">
      <c r="J26">
        <v>0.95</v>
      </c>
    </row>
    <row r="27" spans="10:10" x14ac:dyDescent="0.25"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Fletcher</dc:creator>
  <cp:lastModifiedBy>Chris Fletcher</cp:lastModifiedBy>
  <cp:lastPrinted>2026-03-02T14:22:28Z</cp:lastPrinted>
  <dcterms:created xsi:type="dcterms:W3CDTF">2024-01-03T13:27:10Z</dcterms:created>
  <dcterms:modified xsi:type="dcterms:W3CDTF">2026-03-02T14:22:35Z</dcterms:modified>
</cp:coreProperties>
</file>