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0478365-F577-49D1-A72B-AF6C21B1609B}" xr6:coauthVersionLast="47" xr6:coauthVersionMax="47" xr10:uidLastSave="{00000000-0000-0000-0000-000000000000}"/>
  <bookViews>
    <workbookView xWindow="-120" yWindow="-120" windowWidth="29040" windowHeight="15840" activeTab="10" xr2:uid="{00000000-000D-0000-FFFF-FFFF00000000}"/>
  </bookViews>
  <sheets>
    <sheet name="2016" sheetId="1" r:id="rId1"/>
    <sheet name="2017" sheetId="2" r:id="rId2"/>
    <sheet name="2018" sheetId="3" r:id="rId3"/>
    <sheet name="2019" sheetId="5" r:id="rId4"/>
    <sheet name="2020" sheetId="6" r:id="rId5"/>
    <sheet name="2021" sheetId="7" r:id="rId6"/>
    <sheet name="2022" sheetId="8" r:id="rId7"/>
    <sheet name="2023" sheetId="9" r:id="rId8"/>
    <sheet name="2024" sheetId="10" r:id="rId9"/>
    <sheet name="2025" sheetId="11" r:id="rId10"/>
    <sheet name="2026" sheetId="12" r:id="rId11"/>
  </sheets>
  <definedNames>
    <definedName name="_xlnm.Print_Area" localSheetId="0">'2016'!$A$1:$N$122</definedName>
    <definedName name="_xlnm.Print_Area" localSheetId="1">'2017'!$A$1:$Q$123</definedName>
    <definedName name="_xlnm.Print_Area" localSheetId="2">'2018'!$A$1:$N$97</definedName>
    <definedName name="_xlnm.Print_Area" localSheetId="3">'2019'!$A$1:$N$127</definedName>
    <definedName name="_xlnm.Print_Area" localSheetId="4">'2020'!$A$1:$N$135</definedName>
    <definedName name="_xlnm.Print_Area" localSheetId="5">'2021'!$A$1:$N$161</definedName>
    <definedName name="_xlnm.Print_Area" localSheetId="6">'2022'!$A$1:$N$137</definedName>
    <definedName name="_xlnm.Print_Area" localSheetId="7">'2023'!$A$110:$N$127</definedName>
    <definedName name="_xlnm.Print_Area" localSheetId="8">'2024'!$A$82:$N$100</definedName>
    <definedName name="_xlnm.Print_Area" localSheetId="9">'2025'!$A$137:$N$160</definedName>
    <definedName name="_xlnm.Print_Titles" localSheetId="0">'2016'!$1:$1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6" i="12" l="1"/>
  <c r="B22" i="12"/>
  <c r="D22" i="12" l="1"/>
  <c r="D23" i="12"/>
  <c r="B23" i="12"/>
  <c r="B24" i="12" l="1"/>
  <c r="D20" i="12"/>
  <c r="D19" i="12"/>
  <c r="G20" i="12" l="1"/>
  <c r="G19" i="12"/>
  <c r="E20" i="12"/>
  <c r="E19" i="12"/>
  <c r="B20" i="12"/>
  <c r="B19" i="12"/>
  <c r="H16" i="12"/>
  <c r="B16" i="12"/>
  <c r="D6" i="12"/>
  <c r="D5" i="12"/>
  <c r="D4" i="12"/>
  <c r="B7" i="12" l="1"/>
  <c r="B6" i="12"/>
  <c r="K6" i="12" s="1"/>
  <c r="B5" i="12"/>
  <c r="K5" i="12" s="1"/>
  <c r="B4" i="12"/>
  <c r="K4" i="12" s="1"/>
  <c r="D131" i="11"/>
  <c r="D130" i="11"/>
  <c r="D129" i="11"/>
  <c r="N151" i="12"/>
  <c r="L146" i="12"/>
  <c r="K146" i="12"/>
  <c r="K151" i="12" s="1"/>
  <c r="L42" i="12"/>
  <c r="K42" i="12"/>
  <c r="L41" i="12"/>
  <c r="K41" i="12"/>
  <c r="M41" i="12" s="1"/>
  <c r="L40" i="12"/>
  <c r="K40" i="12"/>
  <c r="L39" i="12"/>
  <c r="K39" i="12"/>
  <c r="M39" i="12" s="1"/>
  <c r="L38" i="12"/>
  <c r="K38" i="12"/>
  <c r="L37" i="12"/>
  <c r="K37" i="12"/>
  <c r="L36" i="12"/>
  <c r="K36" i="12"/>
  <c r="L35" i="12"/>
  <c r="K35" i="12"/>
  <c r="L34" i="12"/>
  <c r="K34" i="12"/>
  <c r="L33" i="12"/>
  <c r="K33" i="12"/>
  <c r="L31" i="12"/>
  <c r="K31" i="12"/>
  <c r="L30" i="12"/>
  <c r="K30" i="12"/>
  <c r="L29" i="12"/>
  <c r="K29" i="12"/>
  <c r="L28" i="12"/>
  <c r="K28" i="12"/>
  <c r="L27" i="12"/>
  <c r="K27" i="12"/>
  <c r="L32" i="12"/>
  <c r="K32" i="12"/>
  <c r="L26" i="12"/>
  <c r="K26" i="12"/>
  <c r="L25" i="12"/>
  <c r="K25" i="12"/>
  <c r="M25" i="12" s="1"/>
  <c r="L24" i="12"/>
  <c r="K24" i="12"/>
  <c r="L23" i="12"/>
  <c r="K23" i="12"/>
  <c r="L22" i="12"/>
  <c r="K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M13" i="12" s="1"/>
  <c r="L12" i="12"/>
  <c r="K12" i="12"/>
  <c r="L11" i="12"/>
  <c r="K11" i="12"/>
  <c r="L10" i="12"/>
  <c r="K10" i="12"/>
  <c r="L9" i="12"/>
  <c r="K9" i="12"/>
  <c r="L8" i="12"/>
  <c r="K8" i="12"/>
  <c r="L126" i="12"/>
  <c r="K126" i="12"/>
  <c r="L125" i="12"/>
  <c r="K125" i="12"/>
  <c r="L124" i="12"/>
  <c r="K124" i="12"/>
  <c r="K123" i="12"/>
  <c r="L123" i="12"/>
  <c r="L122" i="12"/>
  <c r="K122" i="12"/>
  <c r="L121" i="12"/>
  <c r="K121" i="12"/>
  <c r="L120" i="12"/>
  <c r="K120" i="12"/>
  <c r="K119" i="12"/>
  <c r="L119" i="12"/>
  <c r="L118" i="12"/>
  <c r="K118" i="12"/>
  <c r="L117" i="12"/>
  <c r="K117" i="12"/>
  <c r="L116" i="12"/>
  <c r="K116" i="12"/>
  <c r="L115" i="12"/>
  <c r="K115" i="12"/>
  <c r="L114" i="12"/>
  <c r="K114" i="12"/>
  <c r="L113" i="12"/>
  <c r="K113" i="12"/>
  <c r="L112" i="12"/>
  <c r="K112" i="12"/>
  <c r="L111" i="12"/>
  <c r="K111" i="12"/>
  <c r="K110" i="12"/>
  <c r="L110" i="12"/>
  <c r="L109" i="12"/>
  <c r="K109" i="12"/>
  <c r="L108" i="12"/>
  <c r="K108" i="12"/>
  <c r="L107" i="12"/>
  <c r="K107" i="12"/>
  <c r="L106" i="12"/>
  <c r="K106" i="12"/>
  <c r="K105" i="12"/>
  <c r="L105" i="12"/>
  <c r="L104" i="12"/>
  <c r="K104" i="12"/>
  <c r="L103" i="12"/>
  <c r="K103" i="12"/>
  <c r="L102" i="12"/>
  <c r="K102" i="12"/>
  <c r="L101" i="12"/>
  <c r="K101" i="12"/>
  <c r="K100" i="12"/>
  <c r="L100" i="12"/>
  <c r="L99" i="12"/>
  <c r="K99" i="12"/>
  <c r="K98" i="12"/>
  <c r="L98" i="12"/>
  <c r="L97" i="12"/>
  <c r="L96" i="12"/>
  <c r="K96" i="12"/>
  <c r="L95" i="12"/>
  <c r="K95" i="12"/>
  <c r="K94" i="12"/>
  <c r="L94" i="12"/>
  <c r="L93" i="12"/>
  <c r="K93" i="12"/>
  <c r="L92" i="12"/>
  <c r="K92" i="12"/>
  <c r="L91" i="12"/>
  <c r="K91" i="12"/>
  <c r="L90" i="12"/>
  <c r="K90" i="12"/>
  <c r="L89" i="12"/>
  <c r="K89" i="12"/>
  <c r="M89" i="12" s="1"/>
  <c r="L88" i="12"/>
  <c r="K88" i="12"/>
  <c r="L87" i="12"/>
  <c r="K87" i="12"/>
  <c r="L86" i="12"/>
  <c r="K86" i="12"/>
  <c r="L85" i="12"/>
  <c r="K85" i="12"/>
  <c r="L84" i="12"/>
  <c r="K84" i="12"/>
  <c r="L83" i="12"/>
  <c r="K83" i="12"/>
  <c r="L82" i="12"/>
  <c r="K82" i="12"/>
  <c r="L81" i="12"/>
  <c r="K81" i="12"/>
  <c r="L80" i="12"/>
  <c r="K80" i="12"/>
  <c r="L79" i="12"/>
  <c r="K79" i="12"/>
  <c r="L78" i="12"/>
  <c r="K78" i="12"/>
  <c r="L77" i="12"/>
  <c r="K77" i="12"/>
  <c r="M77" i="12" s="1"/>
  <c r="L76" i="12"/>
  <c r="K76" i="12"/>
  <c r="L75" i="12"/>
  <c r="K75" i="12"/>
  <c r="K74" i="12"/>
  <c r="L74" i="12"/>
  <c r="L73" i="12"/>
  <c r="K73" i="12"/>
  <c r="L72" i="12"/>
  <c r="K72" i="12"/>
  <c r="L71" i="12"/>
  <c r="K71" i="12"/>
  <c r="L70" i="12"/>
  <c r="K70" i="12"/>
  <c r="L69" i="12"/>
  <c r="K69" i="12"/>
  <c r="L68" i="12"/>
  <c r="K68" i="12"/>
  <c r="L67" i="12"/>
  <c r="K67" i="12"/>
  <c r="L66" i="12"/>
  <c r="K66" i="12"/>
  <c r="L65" i="12"/>
  <c r="K65" i="12"/>
  <c r="L64" i="12"/>
  <c r="K64" i="12"/>
  <c r="L63" i="12"/>
  <c r="K63" i="12"/>
  <c r="L62" i="12"/>
  <c r="K62" i="12"/>
  <c r="L61" i="12"/>
  <c r="K61" i="12"/>
  <c r="L60" i="12"/>
  <c r="K60" i="12"/>
  <c r="L59" i="12"/>
  <c r="K59" i="12"/>
  <c r="L58" i="12"/>
  <c r="K58" i="12"/>
  <c r="L57" i="12"/>
  <c r="K57" i="12"/>
  <c r="L56" i="12"/>
  <c r="K56" i="12"/>
  <c r="L55" i="12"/>
  <c r="K55" i="12"/>
  <c r="L54" i="12"/>
  <c r="K54" i="12"/>
  <c r="L53" i="12"/>
  <c r="K53" i="12"/>
  <c r="L52" i="12"/>
  <c r="M52" i="12" s="1"/>
  <c r="K52" i="12"/>
  <c r="L51" i="12"/>
  <c r="K51" i="12"/>
  <c r="L50" i="12"/>
  <c r="M50" i="12" s="1"/>
  <c r="K50" i="12"/>
  <c r="L49" i="12"/>
  <c r="K49" i="12"/>
  <c r="L48" i="12"/>
  <c r="M48" i="12" s="1"/>
  <c r="K48" i="12"/>
  <c r="L47" i="12"/>
  <c r="K47" i="12"/>
  <c r="L46" i="12"/>
  <c r="K46" i="12"/>
  <c r="L45" i="12"/>
  <c r="K45" i="12"/>
  <c r="L44" i="12"/>
  <c r="K44" i="12"/>
  <c r="L43" i="12"/>
  <c r="M43" i="12" s="1"/>
  <c r="K43" i="12"/>
  <c r="L7" i="12"/>
  <c r="K7" i="12"/>
  <c r="L6" i="12"/>
  <c r="L5" i="12"/>
  <c r="L4" i="12"/>
  <c r="L3" i="12"/>
  <c r="K3" i="12"/>
  <c r="M3" i="12" s="1"/>
  <c r="D121" i="11"/>
  <c r="D120" i="11"/>
  <c r="B121" i="11"/>
  <c r="B120" i="11"/>
  <c r="B131" i="11"/>
  <c r="B130" i="11"/>
  <c r="K127" i="12" l="1"/>
  <c r="L127" i="12"/>
  <c r="M109" i="12"/>
  <c r="M49" i="12"/>
  <c r="M55" i="12"/>
  <c r="M57" i="12"/>
  <c r="M59" i="12"/>
  <c r="M61" i="12"/>
  <c r="M99" i="12"/>
  <c r="M36" i="12"/>
  <c r="M72" i="12"/>
  <c r="M74" i="12"/>
  <c r="M76" i="12"/>
  <c r="M94" i="12"/>
  <c r="M21" i="12"/>
  <c r="M19" i="12"/>
  <c r="M16" i="12"/>
  <c r="M18" i="12"/>
  <c r="M81" i="12"/>
  <c r="M20" i="12"/>
  <c r="M32" i="12"/>
  <c r="M33" i="12"/>
  <c r="M35" i="12"/>
  <c r="M108" i="12"/>
  <c r="M126" i="12"/>
  <c r="M31" i="12"/>
  <c r="M58" i="12"/>
  <c r="M66" i="12"/>
  <c r="M82" i="12"/>
  <c r="M26" i="12"/>
  <c r="M27" i="12"/>
  <c r="M42" i="12"/>
  <c r="M11" i="12"/>
  <c r="M10" i="12"/>
  <c r="M9" i="12"/>
  <c r="M8" i="12"/>
  <c r="M44" i="12"/>
  <c r="M56" i="12"/>
  <c r="M60" i="12"/>
  <c r="M62" i="12"/>
  <c r="M71" i="12"/>
  <c r="M73" i="12"/>
  <c r="M86" i="12"/>
  <c r="M90" i="12"/>
  <c r="M92" i="12"/>
  <c r="M96" i="12"/>
  <c r="M15" i="12"/>
  <c r="M17" i="12"/>
  <c r="M22" i="12"/>
  <c r="M29" i="12"/>
  <c r="M34" i="12"/>
  <c r="M37" i="12"/>
  <c r="M47" i="12"/>
  <c r="M51" i="12"/>
  <c r="M53" i="12"/>
  <c r="M70" i="12"/>
  <c r="M93" i="12"/>
  <c r="M95" i="12"/>
  <c r="M98" i="12"/>
  <c r="M100" i="12"/>
  <c r="M110" i="12"/>
  <c r="M112" i="12"/>
  <c r="M12" i="12"/>
  <c r="M14" i="12"/>
  <c r="M23" i="12"/>
  <c r="M24" i="12"/>
  <c r="M28" i="12"/>
  <c r="M30" i="12"/>
  <c r="M38" i="12"/>
  <c r="M40" i="12"/>
  <c r="M146" i="12"/>
  <c r="L151" i="12"/>
  <c r="M45" i="12"/>
  <c r="M54" i="12"/>
  <c r="M63" i="12"/>
  <c r="M65" i="12"/>
  <c r="M102" i="12"/>
  <c r="M104" i="12"/>
  <c r="M64" i="12"/>
  <c r="M67" i="12"/>
  <c r="M69" i="12"/>
  <c r="M78" i="12"/>
  <c r="M80" i="12"/>
  <c r="M83" i="12"/>
  <c r="M85" i="12"/>
  <c r="M87" i="12"/>
  <c r="M101" i="12"/>
  <c r="M105" i="12"/>
  <c r="M107" i="12"/>
  <c r="M120" i="12"/>
  <c r="M122" i="12"/>
  <c r="M68" i="12"/>
  <c r="M79" i="12"/>
  <c r="M84" i="12"/>
  <c r="M88" i="12"/>
  <c r="M115" i="12"/>
  <c r="M117" i="12"/>
  <c r="M119" i="12"/>
  <c r="M121" i="12"/>
  <c r="M123" i="12"/>
  <c r="M125" i="12"/>
  <c r="M46" i="12"/>
  <c r="M75" i="12"/>
  <c r="M91" i="12"/>
  <c r="M106" i="12"/>
  <c r="M111" i="12"/>
  <c r="M116" i="12"/>
  <c r="M124" i="12"/>
  <c r="M113" i="12"/>
  <c r="M114" i="12"/>
  <c r="M103" i="12"/>
  <c r="M118" i="12"/>
  <c r="K97" i="12"/>
  <c r="M97" i="12" s="1"/>
  <c r="H129" i="11"/>
  <c r="H127" i="11" l="1"/>
  <c r="B127" i="11"/>
  <c r="N127" i="12" l="1"/>
  <c r="M127" i="12"/>
  <c r="B126" i="11"/>
  <c r="K126" i="11" s="1"/>
  <c r="B125" i="11"/>
  <c r="K125" i="11" s="1"/>
  <c r="B124" i="11"/>
  <c r="D126" i="11"/>
  <c r="L126" i="11" s="1"/>
  <c r="D125" i="11"/>
  <c r="L125" i="11" s="1"/>
  <c r="D124" i="11"/>
  <c r="L124" i="11" s="1"/>
  <c r="K127" i="11"/>
  <c r="L127" i="11"/>
  <c r="K128" i="11"/>
  <c r="L128" i="11"/>
  <c r="K129" i="11"/>
  <c r="L129" i="11"/>
  <c r="K130" i="11"/>
  <c r="M130" i="11" s="1"/>
  <c r="L130" i="11"/>
  <c r="K131" i="11"/>
  <c r="L131" i="11"/>
  <c r="J115" i="11"/>
  <c r="J114" i="11"/>
  <c r="M131" i="11" l="1"/>
  <c r="M129" i="11"/>
  <c r="M128" i="11"/>
  <c r="M127" i="11"/>
  <c r="K124" i="11"/>
  <c r="M124" i="11" s="1"/>
  <c r="M126" i="11"/>
  <c r="M125" i="11"/>
  <c r="D109" i="11"/>
  <c r="D106" i="11"/>
  <c r="D107" i="11"/>
  <c r="D108" i="11"/>
  <c r="D105" i="11"/>
  <c r="G118" i="11" l="1"/>
  <c r="G117" i="11"/>
  <c r="G112" i="11"/>
  <c r="G111" i="11"/>
  <c r="G110" i="11"/>
  <c r="G115" i="11"/>
  <c r="G114" i="11"/>
  <c r="B119" i="11"/>
  <c r="E119" i="11"/>
  <c r="E116" i="11"/>
  <c r="E117" i="11"/>
  <c r="E118" i="11"/>
  <c r="H115" i="11" l="1"/>
  <c r="E115" i="11"/>
  <c r="E114" i="11"/>
  <c r="H114" i="11"/>
  <c r="H113" i="11" l="1"/>
  <c r="E113" i="11"/>
  <c r="E112" i="11" l="1"/>
  <c r="E111" i="11"/>
  <c r="E110" i="11" l="1"/>
  <c r="B108" i="11" l="1"/>
  <c r="B107" i="11" l="1"/>
  <c r="B106" i="11" l="1"/>
  <c r="B105" i="11"/>
  <c r="K118" i="11" l="1"/>
  <c r="L118" i="11"/>
  <c r="K119" i="11"/>
  <c r="L119" i="11"/>
  <c r="K120" i="11"/>
  <c r="L120" i="11"/>
  <c r="K121" i="11"/>
  <c r="L121" i="11"/>
  <c r="K122" i="11"/>
  <c r="L122" i="11"/>
  <c r="K123" i="11"/>
  <c r="L123" i="11"/>
  <c r="K109" i="11"/>
  <c r="L109" i="11"/>
  <c r="K110" i="11"/>
  <c r="L110" i="11"/>
  <c r="K111" i="11"/>
  <c r="L111" i="11"/>
  <c r="K112" i="11"/>
  <c r="L112" i="11"/>
  <c r="K113" i="11"/>
  <c r="L113" i="11"/>
  <c r="K114" i="11"/>
  <c r="L114" i="11"/>
  <c r="K115" i="11"/>
  <c r="L115" i="11"/>
  <c r="M115" i="11" s="1"/>
  <c r="K116" i="11"/>
  <c r="L116" i="11"/>
  <c r="K117" i="11"/>
  <c r="L117" i="11"/>
  <c r="M117" i="11" s="1"/>
  <c r="L103" i="11"/>
  <c r="K103" i="11"/>
  <c r="L98" i="11"/>
  <c r="M120" i="11" l="1"/>
  <c r="M123" i="11"/>
  <c r="M122" i="11"/>
  <c r="M119" i="11"/>
  <c r="M113" i="11"/>
  <c r="M109" i="11"/>
  <c r="M121" i="11"/>
  <c r="M118" i="11"/>
  <c r="M116" i="11"/>
  <c r="M114" i="11"/>
  <c r="M112" i="11"/>
  <c r="M110" i="11"/>
  <c r="M111" i="11"/>
  <c r="G104" i="11"/>
  <c r="H104" i="11"/>
  <c r="E104" i="11" l="1"/>
  <c r="B104" i="11"/>
  <c r="K98" i="11" s="1"/>
  <c r="G100" i="11"/>
  <c r="D100" i="11"/>
  <c r="B101" i="11"/>
  <c r="D101" i="11"/>
  <c r="B102" i="11"/>
  <c r="D99" i="11"/>
  <c r="G99" i="11"/>
  <c r="L104" i="11"/>
  <c r="K105" i="11"/>
  <c r="L105" i="11"/>
  <c r="K106" i="11"/>
  <c r="L106" i="11"/>
  <c r="K107" i="11"/>
  <c r="L107" i="11"/>
  <c r="K108" i="11"/>
  <c r="L108" i="11"/>
  <c r="M108" i="11" l="1"/>
  <c r="M105" i="11"/>
  <c r="M106" i="11"/>
  <c r="M107" i="11"/>
  <c r="K104" i="11"/>
  <c r="M104" i="11" s="1"/>
  <c r="D96" i="11"/>
  <c r="D95" i="11"/>
  <c r="G96" i="11"/>
  <c r="G95" i="11"/>
  <c r="D27" i="11" l="1"/>
  <c r="S25" i="11"/>
  <c r="B92" i="11"/>
  <c r="K96" i="11" l="1"/>
  <c r="L96" i="11"/>
  <c r="K97" i="11"/>
  <c r="L97" i="11"/>
  <c r="K99" i="11"/>
  <c r="L99" i="11"/>
  <c r="M99" i="11" s="1"/>
  <c r="K100" i="11"/>
  <c r="L100" i="11"/>
  <c r="K101" i="11"/>
  <c r="L101" i="11"/>
  <c r="K102" i="11"/>
  <c r="L102" i="11"/>
  <c r="K132" i="11"/>
  <c r="L132" i="11"/>
  <c r="K89" i="11"/>
  <c r="L89" i="11"/>
  <c r="L90" i="11"/>
  <c r="K91" i="11"/>
  <c r="L91" i="11"/>
  <c r="K92" i="11"/>
  <c r="L92" i="11"/>
  <c r="K93" i="11"/>
  <c r="L93" i="11"/>
  <c r="K94" i="11"/>
  <c r="L94" i="11"/>
  <c r="K95" i="11"/>
  <c r="L95" i="11"/>
  <c r="E90" i="11"/>
  <c r="K90" i="11" s="1"/>
  <c r="M97" i="11" l="1"/>
  <c r="M132" i="11"/>
  <c r="M103" i="11"/>
  <c r="M95" i="11"/>
  <c r="M89" i="11"/>
  <c r="M102" i="11"/>
  <c r="M100" i="11"/>
  <c r="M98" i="11"/>
  <c r="M101" i="11"/>
  <c r="M93" i="11"/>
  <c r="M90" i="11"/>
  <c r="M94" i="11"/>
  <c r="M96" i="11"/>
  <c r="M92" i="11"/>
  <c r="M91" i="11"/>
  <c r="B56" i="11"/>
  <c r="B88" i="11" l="1"/>
  <c r="B87" i="11"/>
  <c r="H86" i="11"/>
  <c r="B86" i="11"/>
  <c r="B83" i="11"/>
  <c r="D76" i="11"/>
  <c r="D75" i="11"/>
  <c r="B78" i="11" l="1"/>
  <c r="B77" i="11"/>
  <c r="E77" i="11"/>
  <c r="B76" i="11"/>
  <c r="B75" i="11" l="1"/>
  <c r="B57" i="11"/>
  <c r="E57" i="11" l="1"/>
  <c r="E55" i="11"/>
  <c r="B55" i="11"/>
  <c r="B47" i="11" l="1"/>
  <c r="E45" i="11"/>
  <c r="L23" i="11"/>
  <c r="K41" i="11"/>
  <c r="G42" i="11"/>
  <c r="B43" i="11" l="1"/>
  <c r="E42" i="11"/>
  <c r="B40" i="11" l="1"/>
  <c r="B39" i="11"/>
  <c r="B38" i="11"/>
  <c r="B36" i="11"/>
  <c r="B35" i="11"/>
  <c r="B34" i="11"/>
  <c r="B33" i="11"/>
  <c r="B32" i="11"/>
  <c r="B31" i="11"/>
  <c r="B30" i="11"/>
  <c r="L40" i="11"/>
  <c r="L39" i="11"/>
  <c r="L38" i="11"/>
  <c r="L37" i="11"/>
  <c r="L36" i="11"/>
  <c r="L35" i="11"/>
  <c r="L34" i="11"/>
  <c r="L33" i="11"/>
  <c r="L32" i="11"/>
  <c r="L31" i="11"/>
  <c r="L30" i="11"/>
  <c r="B29" i="11"/>
  <c r="L29" i="11"/>
  <c r="B28" i="11"/>
  <c r="L28" i="11"/>
  <c r="D153" i="11"/>
  <c r="L153" i="11" s="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D24" i="11"/>
  <c r="L24" i="11" s="1"/>
  <c r="G27" i="11"/>
  <c r="E27" i="11"/>
  <c r="D26" i="11"/>
  <c r="G26" i="11"/>
  <c r="E26" i="11"/>
  <c r="K26" i="11" s="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L26" i="11" l="1"/>
  <c r="B24" i="11"/>
  <c r="K24" i="11" s="1"/>
  <c r="M24" i="11" s="1"/>
  <c r="B153" i="11"/>
  <c r="K153" i="11" s="1"/>
  <c r="M153" i="11" s="1"/>
  <c r="B7" i="11"/>
  <c r="E7" i="11"/>
  <c r="B6" i="11" l="1"/>
  <c r="K6" i="11" s="1"/>
  <c r="B5" i="11"/>
  <c r="D6" i="11"/>
  <c r="L6" i="11" s="1"/>
  <c r="D5" i="11"/>
  <c r="L5" i="11" s="1"/>
  <c r="D4" i="11"/>
  <c r="L4" i="11" s="1"/>
  <c r="L3" i="11"/>
  <c r="B4" i="11"/>
  <c r="K4" i="11" s="1"/>
  <c r="K83" i="11"/>
  <c r="L83" i="11"/>
  <c r="K84" i="11"/>
  <c r="L84" i="11"/>
  <c r="K85" i="11"/>
  <c r="L85" i="11"/>
  <c r="K86" i="11"/>
  <c r="L86" i="11"/>
  <c r="K87" i="11"/>
  <c r="L87" i="11"/>
  <c r="K88" i="11"/>
  <c r="L88" i="11"/>
  <c r="L22" i="11"/>
  <c r="M23" i="11"/>
  <c r="K25" i="11"/>
  <c r="L25" i="11"/>
  <c r="K8" i="11"/>
  <c r="L8" i="11"/>
  <c r="L7" i="11"/>
  <c r="K7" i="11"/>
  <c r="K5" i="11"/>
  <c r="K3" i="11"/>
  <c r="L82" i="11"/>
  <c r="K82" i="11"/>
  <c r="L81" i="11"/>
  <c r="K81" i="11"/>
  <c r="L80" i="11"/>
  <c r="K80" i="11"/>
  <c r="L79" i="11"/>
  <c r="K79" i="11"/>
  <c r="L78" i="11"/>
  <c r="K78" i="11"/>
  <c r="L77" i="11"/>
  <c r="K77" i="11"/>
  <c r="L76" i="11"/>
  <c r="K76" i="11"/>
  <c r="L75" i="11"/>
  <c r="K75" i="11"/>
  <c r="L74" i="11"/>
  <c r="K74" i="11"/>
  <c r="K73" i="11"/>
  <c r="L73" i="11"/>
  <c r="K72" i="11"/>
  <c r="L72" i="11"/>
  <c r="L71" i="11"/>
  <c r="K71" i="11"/>
  <c r="K70" i="11"/>
  <c r="L70" i="11"/>
  <c r="K69" i="11"/>
  <c r="L69" i="11"/>
  <c r="L68" i="11"/>
  <c r="K68" i="11"/>
  <c r="L67" i="11"/>
  <c r="K67" i="11"/>
  <c r="L66" i="11"/>
  <c r="K66" i="11"/>
  <c r="L65" i="11"/>
  <c r="K65" i="11"/>
  <c r="L64" i="11"/>
  <c r="K64" i="11"/>
  <c r="L63" i="11"/>
  <c r="K63" i="11"/>
  <c r="L62" i="11"/>
  <c r="K62" i="11"/>
  <c r="L61" i="11"/>
  <c r="K61" i="11"/>
  <c r="L60" i="11"/>
  <c r="K60" i="11"/>
  <c r="L59" i="11"/>
  <c r="K59" i="11"/>
  <c r="L58" i="11"/>
  <c r="L55" i="11"/>
  <c r="K55" i="11"/>
  <c r="L54" i="11"/>
  <c r="K54" i="11"/>
  <c r="L53" i="11"/>
  <c r="K53" i="11"/>
  <c r="L52" i="11"/>
  <c r="K52" i="11"/>
  <c r="L51" i="11"/>
  <c r="K51" i="11"/>
  <c r="L50" i="11"/>
  <c r="K50" i="11"/>
  <c r="L49" i="11"/>
  <c r="K49" i="11"/>
  <c r="L48" i="11"/>
  <c r="K48" i="11"/>
  <c r="L47" i="11"/>
  <c r="K47" i="11"/>
  <c r="L46" i="11"/>
  <c r="K46" i="11"/>
  <c r="L45" i="11"/>
  <c r="K45" i="11"/>
  <c r="L44" i="11"/>
  <c r="K44" i="11"/>
  <c r="L43" i="11"/>
  <c r="K43" i="11"/>
  <c r="L42" i="11"/>
  <c r="K42" i="11"/>
  <c r="L41" i="11"/>
  <c r="L27" i="11"/>
  <c r="K27" i="11"/>
  <c r="D67" i="10"/>
  <c r="D68" i="10"/>
  <c r="D69" i="10"/>
  <c r="D70" i="10"/>
  <c r="D71" i="10"/>
  <c r="D66" i="10"/>
  <c r="D65" i="10"/>
  <c r="D64" i="10"/>
  <c r="B71" i="10"/>
  <c r="B70" i="10"/>
  <c r="B69" i="10"/>
  <c r="B68" i="10"/>
  <c r="B67" i="10"/>
  <c r="B65" i="10"/>
  <c r="B64" i="10"/>
  <c r="B66" i="10"/>
  <c r="M86" i="11" l="1"/>
  <c r="M26" i="11"/>
  <c r="M73" i="11"/>
  <c r="M76" i="11"/>
  <c r="M87" i="11"/>
  <c r="M83" i="11"/>
  <c r="M85" i="11"/>
  <c r="M25" i="11"/>
  <c r="M22" i="11"/>
  <c r="M88" i="11"/>
  <c r="M84" i="11"/>
  <c r="M79" i="11"/>
  <c r="M29" i="11"/>
  <c r="M34" i="11"/>
  <c r="M38" i="11"/>
  <c r="M46" i="11"/>
  <c r="M6" i="11"/>
  <c r="M60" i="11"/>
  <c r="M80" i="11"/>
  <c r="M32" i="11"/>
  <c r="M3" i="11"/>
  <c r="M62" i="11"/>
  <c r="M63" i="11"/>
  <c r="M67" i="11"/>
  <c r="M55" i="11"/>
  <c r="M7" i="11"/>
  <c r="M68" i="11"/>
  <c r="M5" i="11"/>
  <c r="M30" i="11"/>
  <c r="M33" i="11"/>
  <c r="M35" i="11"/>
  <c r="M37" i="11"/>
  <c r="M39" i="11"/>
  <c r="M41" i="11"/>
  <c r="M47" i="11"/>
  <c r="K56" i="11"/>
  <c r="K57" i="11"/>
  <c r="K58" i="11"/>
  <c r="M58" i="11" s="1"/>
  <c r="M59" i="11"/>
  <c r="M27" i="11"/>
  <c r="M36" i="11"/>
  <c r="M42" i="11"/>
  <c r="M69" i="11"/>
  <c r="M48" i="11"/>
  <c r="M54" i="11"/>
  <c r="M64" i="11"/>
  <c r="M75" i="11"/>
  <c r="M4" i="11"/>
  <c r="M40" i="11"/>
  <c r="M51" i="11"/>
  <c r="M53" i="11"/>
  <c r="L56" i="11"/>
  <c r="L57" i="11"/>
  <c r="M61" i="11"/>
  <c r="M66" i="11"/>
  <c r="M71" i="11"/>
  <c r="M77" i="11"/>
  <c r="M82" i="11"/>
  <c r="M28" i="11"/>
  <c r="M49" i="11"/>
  <c r="M52" i="11"/>
  <c r="M45" i="11"/>
  <c r="M50" i="11"/>
  <c r="M70" i="11"/>
  <c r="K158" i="11"/>
  <c r="M31" i="11"/>
  <c r="M44" i="11"/>
  <c r="M65" i="11"/>
  <c r="M78" i="11"/>
  <c r="M81" i="11"/>
  <c r="M43" i="11"/>
  <c r="M72" i="11"/>
  <c r="L158" i="11"/>
  <c r="M74" i="11"/>
  <c r="B63" i="10"/>
  <c r="B53" i="10"/>
  <c r="D52" i="10"/>
  <c r="D53" i="10"/>
  <c r="B52" i="10"/>
  <c r="D56" i="10"/>
  <c r="D55" i="10"/>
  <c r="D54" i="10"/>
  <c r="B56" i="10"/>
  <c r="B55" i="10"/>
  <c r="B54" i="10"/>
  <c r="E56" i="10"/>
  <c r="E55" i="10"/>
  <c r="E54" i="10"/>
  <c r="K133" i="11" l="1"/>
  <c r="L133" i="11"/>
  <c r="M57" i="11"/>
  <c r="K160" i="11"/>
  <c r="N158" i="11"/>
  <c r="M56" i="11"/>
  <c r="G56" i="10"/>
  <c r="G55" i="10"/>
  <c r="G54" i="10"/>
  <c r="D47" i="10"/>
  <c r="D49" i="10"/>
  <c r="D48" i="10"/>
  <c r="K2" i="10"/>
  <c r="M133" i="11" l="1"/>
  <c r="N133" i="11"/>
  <c r="B49" i="10"/>
  <c r="B48" i="10"/>
  <c r="B47" i="10"/>
  <c r="B46" i="10" l="1"/>
  <c r="B43" i="10"/>
  <c r="B42" i="10" l="1"/>
  <c r="D83" i="9" l="1"/>
  <c r="D82" i="9"/>
  <c r="D89" i="9"/>
  <c r="D80" i="9"/>
  <c r="D79" i="9"/>
  <c r="D78" i="9"/>
  <c r="D77" i="9"/>
  <c r="D76" i="9"/>
  <c r="L92" i="10" l="1"/>
  <c r="K92" i="10"/>
  <c r="L91" i="10"/>
  <c r="K91" i="10"/>
  <c r="L90" i="10"/>
  <c r="K90" i="10"/>
  <c r="L89" i="10"/>
  <c r="K89" i="10"/>
  <c r="L88" i="10"/>
  <c r="K88" i="10"/>
  <c r="L87" i="10"/>
  <c r="M87" i="10" s="1"/>
  <c r="K87" i="10"/>
  <c r="L86" i="10"/>
  <c r="K86" i="10"/>
  <c r="L85" i="10"/>
  <c r="K85" i="10"/>
  <c r="L84" i="10"/>
  <c r="K84" i="10"/>
  <c r="L83" i="10"/>
  <c r="K83" i="10"/>
  <c r="D20" i="10"/>
  <c r="D19" i="10"/>
  <c r="D18" i="10"/>
  <c r="G20" i="10"/>
  <c r="G19" i="10"/>
  <c r="G18" i="10"/>
  <c r="B18" i="10"/>
  <c r="E20" i="10"/>
  <c r="B20" i="10"/>
  <c r="E19" i="10"/>
  <c r="B19" i="10"/>
  <c r="E18" i="10"/>
  <c r="E7" i="10"/>
  <c r="B7" i="10"/>
  <c r="B3" i="10"/>
  <c r="M83" i="10" l="1"/>
  <c r="M89" i="10"/>
  <c r="M91" i="10"/>
  <c r="M84" i="10"/>
  <c r="M86" i="10"/>
  <c r="M88" i="10"/>
  <c r="M90" i="10"/>
  <c r="M85" i="10"/>
  <c r="M92" i="10"/>
  <c r="B5" i="10"/>
  <c r="E6" i="10"/>
  <c r="B6" i="10"/>
  <c r="L5" i="10" l="1"/>
  <c r="K5" i="10"/>
  <c r="G4" i="10"/>
  <c r="B4" i="10"/>
  <c r="K4" i="10" s="1"/>
  <c r="E4" i="10"/>
  <c r="L76" i="10"/>
  <c r="K76" i="10"/>
  <c r="M76" i="10" s="1"/>
  <c r="L75" i="10"/>
  <c r="K75" i="10"/>
  <c r="L74" i="10"/>
  <c r="K74" i="10"/>
  <c r="L73" i="10"/>
  <c r="M73" i="10" s="1"/>
  <c r="K73" i="10"/>
  <c r="L72" i="10"/>
  <c r="K72" i="10"/>
  <c r="L71" i="10"/>
  <c r="K71" i="10"/>
  <c r="L70" i="10"/>
  <c r="K70" i="10"/>
  <c r="L69" i="10"/>
  <c r="K69" i="10"/>
  <c r="L68" i="10"/>
  <c r="K68" i="10"/>
  <c r="L67" i="10"/>
  <c r="M67" i="10" s="1"/>
  <c r="K67" i="10"/>
  <c r="L66" i="10"/>
  <c r="K66" i="10"/>
  <c r="L65" i="10"/>
  <c r="K65" i="10"/>
  <c r="L64" i="10"/>
  <c r="K64" i="10"/>
  <c r="L63" i="10"/>
  <c r="K63" i="10"/>
  <c r="L62" i="10"/>
  <c r="K62" i="10"/>
  <c r="L61" i="10"/>
  <c r="K61" i="10"/>
  <c r="L60" i="10"/>
  <c r="K60" i="10"/>
  <c r="L59" i="10"/>
  <c r="K59" i="10"/>
  <c r="L58" i="10"/>
  <c r="K58" i="10"/>
  <c r="L57" i="10"/>
  <c r="M57" i="10" s="1"/>
  <c r="K57" i="10"/>
  <c r="L56" i="10"/>
  <c r="K56" i="10"/>
  <c r="L55" i="10"/>
  <c r="K55" i="10"/>
  <c r="L54" i="10"/>
  <c r="K54" i="10"/>
  <c r="L53" i="10"/>
  <c r="K53" i="10"/>
  <c r="L52" i="10"/>
  <c r="K52" i="10"/>
  <c r="L51" i="10"/>
  <c r="K51" i="10"/>
  <c r="L50" i="10"/>
  <c r="K50" i="10"/>
  <c r="L49" i="10"/>
  <c r="K49" i="10"/>
  <c r="L48" i="10"/>
  <c r="K48" i="10"/>
  <c r="L47" i="10"/>
  <c r="K47" i="10"/>
  <c r="L46" i="10"/>
  <c r="K46" i="10"/>
  <c r="L45" i="10"/>
  <c r="K45" i="10"/>
  <c r="L44" i="10"/>
  <c r="K44" i="10"/>
  <c r="L43" i="10"/>
  <c r="K43" i="10"/>
  <c r="L42" i="10"/>
  <c r="K42" i="10"/>
  <c r="L41" i="10"/>
  <c r="K41" i="10"/>
  <c r="L40" i="10"/>
  <c r="K40" i="10"/>
  <c r="L39" i="10"/>
  <c r="K39" i="10"/>
  <c r="L38" i="10"/>
  <c r="K38" i="10"/>
  <c r="L37" i="10"/>
  <c r="K37" i="10"/>
  <c r="L36" i="10"/>
  <c r="K36" i="10"/>
  <c r="L35" i="10"/>
  <c r="M35" i="10" s="1"/>
  <c r="K35" i="10"/>
  <c r="L34" i="10"/>
  <c r="K34" i="10"/>
  <c r="L33" i="10"/>
  <c r="M33" i="10" s="1"/>
  <c r="K33" i="10"/>
  <c r="L32" i="10"/>
  <c r="K32" i="10"/>
  <c r="L31" i="10"/>
  <c r="M31" i="10" s="1"/>
  <c r="K31" i="10"/>
  <c r="L30" i="10"/>
  <c r="K30" i="10"/>
  <c r="L29" i="10"/>
  <c r="K29" i="10"/>
  <c r="L28" i="10"/>
  <c r="K28" i="10"/>
  <c r="L27" i="10"/>
  <c r="K27" i="10"/>
  <c r="L26" i="10"/>
  <c r="K26" i="10"/>
  <c r="L25" i="10"/>
  <c r="K25" i="10"/>
  <c r="L24" i="10"/>
  <c r="K24" i="10"/>
  <c r="L23" i="10"/>
  <c r="M23" i="10" s="1"/>
  <c r="K23" i="10"/>
  <c r="L22" i="10"/>
  <c r="K22" i="10"/>
  <c r="M22" i="10" s="1"/>
  <c r="L21" i="10"/>
  <c r="K21" i="10"/>
  <c r="L20" i="10"/>
  <c r="K20" i="10"/>
  <c r="L19" i="10"/>
  <c r="M19" i="10" s="1"/>
  <c r="K19" i="10"/>
  <c r="L18" i="10"/>
  <c r="K18" i="10"/>
  <c r="L17" i="10"/>
  <c r="K17" i="10"/>
  <c r="L16" i="10"/>
  <c r="K16" i="10"/>
  <c r="L15" i="10"/>
  <c r="K15" i="10"/>
  <c r="L14" i="10"/>
  <c r="K14" i="10"/>
  <c r="L13" i="10"/>
  <c r="K13" i="10"/>
  <c r="L12" i="10"/>
  <c r="K12" i="10"/>
  <c r="L11" i="10"/>
  <c r="K11" i="10"/>
  <c r="L10" i="10"/>
  <c r="K10" i="10"/>
  <c r="L9" i="10"/>
  <c r="K9" i="10"/>
  <c r="L8" i="10"/>
  <c r="K8" i="10"/>
  <c r="L7" i="10"/>
  <c r="K7" i="10"/>
  <c r="L6" i="10"/>
  <c r="K6" i="10"/>
  <c r="M6" i="10" s="1"/>
  <c r="L4" i="10"/>
  <c r="L3" i="10"/>
  <c r="K3" i="10"/>
  <c r="L2" i="10"/>
  <c r="N96" i="10"/>
  <c r="N95" i="10"/>
  <c r="N94" i="10"/>
  <c r="N93" i="10"/>
  <c r="N92" i="10"/>
  <c r="N91" i="10"/>
  <c r="N85" i="10"/>
  <c r="M15" i="10"/>
  <c r="M32" i="10" l="1"/>
  <c r="M36" i="10"/>
  <c r="M38" i="10"/>
  <c r="M44" i="10"/>
  <c r="M56" i="10"/>
  <c r="M58" i="10"/>
  <c r="M62" i="10"/>
  <c r="M70" i="10"/>
  <c r="M72" i="10"/>
  <c r="M11" i="10"/>
  <c r="M17" i="10"/>
  <c r="M21" i="10"/>
  <c r="M27" i="10"/>
  <c r="M39" i="10"/>
  <c r="M45" i="10"/>
  <c r="M75" i="10"/>
  <c r="M71" i="10"/>
  <c r="M64" i="10"/>
  <c r="M52" i="10"/>
  <c r="M54" i="10"/>
  <c r="M55" i="10"/>
  <c r="M49" i="10"/>
  <c r="M48" i="10"/>
  <c r="M46" i="10"/>
  <c r="M43" i="10"/>
  <c r="M42" i="10"/>
  <c r="M34" i="10"/>
  <c r="M28" i="10"/>
  <c r="M12" i="10"/>
  <c r="M13" i="10"/>
  <c r="M18" i="10"/>
  <c r="M7" i="10"/>
  <c r="M5" i="10"/>
  <c r="M4" i="10"/>
  <c r="M10" i="10"/>
  <c r="M16" i="10"/>
  <c r="M20" i="10"/>
  <c r="M26" i="10"/>
  <c r="M30" i="10"/>
  <c r="N84" i="10"/>
  <c r="N88" i="10"/>
  <c r="N90" i="10"/>
  <c r="M63" i="10"/>
  <c r="M8" i="10"/>
  <c r="M29" i="10"/>
  <c r="M3" i="10"/>
  <c r="M40" i="10"/>
  <c r="K78" i="10"/>
  <c r="M14" i="10"/>
  <c r="M47" i="10"/>
  <c r="M50" i="10"/>
  <c r="M59" i="10"/>
  <c r="M61" i="10"/>
  <c r="M65" i="10"/>
  <c r="M68" i="10"/>
  <c r="K98" i="10"/>
  <c r="N86" i="10"/>
  <c r="N89" i="10"/>
  <c r="M25" i="10"/>
  <c r="L98" i="10"/>
  <c r="M2" i="10"/>
  <c r="M24" i="10"/>
  <c r="M51" i="10"/>
  <c r="M60" i="10"/>
  <c r="M66" i="10"/>
  <c r="M69" i="10"/>
  <c r="M74" i="10"/>
  <c r="N83" i="10"/>
  <c r="N87" i="10"/>
  <c r="M9" i="10"/>
  <c r="M37" i="10"/>
  <c r="M41" i="10"/>
  <c r="M53" i="10"/>
  <c r="D118" i="9"/>
  <c r="L118" i="9" s="1"/>
  <c r="B118" i="9"/>
  <c r="K118" i="9" s="1"/>
  <c r="D117" i="9"/>
  <c r="L117" i="9" s="1"/>
  <c r="B117" i="9"/>
  <c r="K117" i="9" s="1"/>
  <c r="K116" i="9"/>
  <c r="D116" i="9"/>
  <c r="L116" i="9" s="1"/>
  <c r="B116" i="9"/>
  <c r="L115" i="9"/>
  <c r="K115" i="9"/>
  <c r="D115" i="9"/>
  <c r="B115" i="9"/>
  <c r="D114" i="9"/>
  <c r="L114" i="9" s="1"/>
  <c r="B114" i="9"/>
  <c r="K114" i="9" s="1"/>
  <c r="D113" i="9"/>
  <c r="L113" i="9" s="1"/>
  <c r="B113" i="9"/>
  <c r="K113" i="9" s="1"/>
  <c r="K112" i="9"/>
  <c r="D112" i="9"/>
  <c r="L112" i="9" s="1"/>
  <c r="B112" i="9"/>
  <c r="K111" i="9"/>
  <c r="D111" i="9"/>
  <c r="L111" i="9" s="1"/>
  <c r="B111" i="9"/>
  <c r="G88" i="9"/>
  <c r="G87" i="9"/>
  <c r="G83" i="9"/>
  <c r="G82" i="9"/>
  <c r="G84" i="9"/>
  <c r="G81" i="9"/>
  <c r="G80" i="9"/>
  <c r="G79" i="9"/>
  <c r="G78" i="9"/>
  <c r="G77" i="9"/>
  <c r="G76" i="9"/>
  <c r="M114" i="9" l="1"/>
  <c r="N98" i="10"/>
  <c r="M115" i="9"/>
  <c r="M111" i="9"/>
  <c r="M112" i="9"/>
  <c r="M116" i="9"/>
  <c r="K100" i="10"/>
  <c r="L78" i="10"/>
  <c r="M78" i="10" s="1"/>
  <c r="M113" i="9"/>
  <c r="M117" i="9"/>
  <c r="M118" i="9"/>
  <c r="G91" i="9"/>
  <c r="G90" i="9"/>
  <c r="D91" i="9"/>
  <c r="D90" i="9"/>
  <c r="D102" i="9"/>
  <c r="D101" i="9"/>
  <c r="D97" i="9"/>
  <c r="D100" i="9"/>
  <c r="D98" i="9"/>
  <c r="D96" i="9"/>
  <c r="D99" i="9"/>
  <c r="D95" i="9"/>
  <c r="B95" i="9"/>
  <c r="B99" i="9"/>
  <c r="B97" i="9"/>
  <c r="B102" i="9"/>
  <c r="B101" i="9"/>
  <c r="B96" i="9"/>
  <c r="B100" i="9"/>
  <c r="B98" i="9"/>
  <c r="E92" i="9"/>
  <c r="E82" i="9"/>
  <c r="E84" i="9"/>
  <c r="E85" i="9"/>
  <c r="E86" i="9"/>
  <c r="E89" i="9"/>
  <c r="B89" i="9"/>
  <c r="E88" i="9"/>
  <c r="E87" i="9"/>
  <c r="E83" i="9"/>
  <c r="E81" i="9"/>
  <c r="E93" i="9"/>
  <c r="B93" i="9"/>
  <c r="E91" i="9"/>
  <c r="B91" i="9"/>
  <c r="E90" i="9"/>
  <c r="B90" i="9"/>
  <c r="E80" i="9"/>
  <c r="B80" i="9"/>
  <c r="E79" i="9"/>
  <c r="B79" i="9"/>
  <c r="E78" i="9"/>
  <c r="B78" i="9"/>
  <c r="E77" i="9"/>
  <c r="B77" i="9"/>
  <c r="E76" i="9"/>
  <c r="B76" i="9"/>
  <c r="G75" i="9"/>
  <c r="G74" i="9"/>
  <c r="D75" i="9"/>
  <c r="D74" i="9"/>
  <c r="N78" i="10" l="1"/>
  <c r="N79" i="10" s="1"/>
  <c r="E75" i="9"/>
  <c r="B75" i="9"/>
  <c r="B74" i="9"/>
  <c r="E74" i="9"/>
  <c r="D60" i="9"/>
  <c r="D59" i="9"/>
  <c r="D58" i="9"/>
  <c r="B72" i="9" l="1"/>
  <c r="B66" i="9"/>
  <c r="D66" i="9"/>
  <c r="D71" i="9"/>
  <c r="B71" i="9"/>
  <c r="D70" i="9"/>
  <c r="B70" i="9"/>
  <c r="D69" i="9"/>
  <c r="B69" i="9" l="1"/>
  <c r="B68" i="9"/>
  <c r="D63" i="9"/>
  <c r="D64" i="9"/>
  <c r="D65" i="9"/>
  <c r="E63" i="9"/>
  <c r="H63" i="9"/>
  <c r="B63" i="9"/>
  <c r="B64" i="9" l="1"/>
  <c r="B65" i="9"/>
  <c r="B62" i="9"/>
  <c r="E62" i="9" l="1"/>
  <c r="E61" i="9"/>
  <c r="B61" i="9"/>
  <c r="B60" i="9"/>
  <c r="B59" i="9"/>
  <c r="B58" i="9"/>
  <c r="E56" i="9" l="1"/>
  <c r="B56" i="9"/>
  <c r="D55" i="9"/>
  <c r="D54" i="9"/>
  <c r="B54" i="9" l="1"/>
  <c r="B55" i="9"/>
  <c r="D53" i="9"/>
  <c r="D52" i="9"/>
  <c r="E53" i="9" l="1"/>
  <c r="B53" i="9"/>
  <c r="E52" i="9"/>
  <c r="B52" i="9"/>
  <c r="N119" i="9"/>
  <c r="N120" i="9"/>
  <c r="N121" i="9"/>
  <c r="N122" i="9"/>
  <c r="N123" i="9"/>
  <c r="N124" i="9"/>
  <c r="N118" i="9"/>
  <c r="N117" i="9"/>
  <c r="D49" i="9"/>
  <c r="D48" i="9"/>
  <c r="D47" i="9"/>
  <c r="D46" i="9"/>
  <c r="B49" i="9"/>
  <c r="B48" i="9"/>
  <c r="B47" i="9"/>
  <c r="B46" i="9"/>
  <c r="B45" i="9"/>
  <c r="D43" i="9"/>
  <c r="D42" i="9"/>
  <c r="B43" i="9" l="1"/>
  <c r="B42" i="9"/>
  <c r="G38" i="9"/>
  <c r="D38" i="9"/>
  <c r="G37" i="9"/>
  <c r="D37" i="9"/>
  <c r="B38" i="9"/>
  <c r="B37" i="9"/>
  <c r="H41" i="9" l="1"/>
  <c r="B41" i="9"/>
  <c r="E35" i="9"/>
  <c r="B35" i="9"/>
  <c r="E33" i="9"/>
  <c r="B33" i="9"/>
  <c r="J30" i="9"/>
  <c r="J29" i="9"/>
  <c r="D31" i="9"/>
  <c r="D32" i="9"/>
  <c r="D28" i="9"/>
  <c r="B32" i="9"/>
  <c r="B31" i="9"/>
  <c r="B28" i="9"/>
  <c r="D30" i="9"/>
  <c r="D29" i="9"/>
  <c r="G30" i="9"/>
  <c r="G29" i="9"/>
  <c r="E30" i="9"/>
  <c r="B30" i="9"/>
  <c r="E29" i="9"/>
  <c r="B29" i="9"/>
  <c r="B27" i="9"/>
  <c r="E23" i="9"/>
  <c r="K24" i="9"/>
  <c r="B21" i="9"/>
  <c r="B22" i="9"/>
  <c r="E20" i="9" l="1"/>
  <c r="B25" i="9"/>
  <c r="B20" i="9"/>
  <c r="K2" i="9"/>
  <c r="N115" i="9" l="1"/>
  <c r="N112" i="9"/>
  <c r="J17" i="9"/>
  <c r="H17" i="9"/>
  <c r="G17" i="9"/>
  <c r="N111" i="9" l="1"/>
  <c r="N114" i="9"/>
  <c r="N113" i="9"/>
  <c r="N116" i="9"/>
  <c r="D17" i="9"/>
  <c r="J15" i="9"/>
  <c r="J19" i="9"/>
  <c r="N126" i="9" l="1"/>
  <c r="G14" i="9"/>
  <c r="H19" i="9"/>
  <c r="E19" i="9"/>
  <c r="B19" i="9"/>
  <c r="E17" i="9"/>
  <c r="B17" i="9"/>
  <c r="G15" i="9"/>
  <c r="H15" i="9" l="1"/>
  <c r="B15" i="9"/>
  <c r="B16" i="9"/>
  <c r="D10" i="9" l="1"/>
  <c r="D11" i="9"/>
  <c r="D12" i="9"/>
  <c r="D9" i="9"/>
  <c r="D13" i="9"/>
  <c r="E14" i="9"/>
  <c r="B14" i="9"/>
  <c r="B13" i="9"/>
  <c r="B12" i="9"/>
  <c r="B11" i="9"/>
  <c r="B10" i="9"/>
  <c r="B9" i="9"/>
  <c r="D5" i="9"/>
  <c r="D7" i="9"/>
  <c r="D6" i="9"/>
  <c r="E8" i="9" l="1"/>
  <c r="B8" i="9"/>
  <c r="G4" i="9"/>
  <c r="D4" i="9"/>
  <c r="G3" i="9"/>
  <c r="D3" i="9"/>
  <c r="L14" i="9" l="1"/>
  <c r="K14" i="9"/>
  <c r="B7" i="9"/>
  <c r="K7" i="9" s="1"/>
  <c r="B6" i="9"/>
  <c r="K6" i="9" s="1"/>
  <c r="B5" i="9"/>
  <c r="E4" i="9"/>
  <c r="E3" i="9"/>
  <c r="L103" i="9"/>
  <c r="K103" i="9"/>
  <c r="L102" i="9"/>
  <c r="K102" i="9"/>
  <c r="L101" i="9"/>
  <c r="K101" i="9"/>
  <c r="L100" i="9"/>
  <c r="K100" i="9"/>
  <c r="L99" i="9"/>
  <c r="K99" i="9"/>
  <c r="L98" i="9"/>
  <c r="K98" i="9"/>
  <c r="L97" i="9"/>
  <c r="K97" i="9"/>
  <c r="L96" i="9"/>
  <c r="K96" i="9"/>
  <c r="L95" i="9"/>
  <c r="K95" i="9"/>
  <c r="L94" i="9"/>
  <c r="K94" i="9"/>
  <c r="L93" i="9"/>
  <c r="K93" i="9"/>
  <c r="L92" i="9"/>
  <c r="K92" i="9"/>
  <c r="L91" i="9"/>
  <c r="K91" i="9"/>
  <c r="L90" i="9"/>
  <c r="K90" i="9"/>
  <c r="L89" i="9"/>
  <c r="K89" i="9"/>
  <c r="L88" i="9"/>
  <c r="K88" i="9"/>
  <c r="L87" i="9"/>
  <c r="K87" i="9"/>
  <c r="L86" i="9"/>
  <c r="K86" i="9"/>
  <c r="L85" i="9"/>
  <c r="K85" i="9"/>
  <c r="L84" i="9"/>
  <c r="K84" i="9"/>
  <c r="L83" i="9"/>
  <c r="K83" i="9"/>
  <c r="L82" i="9"/>
  <c r="K82" i="9"/>
  <c r="L81" i="9"/>
  <c r="K81" i="9"/>
  <c r="L80" i="9"/>
  <c r="K80" i="9"/>
  <c r="L79" i="9"/>
  <c r="K79" i="9"/>
  <c r="L78" i="9"/>
  <c r="K78" i="9"/>
  <c r="L77" i="9"/>
  <c r="K77" i="9"/>
  <c r="L76" i="9"/>
  <c r="K76" i="9"/>
  <c r="L75" i="9"/>
  <c r="K75" i="9"/>
  <c r="L74" i="9"/>
  <c r="K74" i="9"/>
  <c r="L73" i="9"/>
  <c r="K73" i="9"/>
  <c r="L72" i="9"/>
  <c r="K72" i="9"/>
  <c r="L71" i="9"/>
  <c r="K71" i="9"/>
  <c r="L70" i="9"/>
  <c r="K70" i="9"/>
  <c r="L69" i="9"/>
  <c r="K69" i="9"/>
  <c r="L68" i="9"/>
  <c r="K68" i="9"/>
  <c r="L67" i="9"/>
  <c r="K67" i="9"/>
  <c r="L66" i="9"/>
  <c r="K66" i="9"/>
  <c r="L65" i="9"/>
  <c r="K65" i="9"/>
  <c r="L64" i="9"/>
  <c r="K64" i="9"/>
  <c r="L63" i="9"/>
  <c r="K63" i="9"/>
  <c r="L62" i="9"/>
  <c r="K62" i="9"/>
  <c r="L61" i="9"/>
  <c r="K61" i="9"/>
  <c r="L60" i="9"/>
  <c r="K60" i="9"/>
  <c r="L59" i="9"/>
  <c r="K59" i="9"/>
  <c r="L58" i="9"/>
  <c r="K58" i="9"/>
  <c r="L57" i="9"/>
  <c r="K57" i="9"/>
  <c r="L56" i="9"/>
  <c r="K56" i="9"/>
  <c r="L55" i="9"/>
  <c r="K55" i="9"/>
  <c r="L54" i="9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4" i="9"/>
  <c r="K44" i="9"/>
  <c r="L43" i="9"/>
  <c r="K43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L32" i="9"/>
  <c r="K32" i="9"/>
  <c r="L31" i="9"/>
  <c r="K31" i="9"/>
  <c r="L30" i="9"/>
  <c r="K30" i="9"/>
  <c r="L29" i="9"/>
  <c r="K29" i="9"/>
  <c r="L28" i="9"/>
  <c r="K28" i="9"/>
  <c r="L27" i="9"/>
  <c r="K27" i="9"/>
  <c r="L26" i="9"/>
  <c r="K26" i="9"/>
  <c r="L25" i="9"/>
  <c r="K25" i="9"/>
  <c r="L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L6" i="9"/>
  <c r="L5" i="9"/>
  <c r="K5" i="9"/>
  <c r="L4" i="9"/>
  <c r="K4" i="9"/>
  <c r="L3" i="9"/>
  <c r="K3" i="9"/>
  <c r="L2" i="9"/>
  <c r="L126" i="9"/>
  <c r="K126" i="9"/>
  <c r="L129" i="8"/>
  <c r="K129" i="8"/>
  <c r="D133" i="8"/>
  <c r="D132" i="8"/>
  <c r="D131" i="8"/>
  <c r="M26" i="9" l="1"/>
  <c r="M42" i="9"/>
  <c r="M38" i="9"/>
  <c r="M33" i="9"/>
  <c r="M45" i="9"/>
  <c r="M47" i="9"/>
  <c r="M59" i="9"/>
  <c r="M69" i="9"/>
  <c r="M71" i="9"/>
  <c r="M73" i="9"/>
  <c r="M44" i="9"/>
  <c r="M48" i="9"/>
  <c r="M52" i="9"/>
  <c r="M54" i="9"/>
  <c r="M68" i="9"/>
  <c r="M72" i="9"/>
  <c r="M76" i="9"/>
  <c r="M78" i="9"/>
  <c r="M92" i="9"/>
  <c r="K106" i="9"/>
  <c r="M18" i="9"/>
  <c r="M20" i="9"/>
  <c r="M28" i="9"/>
  <c r="M30" i="9"/>
  <c r="M62" i="9"/>
  <c r="M66" i="9"/>
  <c r="M88" i="9"/>
  <c r="K128" i="9"/>
  <c r="M2" i="9"/>
  <c r="M21" i="9"/>
  <c r="M23" i="9"/>
  <c r="M25" i="9"/>
  <c r="M94" i="9"/>
  <c r="M96" i="9"/>
  <c r="M98" i="9"/>
  <c r="M35" i="9"/>
  <c r="M37" i="9"/>
  <c r="M56" i="9"/>
  <c r="M60" i="9"/>
  <c r="M64" i="9"/>
  <c r="M74" i="9"/>
  <c r="M81" i="9"/>
  <c r="M83" i="9"/>
  <c r="M85" i="9"/>
  <c r="M87" i="9"/>
  <c r="M24" i="9"/>
  <c r="M49" i="9"/>
  <c r="M97" i="9"/>
  <c r="M99" i="9"/>
  <c r="M101" i="9"/>
  <c r="M6" i="9"/>
  <c r="M32" i="9"/>
  <c r="M36" i="9"/>
  <c r="M40" i="9"/>
  <c r="M50" i="9"/>
  <c r="M80" i="9"/>
  <c r="M84" i="9"/>
  <c r="M90" i="9"/>
  <c r="M102" i="9"/>
  <c r="M16" i="9"/>
  <c r="M13" i="9"/>
  <c r="M12" i="9"/>
  <c r="M11" i="9"/>
  <c r="M9" i="9"/>
  <c r="M14" i="9"/>
  <c r="M8" i="9"/>
  <c r="M4" i="9"/>
  <c r="M129" i="8"/>
  <c r="M3" i="9"/>
  <c r="M5" i="9"/>
  <c r="M10" i="9"/>
  <c r="M17" i="9"/>
  <c r="M22" i="9"/>
  <c r="M29" i="9"/>
  <c r="M34" i="9"/>
  <c r="M39" i="9"/>
  <c r="M53" i="9"/>
  <c r="M65" i="9"/>
  <c r="M75" i="9"/>
  <c r="M77" i="9"/>
  <c r="M82" i="9"/>
  <c r="M89" i="9"/>
  <c r="M91" i="9"/>
  <c r="M103" i="9"/>
  <c r="M7" i="9"/>
  <c r="M19" i="9"/>
  <c r="M31" i="9"/>
  <c r="M43" i="9"/>
  <c r="M55" i="9"/>
  <c r="M57" i="9"/>
  <c r="M67" i="9"/>
  <c r="M79" i="9"/>
  <c r="M86" i="9"/>
  <c r="M93" i="9"/>
  <c r="M95" i="9"/>
  <c r="M100" i="9"/>
  <c r="M15" i="9"/>
  <c r="M27" i="9"/>
  <c r="M41" i="9"/>
  <c r="M46" i="9"/>
  <c r="M51" i="9"/>
  <c r="M58" i="9"/>
  <c r="M63" i="9"/>
  <c r="M70" i="9"/>
  <c r="M61" i="9"/>
  <c r="E134" i="8"/>
  <c r="B133" i="8"/>
  <c r="B132" i="8"/>
  <c r="B131" i="8"/>
  <c r="L106" i="9" l="1"/>
  <c r="B130" i="8"/>
  <c r="D126" i="8"/>
  <c r="L126" i="8" s="1"/>
  <c r="D125" i="8"/>
  <c r="L123" i="8"/>
  <c r="L121" i="8"/>
  <c r="L120" i="8"/>
  <c r="L119" i="8"/>
  <c r="L98" i="8"/>
  <c r="L97" i="8"/>
  <c r="L96" i="8"/>
  <c r="L89" i="8"/>
  <c r="K88" i="8"/>
  <c r="L87" i="8"/>
  <c r="L85" i="8"/>
  <c r="K85" i="8"/>
  <c r="L62" i="8"/>
  <c r="L134" i="8"/>
  <c r="K134" i="8"/>
  <c r="L133" i="8"/>
  <c r="K133" i="8"/>
  <c r="L132" i="8"/>
  <c r="K132" i="8"/>
  <c r="L131" i="8"/>
  <c r="K131" i="8"/>
  <c r="L130" i="8"/>
  <c r="K130" i="8"/>
  <c r="L128" i="8"/>
  <c r="L127" i="8"/>
  <c r="L125" i="8"/>
  <c r="K124" i="8"/>
  <c r="L124" i="8"/>
  <c r="E128" i="8"/>
  <c r="B128" i="8"/>
  <c r="K128" i="8" s="1"/>
  <c r="N106" i="9" l="1"/>
  <c r="M106" i="9"/>
  <c r="E127" i="8"/>
  <c r="B127" i="8"/>
  <c r="K127" i="8" l="1"/>
  <c r="B126" i="8"/>
  <c r="K126" i="8" s="1"/>
  <c r="B125" i="8"/>
  <c r="K125" i="8" s="1"/>
  <c r="B123" i="8" l="1"/>
  <c r="K123" i="8" s="1"/>
  <c r="B120" i="8" l="1"/>
  <c r="K120" i="8" s="1"/>
  <c r="K118" i="8"/>
  <c r="B121" i="8"/>
  <c r="E121" i="8"/>
  <c r="K121" i="8" l="1"/>
  <c r="B119" i="8"/>
  <c r="K119" i="8" s="1"/>
  <c r="B112" i="8"/>
  <c r="B111" i="8"/>
  <c r="K111" i="8" s="1"/>
  <c r="D113" i="8"/>
  <c r="D110" i="8"/>
  <c r="D108" i="8"/>
  <c r="D107" i="8"/>
  <c r="D109" i="8"/>
  <c r="G113" i="8"/>
  <c r="G111" i="8"/>
  <c r="G112" i="8"/>
  <c r="G109" i="8"/>
  <c r="G107" i="8"/>
  <c r="B113" i="8"/>
  <c r="E113" i="8"/>
  <c r="E111" i="8"/>
  <c r="E112" i="8"/>
  <c r="E110" i="8"/>
  <c r="E109" i="8"/>
  <c r="B109" i="8"/>
  <c r="B110" i="8"/>
  <c r="E108" i="8"/>
  <c r="B108" i="8"/>
  <c r="K108" i="8" s="1"/>
  <c r="E107" i="8"/>
  <c r="B107" i="8"/>
  <c r="K107" i="8" s="1"/>
  <c r="D101" i="8"/>
  <c r="L101" i="8" s="1"/>
  <c r="D100" i="8"/>
  <c r="L100" i="8" s="1"/>
  <c r="D99" i="8"/>
  <c r="L99" i="8" s="1"/>
  <c r="G106" i="8"/>
  <c r="G103" i="8"/>
  <c r="L103" i="8" s="1"/>
  <c r="G105" i="8"/>
  <c r="G104" i="8"/>
  <c r="L104" i="8" s="1"/>
  <c r="G102" i="8"/>
  <c r="L102" i="8" s="1"/>
  <c r="K110" i="8" l="1"/>
  <c r="K113" i="8"/>
  <c r="K112" i="8"/>
  <c r="K109" i="8"/>
  <c r="L113" i="8"/>
  <c r="E106" i="8"/>
  <c r="B106" i="8"/>
  <c r="K106" i="8" s="1"/>
  <c r="E103" i="8"/>
  <c r="B103" i="8"/>
  <c r="E105" i="8"/>
  <c r="B105" i="8"/>
  <c r="K105" i="8" s="1"/>
  <c r="E104" i="8"/>
  <c r="B104" i="8"/>
  <c r="E102" i="8"/>
  <c r="B102" i="8"/>
  <c r="K102" i="8" s="1"/>
  <c r="H101" i="8"/>
  <c r="E101" i="8"/>
  <c r="B101" i="8"/>
  <c r="B100" i="8"/>
  <c r="K100" i="8" s="1"/>
  <c r="B99" i="8"/>
  <c r="E99" i="8"/>
  <c r="G94" i="8"/>
  <c r="G93" i="8"/>
  <c r="G92" i="8"/>
  <c r="L92" i="8" s="1"/>
  <c r="G91" i="8"/>
  <c r="L91" i="8" s="1"/>
  <c r="G90" i="8"/>
  <c r="D95" i="8"/>
  <c r="L95" i="8" s="1"/>
  <c r="D94" i="8"/>
  <c r="L94" i="8" s="1"/>
  <c r="D93" i="8"/>
  <c r="L93" i="8" l="1"/>
  <c r="K104" i="8"/>
  <c r="K103" i="8"/>
  <c r="K99" i="8"/>
  <c r="K101" i="8"/>
  <c r="B98" i="8"/>
  <c r="K98" i="8" s="1"/>
  <c r="E97" i="8"/>
  <c r="B97" i="8"/>
  <c r="B96" i="8"/>
  <c r="E96" i="8"/>
  <c r="B95" i="8"/>
  <c r="E95" i="8"/>
  <c r="E94" i="8"/>
  <c r="B94" i="8"/>
  <c r="K94" i="8" s="1"/>
  <c r="B93" i="8"/>
  <c r="E93" i="8"/>
  <c r="E92" i="8"/>
  <c r="K92" i="8" s="1"/>
  <c r="E91" i="8"/>
  <c r="K91" i="8" s="1"/>
  <c r="E90" i="8"/>
  <c r="K90" i="8" s="1"/>
  <c r="K93" i="8" l="1"/>
  <c r="K95" i="8"/>
  <c r="K96" i="8"/>
  <c r="K97" i="8"/>
  <c r="D115" i="8"/>
  <c r="D116" i="8"/>
  <c r="D117" i="8"/>
  <c r="D114" i="8"/>
  <c r="J117" i="8" l="1"/>
  <c r="J116" i="8"/>
  <c r="J115" i="8"/>
  <c r="L115" i="8" s="1"/>
  <c r="J114" i="8"/>
  <c r="L114" i="8" s="1"/>
  <c r="H117" i="8"/>
  <c r="H116" i="8"/>
  <c r="H115" i="8"/>
  <c r="H114" i="8"/>
  <c r="B117" i="8"/>
  <c r="K117" i="8" s="1"/>
  <c r="B116" i="8"/>
  <c r="K116" i="8" s="1"/>
  <c r="B115" i="8"/>
  <c r="K115" i="8" s="1"/>
  <c r="B114" i="8"/>
  <c r="E87" i="8"/>
  <c r="B87" i="8"/>
  <c r="K87" i="8" s="1"/>
  <c r="B89" i="8"/>
  <c r="K89" i="8" s="1"/>
  <c r="K114" i="8" l="1"/>
  <c r="H77" i="8"/>
  <c r="K77" i="8" s="1"/>
  <c r="J77" i="8"/>
  <c r="L77" i="8" s="1"/>
  <c r="D86" i="8"/>
  <c r="L86" i="8" s="1"/>
  <c r="H86" i="8"/>
  <c r="B84" i="8" l="1"/>
  <c r="K84" i="8" s="1"/>
  <c r="B86" i="8"/>
  <c r="K86" i="8" s="1"/>
  <c r="D79" i="8"/>
  <c r="E83" i="8" l="1"/>
  <c r="B83" i="8"/>
  <c r="K83" i="8" s="1"/>
  <c r="B82" i="8"/>
  <c r="K82" i="8" s="1"/>
  <c r="E81" i="8"/>
  <c r="B81" i="8"/>
  <c r="E80" i="8"/>
  <c r="B80" i="8"/>
  <c r="K80" i="8" s="1"/>
  <c r="B79" i="8"/>
  <c r="K79" i="8" s="1"/>
  <c r="E79" i="8"/>
  <c r="K81" i="8" l="1"/>
  <c r="E78" i="8"/>
  <c r="K78" i="8" s="1"/>
  <c r="B75" i="8" l="1"/>
  <c r="K75" i="8" s="1"/>
  <c r="B76" i="8"/>
  <c r="E76" i="8"/>
  <c r="L168" i="8"/>
  <c r="K168" i="8"/>
  <c r="D68" i="8"/>
  <c r="D67" i="8"/>
  <c r="D71" i="8"/>
  <c r="D70" i="8"/>
  <c r="D69" i="8"/>
  <c r="D66" i="8"/>
  <c r="D65" i="8"/>
  <c r="D64" i="8"/>
  <c r="D63" i="8"/>
  <c r="K76" i="8" l="1"/>
  <c r="B71" i="8"/>
  <c r="B70" i="8"/>
  <c r="B69" i="8"/>
  <c r="B68" i="8"/>
  <c r="B67" i="8"/>
  <c r="K67" i="8" s="1"/>
  <c r="B66" i="8"/>
  <c r="B65" i="8"/>
  <c r="B64" i="8"/>
  <c r="K64" i="8" s="1"/>
  <c r="B63" i="8"/>
  <c r="K63" i="8" s="1"/>
  <c r="E62" i="8"/>
  <c r="B62" i="8" l="1"/>
  <c r="K62" i="8" s="1"/>
  <c r="B60" i="8"/>
  <c r="K60" i="8" s="1"/>
  <c r="D56" i="8"/>
  <c r="D55" i="8"/>
  <c r="G56" i="8"/>
  <c r="G55" i="8"/>
  <c r="E56" i="8" l="1"/>
  <c r="K56" i="8" s="1"/>
  <c r="E55" i="8"/>
  <c r="G53" i="8"/>
  <c r="D50" i="8"/>
  <c r="E54" i="8" l="1"/>
  <c r="B54" i="8"/>
  <c r="E53" i="8"/>
  <c r="B52" i="8"/>
  <c r="E51" i="8"/>
  <c r="B50" i="8"/>
  <c r="E49" i="8"/>
  <c r="E47" i="8"/>
  <c r="E46" i="8"/>
  <c r="E45" i="8"/>
  <c r="E44" i="8"/>
  <c r="E43" i="8"/>
  <c r="E42" i="8"/>
  <c r="B42" i="8"/>
  <c r="B48" i="8"/>
  <c r="J42" i="8"/>
  <c r="G44" i="8"/>
  <c r="G45" i="8"/>
  <c r="G46" i="8"/>
  <c r="G47" i="8"/>
  <c r="G43" i="8"/>
  <c r="J39" i="8" l="1"/>
  <c r="J38" i="8"/>
  <c r="J37" i="8"/>
  <c r="J36" i="8"/>
  <c r="J35" i="8"/>
  <c r="J34" i="8"/>
  <c r="H37" i="8"/>
  <c r="H36" i="8"/>
  <c r="E37" i="8"/>
  <c r="E36" i="8"/>
  <c r="B37" i="8"/>
  <c r="B36" i="8"/>
  <c r="D37" i="8"/>
  <c r="D36" i="8"/>
  <c r="D39" i="8"/>
  <c r="D38" i="8"/>
  <c r="D35" i="8"/>
  <c r="D34" i="8"/>
  <c r="D33" i="8"/>
  <c r="B33" i="8"/>
  <c r="D31" i="8"/>
  <c r="B34" i="8" l="1"/>
  <c r="E39" i="8"/>
  <c r="E38" i="8"/>
  <c r="B39" i="8"/>
  <c r="B38" i="8"/>
  <c r="E35" i="8"/>
  <c r="H34" i="8"/>
  <c r="H35" i="8"/>
  <c r="B35" i="8"/>
  <c r="E34" i="8"/>
  <c r="J32" i="8"/>
  <c r="J31" i="8"/>
  <c r="B31" i="8" l="1"/>
  <c r="H31" i="8"/>
  <c r="H32" i="8"/>
  <c r="E32" i="8"/>
  <c r="B32" i="8"/>
  <c r="E33" i="8"/>
  <c r="D30" i="8"/>
  <c r="D28" i="8"/>
  <c r="G28" i="8" l="1"/>
  <c r="B29" i="8" l="1"/>
  <c r="H30" i="8"/>
  <c r="E30" i="8"/>
  <c r="B30" i="8"/>
  <c r="E28" i="8"/>
  <c r="B28" i="8"/>
  <c r="B27" i="8"/>
  <c r="E27" i="8"/>
  <c r="D26" i="8"/>
  <c r="D25" i="8"/>
  <c r="D24" i="8"/>
  <c r="D23" i="8"/>
  <c r="D22" i="8"/>
  <c r="B26" i="8" l="1"/>
  <c r="B25" i="8"/>
  <c r="B24" i="8"/>
  <c r="B23" i="8"/>
  <c r="B22" i="8"/>
  <c r="E21" i="8"/>
  <c r="B21" i="8"/>
  <c r="E166" i="7"/>
  <c r="K166" i="7" s="1"/>
  <c r="L166" i="7"/>
  <c r="M166" i="7" s="1"/>
  <c r="B167" i="7"/>
  <c r="D167" i="7"/>
  <c r="E167" i="7"/>
  <c r="G167" i="7"/>
  <c r="L167" i="7" s="1"/>
  <c r="B168" i="7"/>
  <c r="D168" i="7"/>
  <c r="E168" i="7"/>
  <c r="G168" i="7"/>
  <c r="L168" i="7" s="1"/>
  <c r="K168" i="7"/>
  <c r="E169" i="7"/>
  <c r="K169" i="7" s="1"/>
  <c r="G169" i="7"/>
  <c r="L169" i="7" s="1"/>
  <c r="M169" i="7" s="1"/>
  <c r="E170" i="7"/>
  <c r="K170" i="7" s="1"/>
  <c r="G170" i="7"/>
  <c r="L170" i="7" s="1"/>
  <c r="D171" i="7"/>
  <c r="E171" i="7"/>
  <c r="K171" i="7" s="1"/>
  <c r="G171" i="7"/>
  <c r="L171" i="7" s="1"/>
  <c r="D172" i="7"/>
  <c r="L172" i="7" s="1"/>
  <c r="E172" i="7"/>
  <c r="K172" i="7" s="1"/>
  <c r="G172" i="7"/>
  <c r="B173" i="7"/>
  <c r="D173" i="7"/>
  <c r="E173" i="7"/>
  <c r="K173" i="7" s="1"/>
  <c r="G173" i="7"/>
  <c r="B174" i="7"/>
  <c r="D174" i="7"/>
  <c r="E174" i="7"/>
  <c r="K174" i="7" s="1"/>
  <c r="G174" i="7"/>
  <c r="B175" i="7"/>
  <c r="D175" i="7"/>
  <c r="E175" i="7"/>
  <c r="G175" i="7"/>
  <c r="K175" i="7"/>
  <c r="L175" i="7"/>
  <c r="M175" i="7" s="1"/>
  <c r="E176" i="7"/>
  <c r="K176" i="7"/>
  <c r="L176" i="7"/>
  <c r="E177" i="7"/>
  <c r="K177" i="7" s="1"/>
  <c r="G177" i="7"/>
  <c r="L177" i="7" s="1"/>
  <c r="D178" i="7"/>
  <c r="E178" i="7"/>
  <c r="K178" i="7" s="1"/>
  <c r="M178" i="7" s="1"/>
  <c r="G178" i="7"/>
  <c r="L178" i="7"/>
  <c r="D179" i="7"/>
  <c r="E179" i="7"/>
  <c r="K179" i="7" s="1"/>
  <c r="G179" i="7"/>
  <c r="B180" i="7"/>
  <c r="E180" i="7"/>
  <c r="G180" i="7"/>
  <c r="L180" i="7"/>
  <c r="K182" i="7"/>
  <c r="L182" i="7"/>
  <c r="M182" i="7" s="1"/>
  <c r="K183" i="7"/>
  <c r="L183" i="7"/>
  <c r="M183" i="7" s="1"/>
  <c r="D20" i="8"/>
  <c r="D19" i="8"/>
  <c r="K180" i="7" l="1"/>
  <c r="M180" i="7" s="1"/>
  <c r="M176" i="7"/>
  <c r="M172" i="7"/>
  <c r="M170" i="7"/>
  <c r="M168" i="7"/>
  <c r="K167" i="7"/>
  <c r="M167" i="7" s="1"/>
  <c r="M171" i="7"/>
  <c r="L179" i="7"/>
  <c r="M179" i="7" s="1"/>
  <c r="M177" i="7"/>
  <c r="L174" i="7"/>
  <c r="M174" i="7" s="1"/>
  <c r="L173" i="7"/>
  <c r="M173" i="7" s="1"/>
  <c r="K185" i="7"/>
  <c r="G19" i="8"/>
  <c r="L185" i="7" l="1"/>
  <c r="K187" i="7"/>
  <c r="G20" i="8"/>
  <c r="B20" i="8"/>
  <c r="B19" i="8"/>
  <c r="G18" i="8"/>
  <c r="G17" i="8"/>
  <c r="B17" i="8" l="1"/>
  <c r="E17" i="8"/>
  <c r="B18" i="8"/>
  <c r="E18" i="8"/>
  <c r="B16" i="8"/>
  <c r="K170" i="8"/>
  <c r="D13" i="8"/>
  <c r="D12" i="8"/>
  <c r="D11" i="8"/>
  <c r="B13" i="8" l="1"/>
  <c r="B12" i="8"/>
  <c r="B11" i="8"/>
  <c r="E10" i="8"/>
  <c r="E9" i="8"/>
  <c r="E8" i="8"/>
  <c r="G10" i="8"/>
  <c r="G9" i="8"/>
  <c r="G8" i="8"/>
  <c r="G7" i="8"/>
  <c r="B8" i="8" l="1"/>
  <c r="D8" i="8"/>
  <c r="B9" i="8"/>
  <c r="D9" i="8"/>
  <c r="B10" i="8"/>
  <c r="D10" i="8"/>
  <c r="D7" i="8"/>
  <c r="E7" i="8" l="1"/>
  <c r="B7" i="8"/>
  <c r="B6" i="8"/>
  <c r="E5" i="8" l="1"/>
  <c r="B5" i="8"/>
  <c r="B4" i="8"/>
  <c r="E3" i="8" l="1"/>
  <c r="B3" i="8"/>
  <c r="E2" i="8"/>
  <c r="B2" i="8"/>
  <c r="D151" i="7"/>
  <c r="D149" i="7"/>
  <c r="B158" i="7"/>
  <c r="E157" i="7"/>
  <c r="D155" i="7" l="1"/>
  <c r="D154" i="7"/>
  <c r="D150" i="7"/>
  <c r="D148" i="7"/>
  <c r="D147" i="7"/>
  <c r="D144" i="7"/>
  <c r="D143" i="7"/>
  <c r="G156" i="7"/>
  <c r="G151" i="7"/>
  <c r="G149" i="7"/>
  <c r="G155" i="7"/>
  <c r="G154" i="7"/>
  <c r="G153" i="7"/>
  <c r="G150" i="7"/>
  <c r="G148" i="7"/>
  <c r="G147" i="7"/>
  <c r="G146" i="7"/>
  <c r="G145" i="7"/>
  <c r="G144" i="7"/>
  <c r="G143" i="7"/>
  <c r="L159" i="7" l="1"/>
  <c r="K159" i="7"/>
  <c r="L158" i="7"/>
  <c r="K158" i="7"/>
  <c r="L157" i="7"/>
  <c r="K157" i="7"/>
  <c r="B156" i="7"/>
  <c r="E156" i="7"/>
  <c r="M158" i="7" l="1"/>
  <c r="M159" i="7"/>
  <c r="M157" i="7"/>
  <c r="E155" i="7"/>
  <c r="K155" i="7" s="1"/>
  <c r="E154" i="7"/>
  <c r="K154" i="7" s="1"/>
  <c r="E153" i="7"/>
  <c r="K153" i="7" s="1"/>
  <c r="E152" i="7"/>
  <c r="K152" i="7" s="1"/>
  <c r="B151" i="7"/>
  <c r="E151" i="7"/>
  <c r="E150" i="7"/>
  <c r="B150" i="7"/>
  <c r="E149" i="7"/>
  <c r="B149" i="7"/>
  <c r="E148" i="7"/>
  <c r="K148" i="7" s="1"/>
  <c r="E147" i="7"/>
  <c r="K147" i="7" s="1"/>
  <c r="E146" i="7"/>
  <c r="K146" i="7" s="1"/>
  <c r="E145" i="7"/>
  <c r="K145" i="7" s="1"/>
  <c r="E144" i="7"/>
  <c r="B144" i="7"/>
  <c r="B143" i="7"/>
  <c r="E143" i="7"/>
  <c r="L156" i="7"/>
  <c r="K156" i="7"/>
  <c r="L155" i="7"/>
  <c r="L154" i="7"/>
  <c r="L153" i="7"/>
  <c r="L152" i="7"/>
  <c r="L149" i="7"/>
  <c r="L148" i="7"/>
  <c r="L147" i="7"/>
  <c r="L146" i="7"/>
  <c r="L145" i="7"/>
  <c r="L144" i="7"/>
  <c r="L143" i="7"/>
  <c r="L142" i="7"/>
  <c r="E142" i="7"/>
  <c r="K142" i="7" s="1"/>
  <c r="M147" i="7" l="1"/>
  <c r="K149" i="7"/>
  <c r="M149" i="7" s="1"/>
  <c r="K143" i="7"/>
  <c r="M143" i="7" s="1"/>
  <c r="K144" i="7"/>
  <c r="M144" i="7" s="1"/>
  <c r="M142" i="7"/>
  <c r="M155" i="7"/>
  <c r="M153" i="7"/>
  <c r="M152" i="7"/>
  <c r="M148" i="7"/>
  <c r="M146" i="7"/>
  <c r="M145" i="7"/>
  <c r="M156" i="7"/>
  <c r="M154" i="7"/>
  <c r="L122" i="8"/>
  <c r="K122" i="8"/>
  <c r="L118" i="8"/>
  <c r="L117" i="8"/>
  <c r="L116" i="8"/>
  <c r="L112" i="8"/>
  <c r="L111" i="8"/>
  <c r="L110" i="8"/>
  <c r="L109" i="8"/>
  <c r="L108" i="8"/>
  <c r="L107" i="8"/>
  <c r="L106" i="8"/>
  <c r="L105" i="8"/>
  <c r="L90" i="8"/>
  <c r="L88" i="8"/>
  <c r="M88" i="8" s="1"/>
  <c r="L84" i="8"/>
  <c r="L83" i="8"/>
  <c r="L82" i="8"/>
  <c r="L81" i="8"/>
  <c r="M81" i="8" s="1"/>
  <c r="L80" i="8"/>
  <c r="L79" i="8"/>
  <c r="L78" i="8"/>
  <c r="L76" i="8"/>
  <c r="L75" i="8"/>
  <c r="K74" i="8"/>
  <c r="L74" i="8"/>
  <c r="K73" i="8"/>
  <c r="L73" i="8"/>
  <c r="K72" i="8"/>
  <c r="L72" i="8"/>
  <c r="L71" i="8"/>
  <c r="K71" i="8"/>
  <c r="L70" i="8"/>
  <c r="K70" i="8"/>
  <c r="L69" i="8"/>
  <c r="K69" i="8"/>
  <c r="L68" i="8"/>
  <c r="K68" i="8"/>
  <c r="L67" i="8"/>
  <c r="L66" i="8"/>
  <c r="K66" i="8"/>
  <c r="K65" i="8"/>
  <c r="L65" i="8"/>
  <c r="L64" i="8"/>
  <c r="L63" i="8"/>
  <c r="L61" i="8"/>
  <c r="K61" i="8"/>
  <c r="L60" i="8"/>
  <c r="L59" i="8"/>
  <c r="K59" i="8"/>
  <c r="L58" i="8"/>
  <c r="K58" i="8"/>
  <c r="L57" i="8"/>
  <c r="K57" i="8"/>
  <c r="L56" i="8"/>
  <c r="K55" i="8"/>
  <c r="L55" i="8"/>
  <c r="L54" i="8"/>
  <c r="K54" i="8"/>
  <c r="K53" i="8"/>
  <c r="L53" i="8"/>
  <c r="L52" i="8"/>
  <c r="K52" i="8"/>
  <c r="K51" i="8"/>
  <c r="L51" i="8"/>
  <c r="L50" i="8"/>
  <c r="K50" i="8"/>
  <c r="L49" i="8"/>
  <c r="K49" i="8"/>
  <c r="L48" i="8"/>
  <c r="K48" i="8"/>
  <c r="L47" i="8"/>
  <c r="K47" i="8"/>
  <c r="L46" i="8"/>
  <c r="K46" i="8"/>
  <c r="L45" i="8"/>
  <c r="K45" i="8"/>
  <c r="L44" i="8"/>
  <c r="K44" i="8"/>
  <c r="L43" i="8"/>
  <c r="K43" i="8"/>
  <c r="L42" i="8"/>
  <c r="K42" i="8"/>
  <c r="L41" i="8"/>
  <c r="L40" i="8"/>
  <c r="K40" i="8"/>
  <c r="L39" i="8"/>
  <c r="K39" i="8"/>
  <c r="L38" i="8"/>
  <c r="K38" i="8"/>
  <c r="L37" i="8"/>
  <c r="K37" i="8"/>
  <c r="L36" i="8"/>
  <c r="K36" i="8"/>
  <c r="L35" i="8"/>
  <c r="K35" i="8"/>
  <c r="L34" i="8"/>
  <c r="K34" i="8"/>
  <c r="L33" i="8"/>
  <c r="K33" i="8"/>
  <c r="K32" i="8"/>
  <c r="L32" i="8"/>
  <c r="K31" i="8"/>
  <c r="L31" i="8"/>
  <c r="L30" i="8"/>
  <c r="L29" i="8"/>
  <c r="K29" i="8"/>
  <c r="L28" i="8"/>
  <c r="K28" i="8"/>
  <c r="K27" i="8"/>
  <c r="L26" i="8"/>
  <c r="K26" i="8"/>
  <c r="L25" i="8"/>
  <c r="K25" i="8"/>
  <c r="L24" i="8"/>
  <c r="K24" i="8"/>
  <c r="L23" i="8"/>
  <c r="K23" i="8"/>
  <c r="L22" i="8"/>
  <c r="K22" i="8"/>
  <c r="L21" i="8"/>
  <c r="K21" i="8"/>
  <c r="L20" i="8"/>
  <c r="K20" i="8"/>
  <c r="K19" i="8"/>
  <c r="L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K11" i="8"/>
  <c r="L11" i="8"/>
  <c r="L10" i="8"/>
  <c r="L9" i="8"/>
  <c r="K9" i="8"/>
  <c r="L8" i="8"/>
  <c r="K8" i="8"/>
  <c r="L7" i="8"/>
  <c r="K7" i="8"/>
  <c r="L6" i="8"/>
  <c r="K6" i="8"/>
  <c r="L5" i="8"/>
  <c r="K5" i="8"/>
  <c r="L4" i="8"/>
  <c r="K4" i="8"/>
  <c r="L3" i="8"/>
  <c r="K3" i="8"/>
  <c r="L2" i="8"/>
  <c r="K2" i="8"/>
  <c r="D138" i="7"/>
  <c r="D135" i="7"/>
  <c r="D134" i="7"/>
  <c r="D133" i="7"/>
  <c r="B133" i="7"/>
  <c r="G133" i="7"/>
  <c r="B141" i="7"/>
  <c r="E138" i="7"/>
  <c r="E137" i="7"/>
  <c r="E136" i="7"/>
  <c r="M40" i="8" l="1"/>
  <c r="M14" i="8"/>
  <c r="M85" i="8"/>
  <c r="M131" i="8"/>
  <c r="M4" i="8"/>
  <c r="M16" i="8"/>
  <c r="M33" i="8"/>
  <c r="M120" i="8"/>
  <c r="M23" i="8"/>
  <c r="M48" i="8"/>
  <c r="M56" i="8"/>
  <c r="M123" i="8"/>
  <c r="M125" i="8"/>
  <c r="M113" i="8"/>
  <c r="M111" i="8"/>
  <c r="M109" i="8"/>
  <c r="M107" i="8"/>
  <c r="M103" i="8"/>
  <c r="M105" i="8"/>
  <c r="M101" i="8"/>
  <c r="M99" i="8"/>
  <c r="M97" i="8"/>
  <c r="M95" i="8"/>
  <c r="M90" i="8"/>
  <c r="M117" i="8"/>
  <c r="M115" i="8"/>
  <c r="M89" i="8"/>
  <c r="M87" i="8"/>
  <c r="M92" i="8"/>
  <c r="M84" i="8"/>
  <c r="M86" i="8"/>
  <c r="M83" i="8"/>
  <c r="M79" i="8"/>
  <c r="M78" i="8"/>
  <c r="M77" i="8"/>
  <c r="M76" i="8"/>
  <c r="M71" i="8"/>
  <c r="M67" i="8"/>
  <c r="M66" i="8"/>
  <c r="M68" i="8"/>
  <c r="M63" i="8"/>
  <c r="M72" i="8"/>
  <c r="M62" i="8"/>
  <c r="M58" i="8"/>
  <c r="M57" i="8"/>
  <c r="M54" i="8"/>
  <c r="M53" i="8"/>
  <c r="M46" i="8"/>
  <c r="M44" i="8"/>
  <c r="M45" i="8"/>
  <c r="M43" i="8"/>
  <c r="M47" i="8"/>
  <c r="M37" i="8"/>
  <c r="M36" i="8"/>
  <c r="M38" i="8"/>
  <c r="M35" i="8"/>
  <c r="M34" i="8"/>
  <c r="M32" i="8"/>
  <c r="M25" i="8"/>
  <c r="M21" i="8"/>
  <c r="M20" i="8"/>
  <c r="M19" i="8"/>
  <c r="M12" i="8"/>
  <c r="M7" i="8"/>
  <c r="M6" i="8"/>
  <c r="M126" i="8"/>
  <c r="M128" i="8"/>
  <c r="M133" i="8"/>
  <c r="M119" i="8"/>
  <c r="M130" i="8"/>
  <c r="M94" i="8"/>
  <c r="M96" i="8"/>
  <c r="M98" i="8"/>
  <c r="M100" i="8"/>
  <c r="M102" i="8"/>
  <c r="M104" i="8"/>
  <c r="M106" i="8"/>
  <c r="M108" i="8"/>
  <c r="M110" i="8"/>
  <c r="M112" i="8"/>
  <c r="M114" i="8"/>
  <c r="M116" i="8"/>
  <c r="M118" i="8"/>
  <c r="M121" i="8"/>
  <c r="M127" i="8"/>
  <c r="M132" i="8"/>
  <c r="M13" i="8"/>
  <c r="M29" i="8"/>
  <c r="M39" i="8"/>
  <c r="M64" i="8"/>
  <c r="M74" i="8"/>
  <c r="M9" i="8"/>
  <c r="M15" i="8"/>
  <c r="M17" i="8"/>
  <c r="M42" i="8"/>
  <c r="M49" i="8"/>
  <c r="M80" i="8"/>
  <c r="M82" i="8"/>
  <c r="M8" i="8"/>
  <c r="M18" i="8"/>
  <c r="M22" i="8"/>
  <c r="M24" i="8"/>
  <c r="M26" i="8"/>
  <c r="M31" i="8"/>
  <c r="M50" i="8"/>
  <c r="M52" i="8"/>
  <c r="M59" i="8"/>
  <c r="M61" i="8"/>
  <c r="M65" i="8"/>
  <c r="M69" i="8"/>
  <c r="M75" i="8"/>
  <c r="M91" i="8"/>
  <c r="M93" i="8"/>
  <c r="M2" i="8"/>
  <c r="M5" i="8"/>
  <c r="L27" i="8"/>
  <c r="M27" i="8" s="1"/>
  <c r="M28" i="8"/>
  <c r="K41" i="8"/>
  <c r="M41" i="8" s="1"/>
  <c r="M55" i="8"/>
  <c r="M122" i="8"/>
  <c r="K30" i="8"/>
  <c r="M30" i="8" s="1"/>
  <c r="M73" i="8"/>
  <c r="M3" i="8"/>
  <c r="K10" i="8"/>
  <c r="M10" i="8" s="1"/>
  <c r="M11" i="8"/>
  <c r="M51" i="8"/>
  <c r="M60" i="8"/>
  <c r="M70" i="8"/>
  <c r="M124" i="8"/>
  <c r="M134" i="8"/>
  <c r="E135" i="7"/>
  <c r="E134" i="7"/>
  <c r="K136" i="8" l="1"/>
  <c r="L136" i="8"/>
  <c r="E133" i="7"/>
  <c r="N136" i="8" l="1"/>
  <c r="M136" i="8"/>
  <c r="L141" i="7"/>
  <c r="K141" i="7"/>
  <c r="L140" i="7"/>
  <c r="K140" i="7"/>
  <c r="L139" i="7"/>
  <c r="K139" i="7"/>
  <c r="L138" i="7"/>
  <c r="K138" i="7"/>
  <c r="L137" i="7"/>
  <c r="K137" i="7"/>
  <c r="L136" i="7"/>
  <c r="K136" i="7"/>
  <c r="L135" i="7"/>
  <c r="K135" i="7"/>
  <c r="L134" i="7"/>
  <c r="K134" i="7"/>
  <c r="L133" i="7"/>
  <c r="K133" i="7"/>
  <c r="K131" i="7"/>
  <c r="K132" i="7"/>
  <c r="K150" i="7"/>
  <c r="K151" i="7"/>
  <c r="L131" i="7"/>
  <c r="L132" i="7"/>
  <c r="L150" i="7"/>
  <c r="L151" i="7"/>
  <c r="D130" i="7"/>
  <c r="B130" i="7"/>
  <c r="J127" i="7"/>
  <c r="E127" i="7"/>
  <c r="D127" i="7"/>
  <c r="B127" i="7"/>
  <c r="J126" i="7"/>
  <c r="D126" i="7"/>
  <c r="M136" i="7" l="1"/>
  <c r="M150" i="7"/>
  <c r="M140" i="7"/>
  <c r="M133" i="7"/>
  <c r="M141" i="7"/>
  <c r="M137" i="7"/>
  <c r="M134" i="7"/>
  <c r="M138" i="7"/>
  <c r="M135" i="7"/>
  <c r="M139" i="7"/>
  <c r="M131" i="7"/>
  <c r="M151" i="7"/>
  <c r="M132" i="7"/>
  <c r="E126" i="7"/>
  <c r="B126" i="7"/>
  <c r="B123" i="7"/>
  <c r="E123" i="7"/>
  <c r="H122" i="7"/>
  <c r="E122" i="7"/>
  <c r="B122" i="7"/>
  <c r="D125" i="7" l="1"/>
  <c r="B125" i="7"/>
  <c r="D124" i="7"/>
  <c r="B124" i="7"/>
  <c r="D119" i="7"/>
  <c r="D112" i="7"/>
  <c r="D108" i="7"/>
  <c r="D109" i="7"/>
  <c r="D110" i="7"/>
  <c r="D111" i="7"/>
  <c r="D107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91" i="7"/>
  <c r="J91" i="7" l="1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4" i="7"/>
  <c r="J115" i="7"/>
  <c r="J116" i="7"/>
  <c r="J117" i="7"/>
  <c r="J118" i="7"/>
  <c r="J113" i="7"/>
  <c r="B119" i="7" l="1"/>
  <c r="D118" i="7" l="1"/>
  <c r="D117" i="7"/>
  <c r="D116" i="7"/>
  <c r="D115" i="7"/>
  <c r="D114" i="7"/>
  <c r="D113" i="7"/>
  <c r="G114" i="7"/>
  <c r="G115" i="7"/>
  <c r="G116" i="7"/>
  <c r="G117" i="7"/>
  <c r="G118" i="7"/>
  <c r="G113" i="7"/>
  <c r="B112" i="7" l="1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 l="1"/>
  <c r="B89" i="7"/>
  <c r="D75" i="7"/>
  <c r="D74" i="7"/>
  <c r="D73" i="7"/>
  <c r="D72" i="7"/>
  <c r="B73" i="7"/>
  <c r="B74" i="7"/>
  <c r="B75" i="7"/>
  <c r="B72" i="7"/>
  <c r="B81" i="7" l="1"/>
  <c r="B80" i="7"/>
  <c r="B79" i="7"/>
  <c r="B78" i="7"/>
  <c r="B77" i="7"/>
  <c r="B76" i="7"/>
  <c r="D81" i="7"/>
  <c r="D80" i="7"/>
  <c r="D79" i="7"/>
  <c r="D78" i="7"/>
  <c r="D77" i="7"/>
  <c r="D76" i="7"/>
  <c r="B88" i="7" l="1"/>
  <c r="B87" i="7"/>
  <c r="B86" i="7"/>
  <c r="B85" i="7" l="1"/>
  <c r="B84" i="7"/>
  <c r="J72" i="7"/>
  <c r="G83" i="7"/>
  <c r="G82" i="7"/>
  <c r="J83" i="7" l="1"/>
  <c r="J82" i="7"/>
  <c r="J75" i="7"/>
  <c r="J74" i="7"/>
  <c r="J73" i="7"/>
  <c r="J81" i="7"/>
  <c r="J80" i="7"/>
  <c r="J79" i="7"/>
  <c r="J78" i="7"/>
  <c r="J77" i="7"/>
  <c r="J76" i="7"/>
  <c r="G70" i="7" l="1"/>
  <c r="E70" i="7"/>
  <c r="E71" i="7" l="1"/>
  <c r="B71" i="7"/>
  <c r="B70" i="7"/>
  <c r="B68" i="7"/>
  <c r="B67" i="7" l="1"/>
  <c r="B66" i="7"/>
  <c r="J65" i="7" l="1"/>
  <c r="H65" i="7"/>
  <c r="D65" i="7"/>
  <c r="D61" i="7"/>
  <c r="B61" i="7"/>
  <c r="D60" i="7"/>
  <c r="B60" i="7"/>
  <c r="D59" i="7"/>
  <c r="D64" i="7" l="1"/>
  <c r="B64" i="7"/>
  <c r="D63" i="7"/>
  <c r="B63" i="7"/>
  <c r="D62" i="7"/>
  <c r="B62" i="7"/>
  <c r="B59" i="7"/>
  <c r="B57" i="7"/>
  <c r="D53" i="7"/>
  <c r="D55" i="7"/>
  <c r="B55" i="7" l="1"/>
  <c r="D51" i="7"/>
  <c r="B52" i="7"/>
  <c r="B49" i="7"/>
  <c r="D41" i="7" l="1"/>
  <c r="D40" i="7"/>
  <c r="G42" i="7" l="1"/>
  <c r="B41" i="7" l="1"/>
  <c r="B40" i="7"/>
  <c r="H40" i="7"/>
  <c r="H41" i="7"/>
  <c r="B42" i="7"/>
  <c r="E42" i="7"/>
  <c r="G37" i="7"/>
  <c r="G36" i="7"/>
  <c r="G35" i="7"/>
  <c r="G34" i="7"/>
  <c r="E37" i="7" l="1"/>
  <c r="B33" i="7"/>
  <c r="H32" i="7"/>
  <c r="D32" i="7"/>
  <c r="B32" i="7"/>
  <c r="D31" i="7"/>
  <c r="H31" i="7"/>
  <c r="B31" i="7"/>
  <c r="G30" i="7"/>
  <c r="G29" i="7"/>
  <c r="G28" i="7"/>
  <c r="D30" i="7"/>
  <c r="D29" i="7"/>
  <c r="D28" i="7"/>
  <c r="E28" i="7" l="1"/>
  <c r="B28" i="7" l="1"/>
  <c r="E30" i="7"/>
  <c r="B30" i="7"/>
  <c r="E29" i="7"/>
  <c r="B29" i="7"/>
  <c r="G27" i="7"/>
  <c r="G26" i="7"/>
  <c r="D27" i="7"/>
  <c r="B27" i="7"/>
  <c r="E27" i="7"/>
  <c r="E26" i="7"/>
  <c r="B26" i="7"/>
  <c r="B23" i="7"/>
  <c r="B24" i="7"/>
  <c r="B25" i="7"/>
  <c r="B22" i="7"/>
  <c r="H20" i="7" l="1"/>
  <c r="E20" i="7"/>
  <c r="D19" i="7"/>
  <c r="G19" i="7"/>
  <c r="H19" i="7"/>
  <c r="E19" i="7"/>
  <c r="B19" i="7"/>
  <c r="G16" i="7"/>
  <c r="G17" i="7"/>
  <c r="E16" i="7"/>
  <c r="B16" i="7"/>
  <c r="B17" i="7"/>
  <c r="E17" i="7"/>
  <c r="D13" i="7"/>
  <c r="B13" i="7"/>
  <c r="J10" i="7"/>
  <c r="G12" i="7" l="1"/>
  <c r="E12" i="7"/>
  <c r="B12" i="7"/>
  <c r="H10" i="7"/>
  <c r="B10" i="7"/>
  <c r="E10" i="7"/>
  <c r="G11" i="7" l="1"/>
  <c r="E11" i="7" l="1"/>
  <c r="B11" i="7"/>
  <c r="B5" i="7"/>
  <c r="E5" i="7" l="1"/>
  <c r="E3" i="7"/>
  <c r="B123" i="6" l="1"/>
  <c r="B132" i="6"/>
  <c r="K132" i="6" s="1"/>
  <c r="B131" i="6"/>
  <c r="L132" i="6"/>
  <c r="L131" i="6"/>
  <c r="K131" i="6"/>
  <c r="M132" i="6" l="1"/>
  <c r="M131" i="6"/>
  <c r="G129" i="6" l="1"/>
  <c r="J129" i="6"/>
  <c r="L121" i="6" l="1"/>
  <c r="K101" i="6"/>
  <c r="K89" i="6"/>
  <c r="L130" i="7" l="1"/>
  <c r="K130" i="7"/>
  <c r="L129" i="7"/>
  <c r="K129" i="7"/>
  <c r="L128" i="7"/>
  <c r="K128" i="7"/>
  <c r="K127" i="7"/>
  <c r="L127" i="7"/>
  <c r="L126" i="7"/>
  <c r="K126" i="7"/>
  <c r="K125" i="7"/>
  <c r="L125" i="7"/>
  <c r="L124" i="7"/>
  <c r="K124" i="7"/>
  <c r="L123" i="7"/>
  <c r="K123" i="7"/>
  <c r="L122" i="7"/>
  <c r="K122" i="7"/>
  <c r="L121" i="7"/>
  <c r="K121" i="7"/>
  <c r="K120" i="7"/>
  <c r="L120" i="7"/>
  <c r="L119" i="7"/>
  <c r="K119" i="7"/>
  <c r="L118" i="7"/>
  <c r="K118" i="7"/>
  <c r="L117" i="7"/>
  <c r="K117" i="7"/>
  <c r="K116" i="7"/>
  <c r="L116" i="7"/>
  <c r="L115" i="7"/>
  <c r="K115" i="7"/>
  <c r="L114" i="7"/>
  <c r="K114" i="7"/>
  <c r="L113" i="7"/>
  <c r="K113" i="7"/>
  <c r="L112" i="7"/>
  <c r="K112" i="7"/>
  <c r="L111" i="7"/>
  <c r="K111" i="7"/>
  <c r="L110" i="7"/>
  <c r="K110" i="7"/>
  <c r="L109" i="7"/>
  <c r="K109" i="7"/>
  <c r="L108" i="7"/>
  <c r="K108" i="7"/>
  <c r="L107" i="7"/>
  <c r="K107" i="7"/>
  <c r="L106" i="7"/>
  <c r="K106" i="7"/>
  <c r="K105" i="7"/>
  <c r="L105" i="7"/>
  <c r="L104" i="7"/>
  <c r="K104" i="7"/>
  <c r="L103" i="7"/>
  <c r="K103" i="7"/>
  <c r="L102" i="7"/>
  <c r="K102" i="7"/>
  <c r="L101" i="7"/>
  <c r="K101" i="7"/>
  <c r="L100" i="7"/>
  <c r="K100" i="7"/>
  <c r="L99" i="7"/>
  <c r="K99" i="7"/>
  <c r="L98" i="7"/>
  <c r="K98" i="7"/>
  <c r="L97" i="7"/>
  <c r="K97" i="7"/>
  <c r="L96" i="7"/>
  <c r="K96" i="7"/>
  <c r="L95" i="7"/>
  <c r="K95" i="7"/>
  <c r="L94" i="7"/>
  <c r="K94" i="7"/>
  <c r="L93" i="7"/>
  <c r="K93" i="7"/>
  <c r="L92" i="7"/>
  <c r="K92" i="7"/>
  <c r="L91" i="7"/>
  <c r="K91" i="7"/>
  <c r="L90" i="7"/>
  <c r="K90" i="7"/>
  <c r="L89" i="7"/>
  <c r="K89" i="7"/>
  <c r="L88" i="7"/>
  <c r="K88" i="7"/>
  <c r="L87" i="7"/>
  <c r="K87" i="7"/>
  <c r="L86" i="7"/>
  <c r="K86" i="7"/>
  <c r="L85" i="7"/>
  <c r="K85" i="7"/>
  <c r="L84" i="7"/>
  <c r="K84" i="7"/>
  <c r="L83" i="7"/>
  <c r="K83" i="7"/>
  <c r="L82" i="7"/>
  <c r="K82" i="7"/>
  <c r="L81" i="7"/>
  <c r="K81" i="7"/>
  <c r="L80" i="7"/>
  <c r="K80" i="7"/>
  <c r="K79" i="7"/>
  <c r="L79" i="7"/>
  <c r="L78" i="7"/>
  <c r="K78" i="7"/>
  <c r="L77" i="7"/>
  <c r="K77" i="7"/>
  <c r="L76" i="7"/>
  <c r="K76" i="7"/>
  <c r="L75" i="7"/>
  <c r="K75" i="7"/>
  <c r="L74" i="7"/>
  <c r="K74" i="7"/>
  <c r="L73" i="7"/>
  <c r="K73" i="7"/>
  <c r="L72" i="7"/>
  <c r="K72" i="7"/>
  <c r="L71" i="7"/>
  <c r="K71" i="7"/>
  <c r="L70" i="7"/>
  <c r="K70" i="7"/>
  <c r="K69" i="7"/>
  <c r="L69" i="7"/>
  <c r="L68" i="7"/>
  <c r="K68" i="7"/>
  <c r="L67" i="7"/>
  <c r="K67" i="7"/>
  <c r="L66" i="7"/>
  <c r="L65" i="7"/>
  <c r="K65" i="7"/>
  <c r="L64" i="7"/>
  <c r="K64" i="7"/>
  <c r="L63" i="7"/>
  <c r="K63" i="7"/>
  <c r="L62" i="7"/>
  <c r="K62" i="7"/>
  <c r="L61" i="7"/>
  <c r="K61" i="7"/>
  <c r="L60" i="7"/>
  <c r="K60" i="7"/>
  <c r="L59" i="7"/>
  <c r="K59" i="7"/>
  <c r="L58" i="7"/>
  <c r="K58" i="7"/>
  <c r="L57" i="7"/>
  <c r="K57" i="7"/>
  <c r="L56" i="7"/>
  <c r="L55" i="7"/>
  <c r="K55" i="7"/>
  <c r="L54" i="7"/>
  <c r="K54" i="7"/>
  <c r="L53" i="7"/>
  <c r="K53" i="7"/>
  <c r="L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K43" i="7"/>
  <c r="L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K26" i="7"/>
  <c r="L26" i="7"/>
  <c r="L25" i="7"/>
  <c r="K25" i="7"/>
  <c r="K24" i="7"/>
  <c r="L24" i="7"/>
  <c r="L23" i="7"/>
  <c r="K23" i="7"/>
  <c r="L22" i="7"/>
  <c r="K22" i="7"/>
  <c r="L21" i="7"/>
  <c r="K21" i="7"/>
  <c r="K20" i="7"/>
  <c r="L20" i="7"/>
  <c r="L19" i="7"/>
  <c r="K19" i="7"/>
  <c r="L18" i="7"/>
  <c r="K18" i="7"/>
  <c r="L17" i="7"/>
  <c r="K17" i="7"/>
  <c r="K16" i="7"/>
  <c r="L16" i="7"/>
  <c r="L15" i="7"/>
  <c r="K15" i="7"/>
  <c r="L14" i="7"/>
  <c r="K14" i="7"/>
  <c r="L13" i="7"/>
  <c r="K13" i="7"/>
  <c r="K12" i="7"/>
  <c r="L12" i="7"/>
  <c r="L11" i="7"/>
  <c r="K11" i="7"/>
  <c r="L10" i="7"/>
  <c r="K10" i="7"/>
  <c r="K9" i="7"/>
  <c r="L9" i="7"/>
  <c r="L8" i="7"/>
  <c r="K8" i="7"/>
  <c r="L7" i="7"/>
  <c r="K7" i="7"/>
  <c r="L6" i="7"/>
  <c r="K6" i="7"/>
  <c r="L5" i="7"/>
  <c r="K5" i="7"/>
  <c r="L4" i="7"/>
  <c r="K4" i="7"/>
  <c r="L3" i="7"/>
  <c r="K3" i="7"/>
  <c r="L2" i="7"/>
  <c r="K2" i="7"/>
  <c r="E130" i="6"/>
  <c r="B130" i="6"/>
  <c r="K130" i="6" s="1"/>
  <c r="E129" i="6"/>
  <c r="B129" i="6"/>
  <c r="K129" i="6" s="1"/>
  <c r="L130" i="6"/>
  <c r="L129" i="6"/>
  <c r="M116" i="7" l="1"/>
  <c r="L161" i="7"/>
  <c r="M120" i="7"/>
  <c r="M81" i="7"/>
  <c r="M18" i="7"/>
  <c r="M40" i="7"/>
  <c r="M103" i="7"/>
  <c r="M102" i="7"/>
  <c r="M101" i="7"/>
  <c r="M104" i="7"/>
  <c r="M118" i="7"/>
  <c r="M114" i="7"/>
  <c r="M80" i="7"/>
  <c r="M77" i="7"/>
  <c r="M73" i="7"/>
  <c r="M75" i="7"/>
  <c r="M26" i="7"/>
  <c r="M21" i="7"/>
  <c r="M29" i="7"/>
  <c r="M31" i="7"/>
  <c r="M43" i="7"/>
  <c r="M45" i="7"/>
  <c r="M47" i="7"/>
  <c r="M60" i="7"/>
  <c r="M64" i="7"/>
  <c r="M113" i="7"/>
  <c r="M70" i="7"/>
  <c r="M126" i="7"/>
  <c r="M13" i="7"/>
  <c r="M39" i="7"/>
  <c r="M41" i="7"/>
  <c r="M111" i="7"/>
  <c r="M72" i="7"/>
  <c r="M78" i="7"/>
  <c r="M112" i="7"/>
  <c r="M4" i="7"/>
  <c r="M12" i="7"/>
  <c r="M61" i="7"/>
  <c r="M63" i="7"/>
  <c r="M5" i="7"/>
  <c r="M62" i="7"/>
  <c r="M82" i="7"/>
  <c r="M88" i="7"/>
  <c r="M90" i="7"/>
  <c r="M92" i="7"/>
  <c r="M94" i="7"/>
  <c r="M96" i="7"/>
  <c r="M98" i="7"/>
  <c r="M100" i="7"/>
  <c r="M108" i="7"/>
  <c r="M124" i="7"/>
  <c r="M15" i="7"/>
  <c r="M17" i="7"/>
  <c r="M46" i="7"/>
  <c r="M16" i="7"/>
  <c r="M22" i="7"/>
  <c r="M30" i="7"/>
  <c r="M32" i="7"/>
  <c r="M36" i="7"/>
  <c r="M38" i="7"/>
  <c r="M57" i="7"/>
  <c r="M68" i="7"/>
  <c r="M76" i="7"/>
  <c r="M83" i="7"/>
  <c r="M109" i="7"/>
  <c r="M121" i="7"/>
  <c r="M7" i="7"/>
  <c r="M8" i="7"/>
  <c r="M34" i="7"/>
  <c r="M85" i="7"/>
  <c r="M87" i="7"/>
  <c r="M91" i="7"/>
  <c r="M95" i="7"/>
  <c r="M99" i="7"/>
  <c r="M110" i="7"/>
  <c r="M115" i="7"/>
  <c r="M117" i="7"/>
  <c r="M127" i="7"/>
  <c r="M128" i="7"/>
  <c r="M10" i="7"/>
  <c r="M23" i="7"/>
  <c r="M25" i="7"/>
  <c r="M49" i="7"/>
  <c r="M125" i="7"/>
  <c r="M9" i="7"/>
  <c r="M20" i="7"/>
  <c r="M24" i="7"/>
  <c r="M48" i="7"/>
  <c r="M71" i="7"/>
  <c r="M84" i="7"/>
  <c r="M86" i="7"/>
  <c r="M89" i="7"/>
  <c r="M93" i="7"/>
  <c r="M97" i="7"/>
  <c r="M105" i="7"/>
  <c r="M119" i="7"/>
  <c r="M130" i="7"/>
  <c r="M2" i="7"/>
  <c r="M6" i="7"/>
  <c r="M3" i="7"/>
  <c r="M42" i="7"/>
  <c r="M58" i="7"/>
  <c r="M44" i="7"/>
  <c r="M53" i="7"/>
  <c r="M54" i="7"/>
  <c r="M55" i="7"/>
  <c r="M74" i="7"/>
  <c r="M106" i="7"/>
  <c r="M11" i="7"/>
  <c r="M14" i="7"/>
  <c r="M19" i="7"/>
  <c r="M28" i="7"/>
  <c r="M37" i="7"/>
  <c r="M50" i="7"/>
  <c r="M51" i="7"/>
  <c r="K56" i="7"/>
  <c r="M56" i="7" s="1"/>
  <c r="M65" i="7"/>
  <c r="M35" i="7"/>
  <c r="M27" i="7"/>
  <c r="M33" i="7"/>
  <c r="K52" i="7"/>
  <c r="M52" i="7" s="1"/>
  <c r="K66" i="7"/>
  <c r="M66" i="7" s="1"/>
  <c r="M67" i="7"/>
  <c r="M69" i="7"/>
  <c r="M79" i="7"/>
  <c r="M107" i="7"/>
  <c r="M122" i="7"/>
  <c r="M123" i="7"/>
  <c r="M129" i="7"/>
  <c r="M59" i="7"/>
  <c r="M129" i="6"/>
  <c r="M130" i="6"/>
  <c r="L127" i="6"/>
  <c r="G128" i="6"/>
  <c r="L128" i="6" s="1"/>
  <c r="G127" i="6"/>
  <c r="E128" i="6"/>
  <c r="B128" i="6"/>
  <c r="K128" i="6" s="1"/>
  <c r="B127" i="6"/>
  <c r="K127" i="6" s="1"/>
  <c r="E127" i="6"/>
  <c r="K161" i="7" l="1"/>
  <c r="N161" i="7" s="1"/>
  <c r="M128" i="6"/>
  <c r="M127" i="6"/>
  <c r="L125" i="6"/>
  <c r="L124" i="6"/>
  <c r="K124" i="6"/>
  <c r="H126" i="6"/>
  <c r="H125" i="6"/>
  <c r="G126" i="6"/>
  <c r="L126" i="6" s="1"/>
  <c r="G125" i="6"/>
  <c r="M161" i="7" l="1"/>
  <c r="M124" i="6"/>
  <c r="B126" i="6"/>
  <c r="K126" i="6" s="1"/>
  <c r="M126" i="6" s="1"/>
  <c r="B125" i="6"/>
  <c r="K125" i="6" s="1"/>
  <c r="M125" i="6" s="1"/>
  <c r="J111" i="6" l="1"/>
  <c r="D158" i="6" l="1"/>
  <c r="L158" i="6" s="1"/>
  <c r="B158" i="6"/>
  <c r="K158" i="6" s="1"/>
  <c r="D157" i="6"/>
  <c r="L157" i="6" s="1"/>
  <c r="B157" i="6"/>
  <c r="K157" i="6" s="1"/>
  <c r="D156" i="6"/>
  <c r="L156" i="6" s="1"/>
  <c r="B156" i="6"/>
  <c r="K156" i="6" s="1"/>
  <c r="D155" i="6"/>
  <c r="L155" i="6" s="1"/>
  <c r="B155" i="6"/>
  <c r="K155" i="6" s="1"/>
  <c r="D154" i="6"/>
  <c r="L154" i="6" s="1"/>
  <c r="M154" i="6" s="1"/>
  <c r="B154" i="6"/>
  <c r="K154" i="6" s="1"/>
  <c r="D153" i="6"/>
  <c r="L153" i="6" s="1"/>
  <c r="B153" i="6"/>
  <c r="K153" i="6" s="1"/>
  <c r="J122" i="6"/>
  <c r="G122" i="6"/>
  <c r="M153" i="6" l="1"/>
  <c r="M158" i="6"/>
  <c r="M155" i="6"/>
  <c r="M156" i="6"/>
  <c r="M157" i="6"/>
  <c r="H122" i="6"/>
  <c r="E122" i="6"/>
  <c r="D120" i="6" l="1"/>
  <c r="D119" i="6"/>
  <c r="D118" i="6"/>
  <c r="D117" i="6"/>
  <c r="D116" i="6"/>
  <c r="D115" i="6"/>
  <c r="E121" i="6" l="1"/>
  <c r="K121" i="6" s="1"/>
  <c r="M121" i="6" s="1"/>
  <c r="B120" i="6"/>
  <c r="B119" i="6"/>
  <c r="B118" i="6"/>
  <c r="K118" i="6" s="1"/>
  <c r="B117" i="6"/>
  <c r="B116" i="6"/>
  <c r="B115" i="6"/>
  <c r="H114" i="6" l="1"/>
  <c r="J114" i="6"/>
  <c r="K113" i="6" l="1"/>
  <c r="E114" i="6"/>
  <c r="H111" i="6" l="1"/>
  <c r="B111" i="6"/>
  <c r="E110" i="6" l="1"/>
  <c r="L123" i="6"/>
  <c r="K123" i="6"/>
  <c r="L122" i="6"/>
  <c r="K122" i="6"/>
  <c r="M122" i="6" l="1"/>
  <c r="M123" i="6"/>
  <c r="H82" i="6"/>
  <c r="B82" i="6"/>
  <c r="B109" i="6" l="1"/>
  <c r="B108" i="6" l="1"/>
  <c r="J107" i="6" l="1"/>
  <c r="D107" i="6"/>
  <c r="D106" i="6"/>
  <c r="H107" i="6"/>
  <c r="B107" i="6"/>
  <c r="B106" i="6"/>
  <c r="G105" i="6" l="1"/>
  <c r="B105" i="6"/>
  <c r="E105" i="6" l="1"/>
  <c r="B102" i="6" l="1"/>
  <c r="K102" i="6" s="1"/>
  <c r="L102" i="6"/>
  <c r="B104" i="6"/>
  <c r="B103" i="6"/>
  <c r="M102" i="6" l="1"/>
  <c r="D75" i="6" l="1"/>
  <c r="B75" i="6"/>
  <c r="D89" i="6" l="1"/>
  <c r="D90" i="6"/>
  <c r="D91" i="6"/>
  <c r="D92" i="6"/>
  <c r="D93" i="6"/>
  <c r="D94" i="6"/>
  <c r="D95" i="6"/>
  <c r="D96" i="6"/>
  <c r="D97" i="6"/>
  <c r="D98" i="6"/>
  <c r="D99" i="6"/>
  <c r="D100" i="6"/>
  <c r="D88" i="6"/>
  <c r="B85" i="6" l="1"/>
  <c r="B87" i="6"/>
  <c r="B86" i="6"/>
  <c r="E84" i="6" l="1"/>
  <c r="B83" i="6" l="1"/>
  <c r="E82" i="6"/>
  <c r="K82" i="6" s="1"/>
  <c r="H74" i="6" l="1"/>
  <c r="G80" i="6" l="1"/>
  <c r="E80" i="6"/>
  <c r="B80" i="6"/>
  <c r="K80" i="6" s="1"/>
  <c r="G79" i="6"/>
  <c r="B79" i="6"/>
  <c r="E79" i="6"/>
  <c r="K79" i="6" l="1"/>
  <c r="H151" i="6"/>
  <c r="E151" i="6"/>
  <c r="D151" i="6"/>
  <c r="L151" i="6" s="1"/>
  <c r="B151" i="6"/>
  <c r="G150" i="6"/>
  <c r="E150" i="6"/>
  <c r="D150" i="6"/>
  <c r="B150" i="6"/>
  <c r="G149" i="6"/>
  <c r="E149" i="6"/>
  <c r="D149" i="6"/>
  <c r="L149" i="6" s="1"/>
  <c r="B149" i="6"/>
  <c r="G148" i="6"/>
  <c r="E148" i="6"/>
  <c r="D148" i="6"/>
  <c r="L148" i="6" s="1"/>
  <c r="B148" i="6"/>
  <c r="G147" i="6"/>
  <c r="E147" i="6"/>
  <c r="D147" i="6"/>
  <c r="L147" i="6" s="1"/>
  <c r="B147" i="6"/>
  <c r="G146" i="6"/>
  <c r="E146" i="6"/>
  <c r="D146" i="6"/>
  <c r="L146" i="6" s="1"/>
  <c r="B146" i="6"/>
  <c r="G145" i="6"/>
  <c r="E145" i="6"/>
  <c r="D145" i="6"/>
  <c r="L145" i="6" s="1"/>
  <c r="B145" i="6"/>
  <c r="G144" i="6"/>
  <c r="E144" i="6"/>
  <c r="D144" i="6"/>
  <c r="L144" i="6" s="1"/>
  <c r="B144" i="6"/>
  <c r="G143" i="6"/>
  <c r="E143" i="6"/>
  <c r="D143" i="6"/>
  <c r="L143" i="6" s="1"/>
  <c r="B143" i="6"/>
  <c r="G142" i="6"/>
  <c r="E142" i="6"/>
  <c r="D142" i="6"/>
  <c r="L142" i="6" s="1"/>
  <c r="B142" i="6"/>
  <c r="G141" i="6"/>
  <c r="E141" i="6"/>
  <c r="D141" i="6"/>
  <c r="L141" i="6" s="1"/>
  <c r="B141" i="6"/>
  <c r="G140" i="6"/>
  <c r="L140" i="6" s="1"/>
  <c r="E140" i="6"/>
  <c r="B140" i="6"/>
  <c r="K140" i="6" s="1"/>
  <c r="G139" i="6"/>
  <c r="L139" i="6" s="1"/>
  <c r="E139" i="6"/>
  <c r="B139" i="6"/>
  <c r="E76" i="6"/>
  <c r="L150" i="6" l="1"/>
  <c r="M150" i="6" s="1"/>
  <c r="K141" i="6"/>
  <c r="M141" i="6" s="1"/>
  <c r="K142" i="6"/>
  <c r="M142" i="6" s="1"/>
  <c r="K143" i="6"/>
  <c r="M143" i="6" s="1"/>
  <c r="L160" i="6"/>
  <c r="M140" i="6"/>
  <c r="K139" i="6"/>
  <c r="K144" i="6"/>
  <c r="M144" i="6" s="1"/>
  <c r="K145" i="6"/>
  <c r="M145" i="6" s="1"/>
  <c r="K146" i="6"/>
  <c r="M146" i="6" s="1"/>
  <c r="K147" i="6"/>
  <c r="M147" i="6" s="1"/>
  <c r="K148" i="6"/>
  <c r="M148" i="6" s="1"/>
  <c r="K149" i="6"/>
  <c r="M149" i="6" s="1"/>
  <c r="K150" i="6"/>
  <c r="K151" i="6"/>
  <c r="M151" i="6" s="1"/>
  <c r="B78" i="6"/>
  <c r="B77" i="6"/>
  <c r="K160" i="6" l="1"/>
  <c r="K162" i="6" s="1"/>
  <c r="M139" i="6"/>
  <c r="E72" i="6"/>
  <c r="E71" i="6" l="1"/>
  <c r="D74" i="6" l="1"/>
  <c r="B74" i="6" l="1"/>
  <c r="E74" i="6"/>
  <c r="E49" i="6" l="1"/>
  <c r="E48" i="6"/>
  <c r="E58" i="6"/>
  <c r="E57" i="6"/>
  <c r="E56" i="6"/>
  <c r="E59" i="6"/>
  <c r="G59" i="6"/>
  <c r="G58" i="6"/>
  <c r="G55" i="6"/>
  <c r="G54" i="6"/>
  <c r="G52" i="6"/>
  <c r="G53" i="6"/>
  <c r="G51" i="6"/>
  <c r="G50" i="6"/>
  <c r="E55" i="6"/>
  <c r="E54" i="6"/>
  <c r="E53" i="6"/>
  <c r="E52" i="6"/>
  <c r="E51" i="6"/>
  <c r="E50" i="6"/>
  <c r="G57" i="6"/>
  <c r="G56" i="6"/>
  <c r="G49" i="6"/>
  <c r="G48" i="6"/>
  <c r="D59" i="6"/>
  <c r="D58" i="6"/>
  <c r="D57" i="6"/>
  <c r="D56" i="6"/>
  <c r="D55" i="6"/>
  <c r="D54" i="6"/>
  <c r="D53" i="6"/>
  <c r="D52" i="6"/>
  <c r="D51" i="6"/>
  <c r="D50" i="6"/>
  <c r="G69" i="6" l="1"/>
  <c r="E69" i="6"/>
  <c r="B69" i="6"/>
  <c r="G68" i="6"/>
  <c r="E68" i="6"/>
  <c r="B68" i="6"/>
  <c r="E66" i="6" l="1"/>
  <c r="B66" i="6"/>
  <c r="D63" i="6" l="1"/>
  <c r="B63" i="6" l="1"/>
  <c r="E63" i="6"/>
  <c r="G62" i="6" l="1"/>
  <c r="G63" i="6"/>
  <c r="E62" i="6" l="1"/>
  <c r="K123" i="5"/>
  <c r="L123" i="5"/>
  <c r="M123" i="5" s="1"/>
  <c r="K124" i="5"/>
  <c r="L124" i="5"/>
  <c r="M124" i="5"/>
  <c r="K125" i="5"/>
  <c r="M125" i="5" s="1"/>
  <c r="L125" i="5"/>
  <c r="K126" i="5"/>
  <c r="L126" i="5"/>
  <c r="M126" i="5" l="1"/>
  <c r="D43" i="6"/>
  <c r="B43" i="6" l="1"/>
  <c r="B61" i="6" l="1"/>
  <c r="H60" i="6" l="1"/>
  <c r="B59" i="6"/>
  <c r="B58" i="6"/>
  <c r="K58" i="6"/>
  <c r="B57" i="6"/>
  <c r="B56" i="6"/>
  <c r="D60" i="6" l="1"/>
  <c r="B55" i="6" l="1"/>
  <c r="B54" i="6"/>
  <c r="B51" i="6"/>
  <c r="B50" i="6"/>
  <c r="B53" i="6"/>
  <c r="B52" i="6" l="1"/>
  <c r="B49" i="6"/>
  <c r="B48" i="6"/>
  <c r="B60" i="6" l="1"/>
  <c r="E60" i="6"/>
  <c r="B47" i="6" l="1"/>
  <c r="D42" i="6" l="1"/>
  <c r="B42" i="6" l="1"/>
  <c r="G42" i="6"/>
  <c r="D39" i="6" l="1"/>
  <c r="G40" i="6"/>
  <c r="E40" i="6" l="1"/>
  <c r="B39" i="6"/>
  <c r="B38" i="6"/>
  <c r="G36" i="6" l="1"/>
  <c r="G35" i="6"/>
  <c r="B36" i="6"/>
  <c r="G34" i="6" l="1"/>
  <c r="G33" i="6"/>
  <c r="J26" i="6" l="1"/>
  <c r="J25" i="6"/>
  <c r="J22" i="6"/>
  <c r="J21" i="6"/>
  <c r="J20" i="6"/>
  <c r="J19" i="6"/>
  <c r="J18" i="6"/>
  <c r="J30" i="6"/>
  <c r="J24" i="6"/>
  <c r="J23" i="6"/>
  <c r="J17" i="6"/>
  <c r="J16" i="6"/>
  <c r="E36" i="6" l="1"/>
  <c r="B35" i="6"/>
  <c r="E35" i="6"/>
  <c r="E34" i="6"/>
  <c r="B34" i="6"/>
  <c r="B33" i="6"/>
  <c r="E33" i="6"/>
  <c r="B32" i="6"/>
  <c r="B30" i="6"/>
  <c r="B29" i="6"/>
  <c r="B28" i="6"/>
  <c r="B25" i="6"/>
  <c r="B24" i="6"/>
  <c r="B23" i="6"/>
  <c r="B22" i="6"/>
  <c r="B21" i="6"/>
  <c r="B20" i="6"/>
  <c r="B19" i="6"/>
  <c r="B18" i="6"/>
  <c r="B17" i="6"/>
  <c r="B16" i="6"/>
  <c r="E31" i="6" l="1"/>
  <c r="D13" i="6" l="1"/>
  <c r="G12" i="6"/>
  <c r="B13" i="6"/>
  <c r="E12" i="6"/>
  <c r="G7" i="6" l="1"/>
  <c r="G11" i="6"/>
  <c r="G10" i="6"/>
  <c r="G9" i="6"/>
  <c r="G8" i="6"/>
  <c r="G6" i="6"/>
  <c r="E7" i="6"/>
  <c r="E11" i="6"/>
  <c r="E10" i="6"/>
  <c r="E9" i="6"/>
  <c r="E8" i="6"/>
  <c r="E6" i="6"/>
  <c r="E3" i="6" l="1"/>
  <c r="B3" i="6"/>
  <c r="D2" i="6"/>
  <c r="L2" i="6" s="1"/>
  <c r="B2" i="6"/>
  <c r="K2" i="6" s="1"/>
  <c r="L120" i="6"/>
  <c r="K120" i="6"/>
  <c r="L119" i="6"/>
  <c r="K119" i="6"/>
  <c r="L118" i="6"/>
  <c r="L117" i="6"/>
  <c r="K117" i="6"/>
  <c r="L116" i="6"/>
  <c r="K116" i="6"/>
  <c r="L115" i="6"/>
  <c r="K115" i="6"/>
  <c r="L114" i="6"/>
  <c r="K114" i="6"/>
  <c r="L113" i="6"/>
  <c r="M113" i="6" s="1"/>
  <c r="L112" i="6"/>
  <c r="L111" i="6"/>
  <c r="K111" i="6"/>
  <c r="L110" i="6"/>
  <c r="K110" i="6"/>
  <c r="L109" i="6"/>
  <c r="K109" i="6"/>
  <c r="L108" i="6"/>
  <c r="K108" i="6"/>
  <c r="L107" i="6"/>
  <c r="K107" i="6"/>
  <c r="L106" i="6"/>
  <c r="K106" i="6"/>
  <c r="L105" i="6"/>
  <c r="K105" i="6"/>
  <c r="L104" i="6"/>
  <c r="K104" i="6"/>
  <c r="L103" i="6"/>
  <c r="K103" i="6"/>
  <c r="L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L88" i="6"/>
  <c r="K88" i="6"/>
  <c r="L87" i="6"/>
  <c r="K87" i="6"/>
  <c r="L86" i="6"/>
  <c r="K86" i="6"/>
  <c r="K85" i="6"/>
  <c r="L85" i="6"/>
  <c r="L84" i="6"/>
  <c r="K84" i="6"/>
  <c r="K83" i="6"/>
  <c r="L83" i="6"/>
  <c r="L82" i="6"/>
  <c r="L81" i="6"/>
  <c r="K81" i="6"/>
  <c r="L80" i="6"/>
  <c r="L79" i="6"/>
  <c r="L78" i="6"/>
  <c r="K78" i="6"/>
  <c r="L77" i="6"/>
  <c r="K77" i="6"/>
  <c r="L76" i="6"/>
  <c r="K76" i="6"/>
  <c r="L75" i="6"/>
  <c r="K75" i="6"/>
  <c r="K74" i="6"/>
  <c r="L74" i="6"/>
  <c r="L73" i="6"/>
  <c r="K73" i="6"/>
  <c r="L72" i="6"/>
  <c r="K72" i="6"/>
  <c r="L71" i="6"/>
  <c r="K71" i="6"/>
  <c r="L70" i="6"/>
  <c r="L69" i="6"/>
  <c r="K69" i="6"/>
  <c r="L68" i="6"/>
  <c r="K68" i="6"/>
  <c r="K67" i="6"/>
  <c r="L67" i="6"/>
  <c r="L66" i="6"/>
  <c r="K66" i="6"/>
  <c r="L65" i="6"/>
  <c r="K65" i="6"/>
  <c r="L64" i="6"/>
  <c r="K64" i="6"/>
  <c r="K63" i="6"/>
  <c r="L63" i="6"/>
  <c r="L62" i="6"/>
  <c r="K62" i="6"/>
  <c r="L61" i="6"/>
  <c r="K61" i="6"/>
  <c r="L60" i="6"/>
  <c r="K60" i="6"/>
  <c r="K59" i="6"/>
  <c r="L58" i="6"/>
  <c r="M58" i="6" s="1"/>
  <c r="L57" i="6"/>
  <c r="K57" i="6"/>
  <c r="L56" i="6"/>
  <c r="K56" i="6"/>
  <c r="L55" i="6"/>
  <c r="K55" i="6"/>
  <c r="L54" i="6"/>
  <c r="K54" i="6"/>
  <c r="K53" i="6"/>
  <c r="L53" i="6"/>
  <c r="L52" i="6"/>
  <c r="K52" i="6"/>
  <c r="L51" i="6"/>
  <c r="K51" i="6"/>
  <c r="L50" i="6"/>
  <c r="K50" i="6"/>
  <c r="L49" i="6"/>
  <c r="K49" i="6"/>
  <c r="L48" i="6"/>
  <c r="K48" i="6"/>
  <c r="K47" i="6"/>
  <c r="L47" i="6"/>
  <c r="L46" i="6"/>
  <c r="K46" i="6"/>
  <c r="L45" i="6"/>
  <c r="K45" i="6"/>
  <c r="L44" i="6"/>
  <c r="K44" i="6"/>
  <c r="K43" i="6"/>
  <c r="L43" i="6"/>
  <c r="L42" i="6"/>
  <c r="K42" i="6"/>
  <c r="L41" i="6"/>
  <c r="K41" i="6"/>
  <c r="K40" i="6"/>
  <c r="L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L14" i="6"/>
  <c r="K14" i="6"/>
  <c r="L13" i="6"/>
  <c r="K13" i="6"/>
  <c r="L12" i="6"/>
  <c r="K12" i="6"/>
  <c r="L11" i="6"/>
  <c r="K10" i="6"/>
  <c r="L10" i="6"/>
  <c r="L9" i="6"/>
  <c r="K9" i="6"/>
  <c r="L8" i="6"/>
  <c r="K8" i="6"/>
  <c r="L7" i="6"/>
  <c r="K7" i="6"/>
  <c r="L6" i="6"/>
  <c r="K6" i="6"/>
  <c r="L5" i="6"/>
  <c r="K5" i="6"/>
  <c r="L4" i="6"/>
  <c r="K4" i="6"/>
  <c r="L3" i="6"/>
  <c r="K3" i="6" l="1"/>
  <c r="M3" i="6" s="1"/>
  <c r="M81" i="6"/>
  <c r="M24" i="6"/>
  <c r="M28" i="6"/>
  <c r="M32" i="6"/>
  <c r="M79" i="6"/>
  <c r="M71" i="6"/>
  <c r="M65" i="6"/>
  <c r="M77" i="6"/>
  <c r="M82" i="6"/>
  <c r="M86" i="6"/>
  <c r="M88" i="6"/>
  <c r="M90" i="6"/>
  <c r="M92" i="6"/>
  <c r="M94" i="6"/>
  <c r="M96" i="6"/>
  <c r="M98" i="6"/>
  <c r="M100" i="6"/>
  <c r="M104" i="6"/>
  <c r="M106" i="6"/>
  <c r="M108" i="6"/>
  <c r="M110" i="6"/>
  <c r="M119" i="6"/>
  <c r="M61" i="6"/>
  <c r="M75" i="6"/>
  <c r="M33" i="6"/>
  <c r="M64" i="6"/>
  <c r="M68" i="6"/>
  <c r="M72" i="6"/>
  <c r="M76" i="6"/>
  <c r="M118" i="6"/>
  <c r="M37" i="6"/>
  <c r="M36" i="6"/>
  <c r="M29" i="6"/>
  <c r="M27" i="6"/>
  <c r="M14" i="6"/>
  <c r="M12" i="6"/>
  <c r="M7" i="6"/>
  <c r="M6" i="6"/>
  <c r="M5" i="6"/>
  <c r="M8" i="6"/>
  <c r="M30" i="6"/>
  <c r="M44" i="6"/>
  <c r="M50" i="6"/>
  <c r="M54" i="6"/>
  <c r="M78" i="6"/>
  <c r="M83" i="6"/>
  <c r="M115" i="6"/>
  <c r="M117" i="6"/>
  <c r="M16" i="6"/>
  <c r="M26" i="6"/>
  <c r="M45" i="6"/>
  <c r="M51" i="6"/>
  <c r="M55" i="6"/>
  <c r="M57" i="6"/>
  <c r="M84" i="6"/>
  <c r="M114" i="6"/>
  <c r="M116" i="6"/>
  <c r="M4" i="6"/>
  <c r="M39" i="6"/>
  <c r="M60" i="6"/>
  <c r="M69" i="6"/>
  <c r="M9" i="6"/>
  <c r="K11" i="6"/>
  <c r="M11" i="6" s="1"/>
  <c r="M13" i="6"/>
  <c r="K15" i="6"/>
  <c r="M17" i="6"/>
  <c r="M19" i="6"/>
  <c r="M21" i="6"/>
  <c r="M23" i="6"/>
  <c r="M35" i="6"/>
  <c r="M38" i="6"/>
  <c r="M40" i="6"/>
  <c r="M41" i="6"/>
  <c r="M43" i="6"/>
  <c r="M46" i="6"/>
  <c r="M52" i="6"/>
  <c r="M62" i="6"/>
  <c r="M67" i="6"/>
  <c r="K70" i="6"/>
  <c r="M70" i="6" s="1"/>
  <c r="M74" i="6"/>
  <c r="M80" i="6"/>
  <c r="M87" i="6"/>
  <c r="M91" i="6"/>
  <c r="M95" i="6"/>
  <c r="M99" i="6"/>
  <c r="M103" i="6"/>
  <c r="M107" i="6"/>
  <c r="M111" i="6"/>
  <c r="M120" i="6"/>
  <c r="M49" i="6"/>
  <c r="L59" i="6"/>
  <c r="M59" i="6" s="1"/>
  <c r="K112" i="6"/>
  <c r="M112" i="6" s="1"/>
  <c r="M2" i="6"/>
  <c r="M10" i="6"/>
  <c r="M18" i="6"/>
  <c r="M20" i="6"/>
  <c r="M22" i="6"/>
  <c r="M25" i="6"/>
  <c r="M31" i="6"/>
  <c r="M34" i="6"/>
  <c r="M42" i="6"/>
  <c r="M47" i="6"/>
  <c r="M48" i="6"/>
  <c r="M53" i="6"/>
  <c r="M56" i="6"/>
  <c r="M63" i="6"/>
  <c r="M66" i="6"/>
  <c r="M73" i="6"/>
  <c r="M85" i="6"/>
  <c r="M89" i="6"/>
  <c r="M93" i="6"/>
  <c r="M97" i="6"/>
  <c r="M101" i="6"/>
  <c r="M105" i="6"/>
  <c r="M109" i="6"/>
  <c r="E122" i="5"/>
  <c r="L134" i="6" l="1"/>
  <c r="K134" i="6"/>
  <c r="M15" i="6"/>
  <c r="K119" i="5"/>
  <c r="N134" i="6" l="1"/>
  <c r="M134" i="6"/>
  <c r="J80" i="5"/>
  <c r="B115" i="5" l="1"/>
  <c r="E114" i="5" l="1"/>
  <c r="H80" i="5" l="1"/>
  <c r="J85" i="5" l="1"/>
  <c r="H85" i="5"/>
  <c r="J84" i="5"/>
  <c r="H84" i="5"/>
  <c r="J83" i="5"/>
  <c r="H83" i="5"/>
  <c r="J61" i="5"/>
  <c r="J60" i="5"/>
  <c r="J59" i="5"/>
  <c r="J112" i="5"/>
  <c r="H112" i="5"/>
  <c r="B112" i="5" l="1"/>
  <c r="E112" i="5"/>
  <c r="L122" i="5" l="1"/>
  <c r="K122" i="5"/>
  <c r="L121" i="5"/>
  <c r="K121" i="5"/>
  <c r="L120" i="5"/>
  <c r="K120" i="5"/>
  <c r="L119" i="5"/>
  <c r="M119" i="5" s="1"/>
  <c r="L118" i="5"/>
  <c r="K118" i="5"/>
  <c r="L117" i="5"/>
  <c r="K117" i="5"/>
  <c r="L116" i="5"/>
  <c r="K116" i="5"/>
  <c r="L115" i="5"/>
  <c r="K115" i="5"/>
  <c r="L114" i="5"/>
  <c r="K114" i="5"/>
  <c r="L113" i="5"/>
  <c r="K113" i="5"/>
  <c r="L112" i="5"/>
  <c r="K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M121" i="5" l="1"/>
  <c r="M122" i="5"/>
  <c r="M116" i="5"/>
  <c r="M118" i="5"/>
  <c r="M117" i="5"/>
  <c r="M120" i="5"/>
  <c r="M115" i="5"/>
  <c r="M114" i="5"/>
  <c r="M113" i="5"/>
  <c r="M112" i="5"/>
  <c r="B99" i="5" l="1"/>
  <c r="K99" i="5" s="1"/>
  <c r="M99" i="5" s="1"/>
  <c r="B98" i="5"/>
  <c r="K98" i="5" s="1"/>
  <c r="M98" i="5" s="1"/>
  <c r="B111" i="5"/>
  <c r="K111" i="5" s="1"/>
  <c r="M111" i="5" s="1"/>
  <c r="B110" i="5"/>
  <c r="K110" i="5" s="1"/>
  <c r="M110" i="5" s="1"/>
  <c r="B109" i="5"/>
  <c r="K109" i="5" s="1"/>
  <c r="M109" i="5" s="1"/>
  <c r="B108" i="5"/>
  <c r="K108" i="5" s="1"/>
  <c r="M108" i="5" s="1"/>
  <c r="B107" i="5"/>
  <c r="K107" i="5" s="1"/>
  <c r="M107" i="5" s="1"/>
  <c r="B106" i="5"/>
  <c r="K106" i="5" s="1"/>
  <c r="M106" i="5" s="1"/>
  <c r="B105" i="5"/>
  <c r="K105" i="5" s="1"/>
  <c r="M105" i="5" s="1"/>
  <c r="B104" i="5"/>
  <c r="K104" i="5" s="1"/>
  <c r="M104" i="5" s="1"/>
  <c r="B103" i="5"/>
  <c r="K103" i="5" s="1"/>
  <c r="M103" i="5" s="1"/>
  <c r="B102" i="5"/>
  <c r="K102" i="5" s="1"/>
  <c r="M102" i="5" s="1"/>
  <c r="B101" i="5"/>
  <c r="K101" i="5" s="1"/>
  <c r="M101" i="5" s="1"/>
  <c r="B100" i="5"/>
  <c r="K100" i="5" s="1"/>
  <c r="M100" i="5" s="1"/>
  <c r="B97" i="5"/>
  <c r="K97" i="5" s="1"/>
  <c r="M97" i="5" s="1"/>
  <c r="B96" i="5"/>
  <c r="K96" i="5" s="1"/>
  <c r="M96" i="5" s="1"/>
  <c r="B95" i="5"/>
  <c r="B94" i="5"/>
  <c r="B93" i="5"/>
  <c r="B92" i="5"/>
  <c r="B91" i="5"/>
  <c r="B90" i="5"/>
  <c r="B89" i="5"/>
  <c r="B88" i="5"/>
  <c r="B87" i="5"/>
  <c r="B82" i="5" l="1"/>
  <c r="B81" i="5"/>
  <c r="B85" i="5"/>
  <c r="B84" i="5"/>
  <c r="B83" i="5"/>
  <c r="L79" i="5" l="1"/>
  <c r="M79" i="5" s="1"/>
  <c r="L80" i="5"/>
  <c r="B80" i="5"/>
  <c r="K80" i="5" s="1"/>
  <c r="M80" i="5" l="1"/>
  <c r="B78" i="5" l="1"/>
  <c r="B77" i="5"/>
  <c r="D76" i="5" l="1"/>
  <c r="D75" i="5"/>
  <c r="B76" i="5"/>
  <c r="B75" i="5"/>
  <c r="D74" i="5" l="1"/>
  <c r="B74" i="5"/>
  <c r="D73" i="5"/>
  <c r="B73" i="5" l="1"/>
  <c r="B72" i="5" l="1"/>
  <c r="L71" i="5" l="1"/>
  <c r="E71" i="5"/>
  <c r="B71" i="5"/>
  <c r="E70" i="5"/>
  <c r="B70" i="5"/>
  <c r="K71" i="5" l="1"/>
  <c r="M71" i="5"/>
  <c r="B69" i="5"/>
  <c r="E69" i="5"/>
  <c r="G67" i="5" l="1"/>
  <c r="B67" i="5"/>
  <c r="D66" i="5" l="1"/>
  <c r="D65" i="5"/>
  <c r="D64" i="5"/>
  <c r="D63" i="5"/>
  <c r="D62" i="5"/>
  <c r="D61" i="5"/>
  <c r="D60" i="5"/>
  <c r="D59" i="5"/>
  <c r="B66" i="5" l="1"/>
  <c r="B65" i="5"/>
  <c r="B64" i="5"/>
  <c r="B63" i="5"/>
  <c r="B62" i="5"/>
  <c r="H61" i="5"/>
  <c r="H60" i="5"/>
  <c r="B61" i="5"/>
  <c r="B60" i="5"/>
  <c r="H59" i="5"/>
  <c r="B59" i="5"/>
  <c r="K60" i="5" l="1"/>
  <c r="B57" i="5"/>
  <c r="L142" i="5" l="1"/>
  <c r="K142" i="5"/>
  <c r="K144" i="5" l="1"/>
  <c r="D56" i="5"/>
  <c r="D55" i="5"/>
  <c r="D54" i="5"/>
  <c r="D53" i="5"/>
  <c r="D52" i="5" l="1"/>
  <c r="D40" i="5"/>
  <c r="B40" i="5"/>
  <c r="J39" i="5"/>
  <c r="H39" i="5"/>
  <c r="B53" i="5"/>
  <c r="B56" i="5"/>
  <c r="B55" i="5"/>
  <c r="B54" i="5"/>
  <c r="B52" i="5" l="1"/>
  <c r="D51" i="5" l="1"/>
  <c r="D50" i="5"/>
  <c r="B51" i="5" l="1"/>
  <c r="B50" i="5"/>
  <c r="D39" i="5" l="1"/>
  <c r="B47" i="5" l="1"/>
  <c r="D47" i="5"/>
  <c r="D46" i="5"/>
  <c r="D45" i="5"/>
  <c r="B48" i="5" l="1"/>
  <c r="B49" i="5"/>
  <c r="B46" i="5"/>
  <c r="B45" i="5"/>
  <c r="D44" i="5" l="1"/>
  <c r="D43" i="5"/>
  <c r="B44" i="5" l="1"/>
  <c r="B43" i="5" l="1"/>
  <c r="J26" i="5" l="1"/>
  <c r="H26" i="5"/>
  <c r="B26" i="5" l="1"/>
  <c r="E26" i="5"/>
  <c r="L26" i="5"/>
  <c r="K26" i="5" l="1"/>
  <c r="M26" i="5" s="1"/>
  <c r="B41" i="5" l="1"/>
  <c r="B28" i="5" l="1"/>
  <c r="B39" i="5" l="1"/>
  <c r="E31" i="5" l="1"/>
  <c r="B31" i="5"/>
  <c r="E30" i="5"/>
  <c r="B30" i="5"/>
  <c r="E29" i="5"/>
  <c r="B29" i="5"/>
  <c r="E28" i="5"/>
  <c r="B9" i="5" l="1"/>
  <c r="H13" i="5" l="1"/>
  <c r="K13" i="5" s="1"/>
  <c r="D16" i="5" l="1"/>
  <c r="G16" i="5" l="1"/>
  <c r="J15" i="5"/>
  <c r="B15" i="5"/>
  <c r="H15" i="5"/>
  <c r="B16" i="5"/>
  <c r="E16" i="5"/>
  <c r="E15" i="5"/>
  <c r="G14" i="5" l="1"/>
  <c r="G13" i="5"/>
  <c r="L13" i="5" s="1"/>
  <c r="G12" i="5"/>
  <c r="G11" i="5"/>
  <c r="E11" i="5" l="1"/>
  <c r="B11" i="5"/>
  <c r="B8" i="5" l="1"/>
  <c r="B7" i="5"/>
  <c r="E8" i="5"/>
  <c r="E7" i="5"/>
  <c r="D10" i="5" l="1"/>
  <c r="B10" i="5"/>
  <c r="D3" i="5" l="1"/>
  <c r="B3" i="5"/>
  <c r="D2" i="5"/>
  <c r="L2" i="5" s="1"/>
  <c r="B2" i="5"/>
  <c r="K2" i="5" s="1"/>
  <c r="L95" i="5" l="1"/>
  <c r="K95" i="5"/>
  <c r="L94" i="5"/>
  <c r="K94" i="5"/>
  <c r="L93" i="5"/>
  <c r="K93" i="5"/>
  <c r="L92" i="5"/>
  <c r="K92" i="5"/>
  <c r="K91" i="5"/>
  <c r="L91" i="5"/>
  <c r="L90" i="5"/>
  <c r="K90" i="5"/>
  <c r="L89" i="5"/>
  <c r="L88" i="5"/>
  <c r="K88" i="5"/>
  <c r="L87" i="5"/>
  <c r="K87" i="5"/>
  <c r="L86" i="5"/>
  <c r="L85" i="5"/>
  <c r="K85" i="5"/>
  <c r="L84" i="5"/>
  <c r="K84" i="5"/>
  <c r="L83" i="5"/>
  <c r="K83" i="5"/>
  <c r="L82" i="5"/>
  <c r="K82" i="5"/>
  <c r="L81" i="5"/>
  <c r="K81" i="5"/>
  <c r="L78" i="5"/>
  <c r="K78" i="5"/>
  <c r="L77" i="5"/>
  <c r="L76" i="5"/>
  <c r="K76" i="5"/>
  <c r="L75" i="5"/>
  <c r="K75" i="5"/>
  <c r="L74" i="5"/>
  <c r="K74" i="5"/>
  <c r="L73" i="5"/>
  <c r="K73" i="5"/>
  <c r="L72" i="5"/>
  <c r="K72" i="5"/>
  <c r="K70" i="5"/>
  <c r="L70" i="5"/>
  <c r="L68" i="5"/>
  <c r="L67" i="5"/>
  <c r="L66" i="5"/>
  <c r="K66" i="5"/>
  <c r="L65" i="5"/>
  <c r="K65" i="5"/>
  <c r="K64" i="5"/>
  <c r="L64" i="5"/>
  <c r="K63" i="5"/>
  <c r="L63" i="5"/>
  <c r="L62" i="5"/>
  <c r="L61" i="5"/>
  <c r="K61" i="5"/>
  <c r="L60" i="5"/>
  <c r="L59" i="5"/>
  <c r="K59" i="5"/>
  <c r="L58" i="5"/>
  <c r="M58" i="5" s="1"/>
  <c r="K57" i="5"/>
  <c r="L57" i="5"/>
  <c r="L56" i="5"/>
  <c r="K56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K47" i="5"/>
  <c r="L47" i="5"/>
  <c r="K46" i="5"/>
  <c r="L46" i="5"/>
  <c r="L45" i="5"/>
  <c r="K45" i="5"/>
  <c r="L44" i="5"/>
  <c r="L43" i="5"/>
  <c r="L42" i="5"/>
  <c r="K42" i="5"/>
  <c r="L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L33" i="5"/>
  <c r="K33" i="5"/>
  <c r="K32" i="5"/>
  <c r="L32" i="5"/>
  <c r="L31" i="5"/>
  <c r="K31" i="5"/>
  <c r="L30" i="5"/>
  <c r="K30" i="5"/>
  <c r="L29" i="5"/>
  <c r="K29" i="5"/>
  <c r="L28" i="5"/>
  <c r="K28" i="5"/>
  <c r="L27" i="5"/>
  <c r="K27" i="5"/>
  <c r="L25" i="5"/>
  <c r="K25" i="5"/>
  <c r="L24" i="5"/>
  <c r="K24" i="5"/>
  <c r="L23" i="5"/>
  <c r="K23" i="5"/>
  <c r="L22" i="5"/>
  <c r="L21" i="5"/>
  <c r="K21" i="5"/>
  <c r="L20" i="5"/>
  <c r="L19" i="5"/>
  <c r="K19" i="5"/>
  <c r="L18" i="5"/>
  <c r="K18" i="5"/>
  <c r="L17" i="5"/>
  <c r="K17" i="5"/>
  <c r="L16" i="5"/>
  <c r="K16" i="5"/>
  <c r="L15" i="5"/>
  <c r="K15" i="5"/>
  <c r="L14" i="5"/>
  <c r="K14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K4" i="5"/>
  <c r="M35" i="5" l="1"/>
  <c r="M37" i="5"/>
  <c r="M92" i="5"/>
  <c r="M74" i="5"/>
  <c r="M88" i="5"/>
  <c r="M32" i="5"/>
  <c r="M38" i="5"/>
  <c r="M56" i="5"/>
  <c r="M63" i="5"/>
  <c r="M84" i="5"/>
  <c r="M93" i="5"/>
  <c r="M76" i="5"/>
  <c r="M85" i="5"/>
  <c r="M6" i="5"/>
  <c r="M29" i="5"/>
  <c r="M75" i="5"/>
  <c r="M40" i="5"/>
  <c r="M5" i="5"/>
  <c r="M14" i="5"/>
  <c r="M46" i="5"/>
  <c r="M10" i="5"/>
  <c r="M45" i="5"/>
  <c r="M47" i="5"/>
  <c r="M61" i="5"/>
  <c r="M81" i="5"/>
  <c r="M57" i="5"/>
  <c r="M17" i="5"/>
  <c r="M28" i="5"/>
  <c r="M18" i="5"/>
  <c r="M19" i="5"/>
  <c r="M16" i="5"/>
  <c r="M13" i="5"/>
  <c r="M7" i="5"/>
  <c r="M9" i="5"/>
  <c r="M48" i="5"/>
  <c r="M60" i="5"/>
  <c r="M73" i="5"/>
  <c r="M39" i="5"/>
  <c r="M95" i="5"/>
  <c r="M8" i="5"/>
  <c r="M23" i="5"/>
  <c r="M53" i="5"/>
  <c r="M64" i="5"/>
  <c r="M70" i="5"/>
  <c r="M72" i="5"/>
  <c r="M94" i="5"/>
  <c r="M25" i="5"/>
  <c r="M50" i="5"/>
  <c r="M54" i="5"/>
  <c r="M87" i="5"/>
  <c r="M15" i="5"/>
  <c r="M27" i="5"/>
  <c r="M42" i="5"/>
  <c r="K44" i="5"/>
  <c r="M44" i="5" s="1"/>
  <c r="M52" i="5"/>
  <c r="K67" i="5"/>
  <c r="M67" i="5" s="1"/>
  <c r="M90" i="5"/>
  <c r="K3" i="5"/>
  <c r="K20" i="5"/>
  <c r="M20" i="5" s="1"/>
  <c r="M31" i="5"/>
  <c r="K43" i="5"/>
  <c r="M43" i="5" s="1"/>
  <c r="M51" i="5"/>
  <c r="M55" i="5"/>
  <c r="K68" i="5"/>
  <c r="M68" i="5" s="1"/>
  <c r="K69" i="5"/>
  <c r="M83" i="5"/>
  <c r="L3" i="5"/>
  <c r="L4" i="5"/>
  <c r="M4" i="5" s="1"/>
  <c r="K34" i="5"/>
  <c r="M34" i="5" s="1"/>
  <c r="K41" i="5"/>
  <c r="M41" i="5" s="1"/>
  <c r="K62" i="5"/>
  <c r="M62" i="5" s="1"/>
  <c r="M65" i="5"/>
  <c r="L69" i="5"/>
  <c r="K77" i="5"/>
  <c r="M77" i="5" s="1"/>
  <c r="M82" i="5"/>
  <c r="K86" i="5"/>
  <c r="M86" i="5" s="1"/>
  <c r="K89" i="5"/>
  <c r="M89" i="5" s="1"/>
  <c r="M91" i="5"/>
  <c r="M66" i="5"/>
  <c r="M2" i="5"/>
  <c r="M30" i="5"/>
  <c r="M11" i="5"/>
  <c r="M12" i="5"/>
  <c r="K22" i="5"/>
  <c r="M22" i="5" s="1"/>
  <c r="M33" i="5"/>
  <c r="M59" i="5"/>
  <c r="M21" i="5"/>
  <c r="M24" i="5"/>
  <c r="M36" i="5"/>
  <c r="M49" i="5"/>
  <c r="M78" i="5"/>
  <c r="L91" i="3"/>
  <c r="L90" i="3"/>
  <c r="L89" i="3"/>
  <c r="K89" i="3"/>
  <c r="D94" i="3"/>
  <c r="L94" i="3" s="1"/>
  <c r="D93" i="3"/>
  <c r="L93" i="3" s="1"/>
  <c r="D92" i="3"/>
  <c r="L92" i="3" s="1"/>
  <c r="L127" i="5" l="1"/>
  <c r="K127" i="5"/>
  <c r="M3" i="5"/>
  <c r="M69" i="5"/>
  <c r="B94" i="3"/>
  <c r="K94" i="3" s="1"/>
  <c r="M94" i="3" s="1"/>
  <c r="B87" i="3"/>
  <c r="B93" i="3"/>
  <c r="K93" i="3" s="1"/>
  <c r="B91" i="3"/>
  <c r="B90" i="3"/>
  <c r="B88" i="3"/>
  <c r="B77" i="3"/>
  <c r="B76" i="3"/>
  <c r="B92" i="3"/>
  <c r="K92" i="3" s="1"/>
  <c r="M92" i="3" s="1"/>
  <c r="N127" i="5" l="1"/>
  <c r="M127" i="5"/>
  <c r="J87" i="3"/>
  <c r="G78" i="3" l="1"/>
  <c r="E91" i="3" l="1"/>
  <c r="K91" i="3" s="1"/>
  <c r="M91" i="3" s="1"/>
  <c r="E90" i="3"/>
  <c r="K90" i="3" s="1"/>
  <c r="M90" i="3" s="1"/>
  <c r="G87" i="3" l="1"/>
  <c r="D88" i="3"/>
  <c r="L88" i="3" s="1"/>
  <c r="E88" i="3" l="1"/>
  <c r="K88" i="3" s="1"/>
  <c r="M88" i="3" s="1"/>
  <c r="J78" i="3" l="1"/>
  <c r="B86" i="3" l="1"/>
  <c r="K86" i="3" s="1"/>
  <c r="L86" i="3"/>
  <c r="M86" i="3" s="1"/>
  <c r="E87" i="3"/>
  <c r="H87" i="3"/>
  <c r="L87" i="3"/>
  <c r="K87" i="3" l="1"/>
  <c r="M87" i="3" s="1"/>
  <c r="D79" i="3"/>
  <c r="D80" i="3"/>
  <c r="B79" i="3"/>
  <c r="B81" i="3"/>
  <c r="D81" i="3"/>
  <c r="D78" i="3"/>
  <c r="H78" i="3" l="1"/>
  <c r="B78" i="3"/>
  <c r="E78" i="3"/>
  <c r="B84" i="3" l="1"/>
  <c r="K84" i="3" s="1"/>
  <c r="B83" i="3"/>
  <c r="K83" i="3" s="1"/>
  <c r="K81" i="3"/>
  <c r="B80" i="3"/>
  <c r="K80" i="3" s="1"/>
  <c r="L80" i="3"/>
  <c r="L81" i="3"/>
  <c r="K82" i="3"/>
  <c r="L82" i="3"/>
  <c r="L83" i="3"/>
  <c r="L84" i="3"/>
  <c r="K85" i="3"/>
  <c r="L85" i="3"/>
  <c r="M82" i="3" l="1"/>
  <c r="M81" i="3"/>
  <c r="M83" i="3"/>
  <c r="M80" i="3"/>
  <c r="M84" i="3"/>
  <c r="E74" i="3"/>
  <c r="B74" i="3" l="1"/>
  <c r="H74" i="3"/>
  <c r="E72" i="3" l="1"/>
  <c r="B72" i="3"/>
  <c r="H73" i="3"/>
  <c r="B67" i="3" l="1"/>
  <c r="L79" i="3" l="1"/>
  <c r="K79" i="3"/>
  <c r="L78" i="3"/>
  <c r="K78" i="3"/>
  <c r="L77" i="3"/>
  <c r="K77" i="3"/>
  <c r="L76" i="3"/>
  <c r="K76" i="3"/>
  <c r="L75" i="3"/>
  <c r="K75" i="3"/>
  <c r="L74" i="3"/>
  <c r="K74" i="3"/>
  <c r="D71" i="3"/>
  <c r="D70" i="3"/>
  <c r="M76" i="3" l="1"/>
  <c r="M77" i="3"/>
  <c r="M78" i="3"/>
  <c r="M79" i="3"/>
  <c r="M74" i="3"/>
  <c r="G70" i="3"/>
  <c r="G69" i="3"/>
  <c r="G68" i="3"/>
  <c r="G67" i="3"/>
  <c r="L67" i="3" s="1"/>
  <c r="J64" i="3"/>
  <c r="D65" i="3"/>
  <c r="D64" i="3"/>
  <c r="B66" i="3" l="1"/>
  <c r="B65" i="3"/>
  <c r="B64" i="3"/>
  <c r="E67" i="3"/>
  <c r="H67" i="3"/>
  <c r="B68" i="3"/>
  <c r="E68" i="3"/>
  <c r="H68" i="3"/>
  <c r="L68" i="3"/>
  <c r="B69" i="3"/>
  <c r="E69" i="3"/>
  <c r="H69" i="3"/>
  <c r="L69" i="3"/>
  <c r="B70" i="3"/>
  <c r="E70" i="3"/>
  <c r="H70" i="3"/>
  <c r="L70" i="3"/>
  <c r="B71" i="3"/>
  <c r="H71" i="3"/>
  <c r="L71" i="3"/>
  <c r="K71" i="3" l="1"/>
  <c r="M71" i="3" s="1"/>
  <c r="K70" i="3"/>
  <c r="M70" i="3" s="1"/>
  <c r="K69" i="3"/>
  <c r="M69" i="3" s="1"/>
  <c r="K68" i="3"/>
  <c r="M68" i="3" s="1"/>
  <c r="K67" i="3"/>
  <c r="M67" i="3" s="1"/>
  <c r="E63" i="3"/>
  <c r="B63" i="3"/>
  <c r="L73" i="3"/>
  <c r="K73" i="3"/>
  <c r="L72" i="3"/>
  <c r="K72" i="3"/>
  <c r="M73" i="3" l="1"/>
  <c r="M72" i="3"/>
  <c r="D60" i="3"/>
  <c r="E59" i="3" l="1"/>
  <c r="B59" i="3"/>
  <c r="B61" i="3"/>
  <c r="B60" i="3"/>
  <c r="D58" i="3" l="1"/>
  <c r="B56" i="3" l="1"/>
  <c r="B58" i="3"/>
  <c r="D56" i="3"/>
  <c r="D55" i="3"/>
  <c r="B55" i="3"/>
  <c r="D54" i="3"/>
  <c r="B54" i="3"/>
  <c r="D53" i="3"/>
  <c r="B53" i="3"/>
  <c r="D52" i="3"/>
  <c r="B52" i="3"/>
  <c r="D51" i="3"/>
  <c r="E58" i="3"/>
  <c r="K52" i="3" l="1"/>
  <c r="L52" i="3"/>
  <c r="M52" i="3" s="1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L51" i="3"/>
  <c r="B51" i="3"/>
  <c r="K51" i="3" s="1"/>
  <c r="M56" i="3" l="1"/>
  <c r="M59" i="3"/>
  <c r="M63" i="3"/>
  <c r="M51" i="3"/>
  <c r="M55" i="3"/>
  <c r="M66" i="3"/>
  <c r="M64" i="3"/>
  <c r="M65" i="3"/>
  <c r="M60" i="3"/>
  <c r="M61" i="3"/>
  <c r="M54" i="3"/>
  <c r="M53" i="3"/>
  <c r="M58" i="3"/>
  <c r="E50" i="3"/>
  <c r="L50" i="3" l="1"/>
  <c r="B50" i="3" l="1"/>
  <c r="K50" i="3" s="1"/>
  <c r="M50" i="3" s="1"/>
  <c r="D44" i="3"/>
  <c r="L44" i="3" s="1"/>
  <c r="B44" i="3"/>
  <c r="D45" i="3" l="1"/>
  <c r="H45" i="3" l="1"/>
  <c r="E45" i="3"/>
  <c r="B45" i="3"/>
  <c r="B49" i="3" l="1"/>
  <c r="E49" i="3"/>
  <c r="L49" i="3"/>
  <c r="K49" i="3" l="1"/>
  <c r="M49" i="3" s="1"/>
  <c r="D48" i="3"/>
  <c r="D47" i="3"/>
  <c r="L48" i="3" l="1"/>
  <c r="B47" i="3"/>
  <c r="B48" i="3"/>
  <c r="K48" i="3" s="1"/>
  <c r="M48" i="3" l="1"/>
  <c r="E44" i="3"/>
  <c r="K44" i="3" s="1"/>
  <c r="M44" i="3" s="1"/>
  <c r="B43" i="3" l="1"/>
  <c r="H43" i="3"/>
  <c r="B42" i="3"/>
  <c r="L42" i="3"/>
  <c r="L43" i="3"/>
  <c r="K45" i="3"/>
  <c r="L45" i="3"/>
  <c r="K46" i="3"/>
  <c r="L46" i="3"/>
  <c r="K47" i="3"/>
  <c r="L47" i="3"/>
  <c r="E42" i="3"/>
  <c r="K42" i="3" s="1"/>
  <c r="K43" i="3" l="1"/>
  <c r="M45" i="3"/>
  <c r="M47" i="3"/>
  <c r="M43" i="3"/>
  <c r="M42" i="3"/>
  <c r="B40" i="3"/>
  <c r="B41" i="3" l="1"/>
  <c r="B39" i="3" l="1"/>
  <c r="E35" i="3" l="1"/>
  <c r="B35" i="3"/>
  <c r="B36" i="3" l="1"/>
  <c r="B33" i="3" l="1"/>
  <c r="D33" i="3"/>
  <c r="B34" i="3" l="1"/>
  <c r="K34" i="3" s="1"/>
  <c r="K33" i="3"/>
  <c r="L33" i="3"/>
  <c r="L34" i="3"/>
  <c r="K35" i="3"/>
  <c r="L35" i="3"/>
  <c r="K36" i="3"/>
  <c r="L36" i="3"/>
  <c r="K37" i="3"/>
  <c r="L37" i="3"/>
  <c r="M37" i="3" s="1"/>
  <c r="K38" i="3"/>
  <c r="L38" i="3"/>
  <c r="K39" i="3"/>
  <c r="L39" i="3"/>
  <c r="K40" i="3"/>
  <c r="L40" i="3"/>
  <c r="K41" i="3"/>
  <c r="L41" i="3"/>
  <c r="M34" i="3" l="1"/>
  <c r="M40" i="3"/>
  <c r="M41" i="3"/>
  <c r="M39" i="3"/>
  <c r="M35" i="3"/>
  <c r="M36" i="3"/>
  <c r="M33" i="3"/>
  <c r="D31" i="3"/>
  <c r="D30" i="3"/>
  <c r="E31" i="3" l="1"/>
  <c r="B31" i="3"/>
  <c r="B30" i="3"/>
  <c r="E30" i="3"/>
  <c r="D28" i="3" l="1"/>
  <c r="D27" i="3"/>
  <c r="D25" i="3" l="1"/>
  <c r="D24" i="3"/>
  <c r="B28" i="3" l="1"/>
  <c r="B27" i="3"/>
  <c r="B26" i="3"/>
  <c r="B25" i="3" l="1"/>
  <c r="K25" i="3" s="1"/>
  <c r="K26" i="3"/>
  <c r="K27" i="3"/>
  <c r="K28" i="3"/>
  <c r="K29" i="3"/>
  <c r="K30" i="3"/>
  <c r="K31" i="3"/>
  <c r="K32" i="3"/>
  <c r="B24" i="3"/>
  <c r="K24" i="3" s="1"/>
  <c r="L32" i="3" l="1"/>
  <c r="M32" i="3" s="1"/>
  <c r="L31" i="3"/>
  <c r="M31" i="3" s="1"/>
  <c r="L30" i="3"/>
  <c r="M30" i="3" s="1"/>
  <c r="L29" i="3"/>
  <c r="L28" i="3"/>
  <c r="M28" i="3" s="1"/>
  <c r="L27" i="3"/>
  <c r="M27" i="3" s="1"/>
  <c r="L26" i="3"/>
  <c r="M26" i="3" s="1"/>
  <c r="L25" i="3"/>
  <c r="M25" i="3" s="1"/>
  <c r="L21" i="3"/>
  <c r="B23" i="3"/>
  <c r="B22" i="3"/>
  <c r="H23" i="3" l="1"/>
  <c r="E23" i="3"/>
  <c r="H22" i="3"/>
  <c r="E22" i="3"/>
  <c r="B21" i="3" l="1"/>
  <c r="H21" i="3"/>
  <c r="E21" i="3"/>
  <c r="L24" i="3" l="1"/>
  <c r="M24" i="3" s="1"/>
  <c r="L23" i="3"/>
  <c r="L22" i="3"/>
  <c r="L20" i="3"/>
  <c r="L19" i="3"/>
  <c r="K23" i="3"/>
  <c r="K22" i="3"/>
  <c r="K21" i="3"/>
  <c r="M21" i="3" s="1"/>
  <c r="K20" i="3"/>
  <c r="K19" i="3"/>
  <c r="K18" i="3"/>
  <c r="K17" i="3"/>
  <c r="D15" i="3"/>
  <c r="L15" i="3" s="1"/>
  <c r="B16" i="3"/>
  <c r="E16" i="3"/>
  <c r="L16" i="3"/>
  <c r="L18" i="3"/>
  <c r="L17" i="3"/>
  <c r="B15" i="3"/>
  <c r="K15" i="3" s="1"/>
  <c r="K16" i="3" l="1"/>
  <c r="M16" i="3"/>
  <c r="M23" i="3"/>
  <c r="M22" i="3"/>
  <c r="M15" i="3"/>
  <c r="D13" i="3"/>
  <c r="D12" i="3"/>
  <c r="B13" i="3" l="1"/>
  <c r="B12" i="3"/>
  <c r="E10" i="3" l="1"/>
  <c r="B10" i="3"/>
  <c r="B9" i="3"/>
  <c r="B8" i="3"/>
  <c r="E8" i="3"/>
  <c r="E9" i="3"/>
  <c r="B11" i="3"/>
  <c r="G10" i="3" l="1"/>
  <c r="G8" i="3"/>
  <c r="G9" i="3"/>
  <c r="J6" i="3" l="1"/>
  <c r="J3" i="3"/>
  <c r="J5" i="3" l="1"/>
  <c r="J4" i="3"/>
  <c r="D6" i="3" l="1"/>
  <c r="D5" i="3"/>
  <c r="D4" i="3"/>
  <c r="D3" i="3"/>
  <c r="G6" i="3"/>
  <c r="G5" i="3"/>
  <c r="G4" i="3"/>
  <c r="G3" i="3"/>
  <c r="L14" i="3" l="1"/>
  <c r="K14" i="3"/>
  <c r="L13" i="3"/>
  <c r="K13" i="3"/>
  <c r="L12" i="3"/>
  <c r="K12" i="3"/>
  <c r="L11" i="3"/>
  <c r="K11" i="3"/>
  <c r="L10" i="3"/>
  <c r="K10" i="3"/>
  <c r="L9" i="3"/>
  <c r="K9" i="3"/>
  <c r="L2" i="3"/>
  <c r="M13" i="3" l="1"/>
  <c r="M11" i="3"/>
  <c r="M12" i="3"/>
  <c r="M10" i="3"/>
  <c r="M9" i="3"/>
  <c r="H6" i="3"/>
  <c r="B6" i="3"/>
  <c r="E6" i="3"/>
  <c r="B5" i="3"/>
  <c r="E5" i="3"/>
  <c r="H5" i="3"/>
  <c r="B4" i="3"/>
  <c r="E4" i="3"/>
  <c r="H4" i="3"/>
  <c r="H3" i="3"/>
  <c r="B3" i="3"/>
  <c r="E3" i="3"/>
  <c r="B2" i="3"/>
  <c r="K2" i="3" s="1"/>
  <c r="M2" i="3" s="1"/>
  <c r="L8" i="3"/>
  <c r="K8" i="3"/>
  <c r="L7" i="3"/>
  <c r="K7" i="3"/>
  <c r="L6" i="3"/>
  <c r="L5" i="3"/>
  <c r="L4" i="3"/>
  <c r="L3" i="3"/>
  <c r="L96" i="3" l="1"/>
  <c r="K5" i="3"/>
  <c r="K4" i="3"/>
  <c r="M4" i="3" s="1"/>
  <c r="K6" i="3"/>
  <c r="M6" i="3" s="1"/>
  <c r="K3" i="3"/>
  <c r="M3" i="3" s="1"/>
  <c r="M8" i="3"/>
  <c r="M5" i="3"/>
  <c r="J115" i="2"/>
  <c r="J114" i="2"/>
  <c r="J113" i="2"/>
  <c r="J110" i="2"/>
  <c r="J109" i="2"/>
  <c r="J108" i="2"/>
  <c r="J107" i="2"/>
  <c r="J106" i="2"/>
  <c r="J112" i="2"/>
  <c r="J111" i="2"/>
  <c r="J105" i="2"/>
  <c r="J104" i="2"/>
  <c r="K96" i="3" l="1"/>
  <c r="M96" i="3" s="1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K103" i="2"/>
  <c r="B112" i="2"/>
  <c r="B111" i="2"/>
  <c r="B105" i="2"/>
  <c r="B104" i="2"/>
  <c r="B113" i="2"/>
  <c r="B117" i="2"/>
  <c r="K117" i="2" s="1"/>
  <c r="B116" i="2"/>
  <c r="K116" i="2" s="1"/>
  <c r="E115" i="2"/>
  <c r="B115" i="2"/>
  <c r="B110" i="2"/>
  <c r="B109" i="2"/>
  <c r="B114" i="2"/>
  <c r="B108" i="2"/>
  <c r="B107" i="2"/>
  <c r="B106" i="2"/>
  <c r="N96" i="3" l="1"/>
  <c r="M116" i="2"/>
  <c r="M117" i="2"/>
  <c r="H115" i="2"/>
  <c r="K115" i="2" s="1"/>
  <c r="M115" i="2" s="1"/>
  <c r="H114" i="2"/>
  <c r="K114" i="2" s="1"/>
  <c r="M114" i="2" s="1"/>
  <c r="H113" i="2"/>
  <c r="K113" i="2" s="1"/>
  <c r="M113" i="2" s="1"/>
  <c r="H110" i="2"/>
  <c r="K110" i="2" s="1"/>
  <c r="M110" i="2" s="1"/>
  <c r="H109" i="2"/>
  <c r="K109" i="2" s="1"/>
  <c r="M109" i="2" s="1"/>
  <c r="H108" i="2"/>
  <c r="K108" i="2" s="1"/>
  <c r="M108" i="2" s="1"/>
  <c r="H107" i="2"/>
  <c r="K107" i="2" s="1"/>
  <c r="M107" i="2" s="1"/>
  <c r="H106" i="2"/>
  <c r="K106" i="2" s="1"/>
  <c r="M106" i="2" s="1"/>
  <c r="H112" i="2"/>
  <c r="K112" i="2" s="1"/>
  <c r="M112" i="2" s="1"/>
  <c r="H111" i="2"/>
  <c r="K111" i="2" s="1"/>
  <c r="M111" i="2" s="1"/>
  <c r="H105" i="2"/>
  <c r="K105" i="2" s="1"/>
  <c r="M105" i="2" s="1"/>
  <c r="H104" i="2"/>
  <c r="K104" i="2" s="1"/>
  <c r="M104" i="2" s="1"/>
  <c r="L100" i="2" l="1"/>
  <c r="H102" i="2" l="1"/>
  <c r="H101" i="2"/>
  <c r="H100" i="2"/>
  <c r="J92" i="2" l="1"/>
  <c r="D99" i="2" l="1"/>
  <c r="L99" i="2" s="1"/>
  <c r="L102" i="2"/>
  <c r="L101" i="2"/>
  <c r="E99" i="2"/>
  <c r="B99" i="2"/>
  <c r="B102" i="2"/>
  <c r="K102" i="2" s="1"/>
  <c r="B101" i="2"/>
  <c r="K101" i="2" s="1"/>
  <c r="K99" i="2" l="1"/>
  <c r="M99" i="2" s="1"/>
  <c r="M102" i="2"/>
  <c r="M101" i="2"/>
  <c r="B100" i="2"/>
  <c r="K100" i="2" s="1"/>
  <c r="M100" i="2" s="1"/>
  <c r="L98" i="2" l="1"/>
  <c r="K98" i="2"/>
  <c r="D97" i="2"/>
  <c r="L97" i="2" s="1"/>
  <c r="B97" i="2"/>
  <c r="K97" i="2" s="1"/>
  <c r="M98" i="2" l="1"/>
  <c r="M97" i="2"/>
  <c r="E95" i="2"/>
  <c r="K95" i="2" s="1"/>
  <c r="L95" i="2"/>
  <c r="M95" i="2" l="1"/>
  <c r="E94" i="2"/>
  <c r="B94" i="2"/>
  <c r="E96" i="2" l="1"/>
  <c r="B96" i="2"/>
  <c r="L96" i="2"/>
  <c r="L94" i="2"/>
  <c r="K94" i="2"/>
  <c r="K96" i="2" l="1"/>
  <c r="M96" i="2" s="1"/>
  <c r="M94" i="2"/>
  <c r="D90" i="2" l="1"/>
  <c r="H90" i="2"/>
  <c r="B90" i="2"/>
  <c r="L91" i="2"/>
  <c r="K91" i="2"/>
  <c r="L92" i="2"/>
  <c r="E92" i="2"/>
  <c r="B92" i="2"/>
  <c r="H92" i="2"/>
  <c r="M91" i="2" l="1"/>
  <c r="K92" i="2"/>
  <c r="M92" i="2" s="1"/>
  <c r="L90" i="2"/>
  <c r="K90" i="2"/>
  <c r="M90" i="2" l="1"/>
  <c r="L89" i="2"/>
  <c r="L88" i="2"/>
  <c r="K88" i="2"/>
  <c r="B89" i="2"/>
  <c r="K89" i="2" s="1"/>
  <c r="M88" i="2" l="1"/>
  <c r="M89" i="2"/>
  <c r="L87" i="2"/>
  <c r="K87" i="2"/>
  <c r="M87" i="2" l="1"/>
  <c r="B81" i="2"/>
  <c r="B82" i="2"/>
  <c r="L86" i="2" l="1"/>
  <c r="K86" i="2"/>
  <c r="L85" i="2"/>
  <c r="K85" i="2"/>
  <c r="L84" i="2"/>
  <c r="K84" i="2"/>
  <c r="L83" i="2"/>
  <c r="K83" i="2"/>
  <c r="L82" i="2"/>
  <c r="K82" i="2"/>
  <c r="L81" i="2"/>
  <c r="K81" i="2"/>
  <c r="M86" i="2" l="1"/>
  <c r="M85" i="2"/>
  <c r="M83" i="2"/>
  <c r="M82" i="2"/>
  <c r="M81" i="2"/>
  <c r="B75" i="2"/>
  <c r="D75" i="2"/>
  <c r="H71" i="2"/>
  <c r="E71" i="2" l="1"/>
  <c r="B71" i="2"/>
  <c r="B70" i="2"/>
  <c r="H74" i="2" l="1"/>
  <c r="B74" i="2"/>
  <c r="H73" i="2"/>
  <c r="B73" i="2"/>
  <c r="K74" i="2" l="1"/>
  <c r="E70" i="2"/>
  <c r="B69" i="2"/>
  <c r="E69" i="2"/>
  <c r="K80" i="2" l="1"/>
  <c r="K79" i="2"/>
  <c r="K78" i="2"/>
  <c r="K77" i="2"/>
  <c r="K76" i="2"/>
  <c r="K75" i="2"/>
  <c r="K73" i="2"/>
  <c r="K71" i="2"/>
  <c r="K70" i="2"/>
  <c r="K69" i="2"/>
  <c r="K68" i="2"/>
  <c r="D66" i="2" l="1"/>
  <c r="E67" i="2" l="1"/>
  <c r="K67" i="2" s="1"/>
  <c r="E66" i="2"/>
  <c r="K66" i="2" s="1"/>
  <c r="L71" i="2" l="1"/>
  <c r="M71" i="2" s="1"/>
  <c r="L70" i="2"/>
  <c r="M70" i="2" s="1"/>
  <c r="L69" i="2"/>
  <c r="M69" i="2" s="1"/>
  <c r="L80" i="2"/>
  <c r="M80" i="2" s="1"/>
  <c r="L79" i="2"/>
  <c r="L78" i="2"/>
  <c r="L77" i="2"/>
  <c r="M77" i="2" s="1"/>
  <c r="L76" i="2"/>
  <c r="M76" i="2" s="1"/>
  <c r="L75" i="2"/>
  <c r="M75" i="2" s="1"/>
  <c r="L74" i="2"/>
  <c r="M74" i="2" s="1"/>
  <c r="L73" i="2"/>
  <c r="M73" i="2" s="1"/>
  <c r="E64" i="2"/>
  <c r="B64" i="2"/>
  <c r="H62" i="2" l="1"/>
  <c r="G62" i="2"/>
  <c r="D62" i="2"/>
  <c r="E62" i="2"/>
  <c r="B62" i="2"/>
  <c r="G58" i="2" l="1"/>
  <c r="D65" i="2" l="1"/>
  <c r="G65" i="2"/>
  <c r="E58" i="2" l="1"/>
  <c r="B58" i="2"/>
  <c r="L65" i="2" l="1"/>
  <c r="L64" i="2"/>
  <c r="K64" i="2"/>
  <c r="E65" i="2"/>
  <c r="B65" i="2"/>
  <c r="K65" i="2" l="1"/>
  <c r="L63" i="2"/>
  <c r="K63" i="2"/>
  <c r="L62" i="2" l="1"/>
  <c r="K62" i="2"/>
  <c r="L68" i="2" l="1"/>
  <c r="M68" i="2" s="1"/>
  <c r="L67" i="2"/>
  <c r="M67" i="2" s="1"/>
  <c r="L66" i="2"/>
  <c r="M66" i="2" s="1"/>
  <c r="M65" i="2"/>
  <c r="M64" i="2"/>
  <c r="M63" i="2"/>
  <c r="M62" i="2"/>
  <c r="B61" i="2"/>
  <c r="K61" i="2" s="1"/>
  <c r="L61" i="2"/>
  <c r="M61" i="2" l="1"/>
  <c r="L57" i="2"/>
  <c r="E57" i="2"/>
  <c r="B57" i="2"/>
  <c r="B56" i="2"/>
  <c r="E56" i="2"/>
  <c r="K57" i="2" l="1"/>
  <c r="M57" i="2" s="1"/>
  <c r="E46" i="2"/>
  <c r="G47" i="2"/>
  <c r="G46" i="2"/>
  <c r="L60" i="2" l="1"/>
  <c r="K60" i="2"/>
  <c r="L59" i="2"/>
  <c r="K59" i="2"/>
  <c r="L58" i="2"/>
  <c r="K58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M50" i="2" l="1"/>
  <c r="M51" i="2"/>
  <c r="M58" i="2"/>
  <c r="M56" i="2"/>
  <c r="M54" i="2"/>
  <c r="M47" i="2"/>
  <c r="M49" i="2"/>
  <c r="M48" i="2"/>
  <c r="M46" i="2"/>
  <c r="M45" i="2"/>
  <c r="M52" i="2"/>
  <c r="B43" i="2"/>
  <c r="B42" i="2"/>
  <c r="L41" i="2" l="1"/>
  <c r="L40" i="2"/>
  <c r="E39" i="2"/>
  <c r="B39" i="2"/>
  <c r="H39" i="2"/>
  <c r="L39" i="2"/>
  <c r="L38" i="2"/>
  <c r="K38" i="2"/>
  <c r="H6" i="2"/>
  <c r="K39" i="2" l="1"/>
  <c r="M39" i="2" s="1"/>
  <c r="B13" i="2"/>
  <c r="J21" i="2"/>
  <c r="H21" i="2"/>
  <c r="H22" i="2"/>
  <c r="H19" i="2"/>
  <c r="H18" i="2"/>
  <c r="H17" i="2"/>
  <c r="H16" i="2"/>
  <c r="H15" i="2"/>
  <c r="H12" i="2"/>
  <c r="H11" i="2"/>
  <c r="H10" i="2"/>
  <c r="H9" i="2"/>
  <c r="D25" i="2"/>
  <c r="L25" i="2" s="1"/>
  <c r="D14" i="2"/>
  <c r="D24" i="2"/>
  <c r="D23" i="2"/>
  <c r="D11" i="2"/>
  <c r="D5" i="2"/>
  <c r="D4" i="2"/>
  <c r="L4" i="2" s="1"/>
  <c r="Q19" i="2"/>
  <c r="L19" i="2" s="1"/>
  <c r="O19" i="2"/>
  <c r="Q18" i="2"/>
  <c r="L18" i="2" s="1"/>
  <c r="Q17" i="2"/>
  <c r="L17" i="2" s="1"/>
  <c r="Q16" i="2"/>
  <c r="L16" i="2" s="1"/>
  <c r="Q15" i="2"/>
  <c r="L15" i="2" s="1"/>
  <c r="Q12" i="2"/>
  <c r="L12" i="2" s="1"/>
  <c r="Q11" i="2"/>
  <c r="Q10" i="2"/>
  <c r="L10" i="2" s="1"/>
  <c r="Q9" i="2"/>
  <c r="L9" i="2" s="1"/>
  <c r="Q8" i="2"/>
  <c r="L8" i="2" s="1"/>
  <c r="Q7" i="2"/>
  <c r="L7" i="2" s="1"/>
  <c r="Q6" i="2"/>
  <c r="O25" i="2"/>
  <c r="Q24" i="2"/>
  <c r="O24" i="2"/>
  <c r="Q23" i="2"/>
  <c r="O23" i="2"/>
  <c r="Q22" i="2"/>
  <c r="O22" i="2"/>
  <c r="Q21" i="2"/>
  <c r="O21" i="2"/>
  <c r="Q20" i="2"/>
  <c r="L20" i="2" s="1"/>
  <c r="O20" i="2"/>
  <c r="K20" i="2" s="1"/>
  <c r="O18" i="2"/>
  <c r="O17" i="2"/>
  <c r="O16" i="2"/>
  <c r="O15" i="2"/>
  <c r="Q14" i="2"/>
  <c r="O14" i="2"/>
  <c r="O13" i="2"/>
  <c r="O12" i="2"/>
  <c r="O11" i="2"/>
  <c r="O10" i="2"/>
  <c r="O9" i="2"/>
  <c r="O8" i="2"/>
  <c r="K8" i="2" s="1"/>
  <c r="O7" i="2"/>
  <c r="K7" i="2" s="1"/>
  <c r="O6" i="2"/>
  <c r="L22" i="2"/>
  <c r="L13" i="2"/>
  <c r="K6" i="2" l="1"/>
  <c r="O120" i="2"/>
  <c r="L6" i="2"/>
  <c r="Q120" i="2"/>
  <c r="L121" i="2" s="1"/>
  <c r="L21" i="2"/>
  <c r="L11" i="2"/>
  <c r="L24" i="2"/>
  <c r="L23" i="2"/>
  <c r="K13" i="2"/>
  <c r="L14" i="2"/>
  <c r="B33" i="2"/>
  <c r="K121" i="2" l="1"/>
  <c r="K44" i="2"/>
  <c r="K43" i="2"/>
  <c r="K42" i="2"/>
  <c r="K41" i="2"/>
  <c r="M41" i="2" s="1"/>
  <c r="K40" i="2"/>
  <c r="M40" i="2" s="1"/>
  <c r="K37" i="2"/>
  <c r="K36" i="2"/>
  <c r="K35" i="2"/>
  <c r="K34" i="2"/>
  <c r="K33" i="2"/>
  <c r="K32" i="2"/>
  <c r="K31" i="2"/>
  <c r="K30" i="2"/>
  <c r="K29" i="2"/>
  <c r="K28" i="2"/>
  <c r="L44" i="2"/>
  <c r="L43" i="2"/>
  <c r="L42" i="2"/>
  <c r="L37" i="2"/>
  <c r="L36" i="2"/>
  <c r="L35" i="2"/>
  <c r="L34" i="2"/>
  <c r="L33" i="2"/>
  <c r="L32" i="2"/>
  <c r="L31" i="2"/>
  <c r="L30" i="2"/>
  <c r="L29" i="2"/>
  <c r="L28" i="2"/>
  <c r="B14" i="2"/>
  <c r="K14" i="2" s="1"/>
  <c r="M14" i="2" s="1"/>
  <c r="K12" i="2"/>
  <c r="M12" i="2" s="1"/>
  <c r="B11" i="2"/>
  <c r="K10" i="2"/>
  <c r="K9" i="2"/>
  <c r="M6" i="2"/>
  <c r="B24" i="2"/>
  <c r="K24" i="2" s="1"/>
  <c r="B23" i="2"/>
  <c r="K23" i="2" s="1"/>
  <c r="K22" i="2"/>
  <c r="K19" i="2"/>
  <c r="K18" i="2"/>
  <c r="K17" i="2"/>
  <c r="K16" i="2"/>
  <c r="K21" i="2"/>
  <c r="B25" i="2"/>
  <c r="K25" i="2" s="1"/>
  <c r="B4" i="2"/>
  <c r="K4" i="2" s="1"/>
  <c r="B5" i="2"/>
  <c r="K5" i="2" s="1"/>
  <c r="L5" i="2"/>
  <c r="L27" i="2"/>
  <c r="K27" i="2"/>
  <c r="L26" i="2"/>
  <c r="K26" i="2"/>
  <c r="M13" i="2"/>
  <c r="L3" i="2"/>
  <c r="K3" i="2"/>
  <c r="L2" i="2"/>
  <c r="K2" i="2"/>
  <c r="J116" i="1"/>
  <c r="J117" i="1"/>
  <c r="J118" i="1"/>
  <c r="J119" i="1"/>
  <c r="J120" i="1"/>
  <c r="J115" i="1"/>
  <c r="M121" i="2" l="1"/>
  <c r="N121" i="2"/>
  <c r="L120" i="2"/>
  <c r="L122" i="2" s="1"/>
  <c r="M42" i="2"/>
  <c r="M31" i="2"/>
  <c r="M43" i="2"/>
  <c r="K15" i="2"/>
  <c r="M15" i="2" s="1"/>
  <c r="M29" i="2"/>
  <c r="K11" i="2"/>
  <c r="M11" i="2" s="1"/>
  <c r="M33" i="2"/>
  <c r="M30" i="2"/>
  <c r="M32" i="2"/>
  <c r="M44" i="2"/>
  <c r="M28" i="2"/>
  <c r="M17" i="2"/>
  <c r="M18" i="2"/>
  <c r="M16" i="2"/>
  <c r="M24" i="2"/>
  <c r="M5" i="2"/>
  <c r="M27" i="2"/>
  <c r="M8" i="2"/>
  <c r="M10" i="2"/>
  <c r="M9" i="2"/>
  <c r="M19" i="2"/>
  <c r="M21" i="2"/>
  <c r="M25" i="2"/>
  <c r="M4" i="2"/>
  <c r="M3" i="2"/>
  <c r="M20" i="2"/>
  <c r="M26" i="2"/>
  <c r="M7" i="2"/>
  <c r="M22" i="2"/>
  <c r="M2" i="2"/>
  <c r="H120" i="1"/>
  <c r="H119" i="1"/>
  <c r="H118" i="1"/>
  <c r="H117" i="1"/>
  <c r="H116" i="1"/>
  <c r="H115" i="1"/>
  <c r="K120" i="2" l="1"/>
  <c r="M23" i="2"/>
  <c r="G120" i="1"/>
  <c r="L120" i="1" s="1"/>
  <c r="G119" i="1"/>
  <c r="L119" i="1" s="1"/>
  <c r="G118" i="1"/>
  <c r="L118" i="1" s="1"/>
  <c r="G117" i="1"/>
  <c r="L117" i="1" s="1"/>
  <c r="G116" i="1"/>
  <c r="L116" i="1" s="1"/>
  <c r="G115" i="1"/>
  <c r="L115" i="1" s="1"/>
  <c r="K120" i="1"/>
  <c r="K119" i="1"/>
  <c r="K118" i="1"/>
  <c r="K117" i="1"/>
  <c r="K116" i="1"/>
  <c r="K115" i="1"/>
  <c r="L114" i="1"/>
  <c r="H114" i="1"/>
  <c r="B114" i="1"/>
  <c r="L111" i="1"/>
  <c r="K111" i="1"/>
  <c r="L110" i="1"/>
  <c r="K110" i="1"/>
  <c r="L112" i="1"/>
  <c r="B112" i="1"/>
  <c r="K112" i="1" s="1"/>
  <c r="L101" i="1"/>
  <c r="L100" i="1"/>
  <c r="L99" i="1"/>
  <c r="B101" i="1"/>
  <c r="K101" i="1" s="1"/>
  <c r="B100" i="1"/>
  <c r="K100" i="1" s="1"/>
  <c r="B99" i="1"/>
  <c r="K99" i="1" s="1"/>
  <c r="N120" i="2" l="1"/>
  <c r="K122" i="2"/>
  <c r="M120" i="2"/>
  <c r="M122" i="2" s="1"/>
  <c r="M118" i="1"/>
  <c r="M117" i="1"/>
  <c r="M99" i="1"/>
  <c r="K114" i="1"/>
  <c r="M114" i="1" s="1"/>
  <c r="M100" i="1"/>
  <c r="M101" i="1"/>
  <c r="M112" i="1"/>
  <c r="M119" i="1"/>
  <c r="M116" i="1"/>
  <c r="M120" i="1"/>
  <c r="M115" i="1"/>
  <c r="M110" i="1"/>
  <c r="M111" i="1"/>
  <c r="L107" i="1"/>
  <c r="K107" i="1"/>
  <c r="J106" i="1"/>
  <c r="H106" i="1"/>
  <c r="N123" i="2" l="1"/>
  <c r="N122" i="2"/>
  <c r="M107" i="1"/>
  <c r="G104" i="1"/>
  <c r="G103" i="1"/>
  <c r="L106" i="1"/>
  <c r="K106" i="1"/>
  <c r="M106" i="1" l="1"/>
  <c r="J103" i="1"/>
  <c r="L109" i="1" l="1"/>
  <c r="K109" i="1"/>
  <c r="L108" i="1"/>
  <c r="K108" i="1"/>
  <c r="M109" i="1" l="1"/>
  <c r="M108" i="1"/>
  <c r="L105" i="1"/>
  <c r="K105" i="1"/>
  <c r="L104" i="1"/>
  <c r="K104" i="1"/>
  <c r="L103" i="1"/>
  <c r="K103" i="1"/>
  <c r="L102" i="1"/>
  <c r="K102" i="1"/>
  <c r="M103" i="1" l="1"/>
  <c r="M105" i="1"/>
  <c r="M102" i="1"/>
  <c r="M104" i="1"/>
  <c r="J95" i="1"/>
  <c r="L95" i="1" l="1"/>
  <c r="H95" i="1"/>
  <c r="K95" i="1" s="1"/>
  <c r="M95" i="1" l="1"/>
  <c r="L98" i="1"/>
  <c r="K98" i="1"/>
  <c r="M98" i="1" l="1"/>
  <c r="L94" i="1"/>
  <c r="L93" i="1"/>
  <c r="L92" i="1"/>
  <c r="L96" i="1"/>
  <c r="K96" i="1"/>
  <c r="K94" i="1"/>
  <c r="K93" i="1"/>
  <c r="K92" i="1"/>
  <c r="L91" i="1"/>
  <c r="K91" i="1"/>
  <c r="L90" i="1"/>
  <c r="K90" i="1"/>
  <c r="L89" i="1"/>
  <c r="K89" i="1"/>
  <c r="M89" i="1" l="1"/>
  <c r="M91" i="1"/>
  <c r="M94" i="1"/>
  <c r="M90" i="1"/>
  <c r="M96" i="1"/>
  <c r="M92" i="1"/>
  <c r="M93" i="1"/>
  <c r="L87" i="1"/>
  <c r="K87" i="1"/>
  <c r="L86" i="1"/>
  <c r="K86" i="1"/>
  <c r="L85" i="1"/>
  <c r="M85" i="1" s="1"/>
  <c r="K85" i="1"/>
  <c r="L84" i="1"/>
  <c r="K84" i="1"/>
  <c r="L80" i="1"/>
  <c r="M80" i="1" s="1"/>
  <c r="K80" i="1"/>
  <c r="L83" i="1"/>
  <c r="L82" i="1"/>
  <c r="L81" i="1"/>
  <c r="K83" i="1"/>
  <c r="K82" i="1"/>
  <c r="K81" i="1"/>
  <c r="M86" i="1" l="1"/>
  <c r="M83" i="1"/>
  <c r="M84" i="1"/>
  <c r="M87" i="1"/>
  <c r="M82" i="1"/>
  <c r="M81" i="1"/>
  <c r="D67" i="1"/>
  <c r="D66" i="1"/>
  <c r="L79" i="1"/>
  <c r="K79" i="1"/>
  <c r="L52" i="1"/>
  <c r="K52" i="1"/>
  <c r="M52" i="1" l="1"/>
  <c r="M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8" i="1"/>
  <c r="K68" i="1"/>
  <c r="L67" i="1"/>
  <c r="K67" i="1"/>
  <c r="L66" i="1"/>
  <c r="K66" i="1"/>
  <c r="L57" i="1"/>
  <c r="K57" i="1"/>
  <c r="M66" i="1" l="1"/>
  <c r="M73" i="1"/>
  <c r="M77" i="1"/>
  <c r="M78" i="1"/>
  <c r="M68" i="1"/>
  <c r="M74" i="1"/>
  <c r="M57" i="1"/>
  <c r="M75" i="1"/>
  <c r="M76" i="1"/>
  <c r="M67" i="1"/>
  <c r="M70" i="1"/>
  <c r="M72" i="1"/>
  <c r="M71" i="1"/>
  <c r="L65" i="1"/>
  <c r="K65" i="1"/>
  <c r="L64" i="1"/>
  <c r="K64" i="1"/>
  <c r="M65" i="1" l="1"/>
  <c r="M64" i="1"/>
  <c r="L56" i="1"/>
  <c r="K56" i="1"/>
  <c r="L55" i="1"/>
  <c r="K55" i="1"/>
  <c r="L54" i="1"/>
  <c r="K54" i="1"/>
  <c r="K4" i="1"/>
  <c r="K5" i="1"/>
  <c r="L4" i="1"/>
  <c r="L60" i="1"/>
  <c r="K60" i="1"/>
  <c r="L59" i="1"/>
  <c r="K59" i="1"/>
  <c r="L58" i="1"/>
  <c r="K58" i="1"/>
  <c r="L46" i="1"/>
  <c r="K46" i="1"/>
  <c r="L50" i="1"/>
  <c r="K50" i="1"/>
  <c r="L49" i="1"/>
  <c r="K49" i="1"/>
  <c r="L48" i="1"/>
  <c r="K48" i="1"/>
  <c r="L51" i="1"/>
  <c r="K51" i="1"/>
  <c r="M46" i="1" l="1"/>
  <c r="M54" i="1"/>
  <c r="M56" i="1"/>
  <c r="M55" i="1"/>
  <c r="M51" i="1"/>
  <c r="M49" i="1"/>
  <c r="M58" i="1"/>
  <c r="M60" i="1"/>
  <c r="M50" i="1"/>
  <c r="M59" i="1"/>
  <c r="M4" i="1"/>
  <c r="K40" i="1"/>
  <c r="L40" i="1"/>
  <c r="L42" i="1"/>
  <c r="K42" i="1"/>
  <c r="L41" i="1"/>
  <c r="K41" i="1"/>
  <c r="L30" i="1"/>
  <c r="L29" i="1"/>
  <c r="L28" i="1"/>
  <c r="L43" i="1"/>
  <c r="K43" i="1"/>
  <c r="L47" i="1"/>
  <c r="K47" i="1"/>
  <c r="K30" i="1"/>
  <c r="K29" i="1"/>
  <c r="K28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K16" i="1"/>
  <c r="K15" i="1"/>
  <c r="K14" i="1"/>
  <c r="K13" i="1"/>
  <c r="L12" i="1"/>
  <c r="K12" i="1"/>
  <c r="L11" i="1"/>
  <c r="K11" i="1"/>
  <c r="L10" i="1"/>
  <c r="K10" i="1"/>
  <c r="L2" i="1"/>
  <c r="K2" i="1"/>
  <c r="L3" i="1"/>
  <c r="K3" i="1"/>
  <c r="L8" i="1"/>
  <c r="K8" i="1"/>
  <c r="L7" i="1"/>
  <c r="K7" i="1"/>
  <c r="L6" i="1"/>
  <c r="K6" i="1"/>
  <c r="K122" i="1" l="1"/>
  <c r="L122" i="1"/>
  <c r="M2" i="1"/>
  <c r="M28" i="1"/>
  <c r="M7" i="1"/>
  <c r="M3" i="1"/>
  <c r="M10" i="1"/>
  <c r="M12" i="1"/>
  <c r="M18" i="1"/>
  <c r="M20" i="1"/>
  <c r="M22" i="1"/>
  <c r="M24" i="1"/>
  <c r="M26" i="1"/>
  <c r="M31" i="1"/>
  <c r="M33" i="1"/>
  <c r="M35" i="1"/>
  <c r="M37" i="1"/>
  <c r="M39" i="1"/>
  <c r="M41" i="1"/>
  <c r="M43" i="1"/>
  <c r="M29" i="1"/>
  <c r="M47" i="1"/>
  <c r="M40" i="1"/>
  <c r="M6" i="1"/>
  <c r="M8" i="1"/>
  <c r="M11" i="1"/>
  <c r="M19" i="1"/>
  <c r="M21" i="1"/>
  <c r="M23" i="1"/>
  <c r="M25" i="1"/>
  <c r="M27" i="1"/>
  <c r="M32" i="1"/>
  <c r="M34" i="1"/>
  <c r="M36" i="1"/>
  <c r="M38" i="1"/>
  <c r="M30" i="1"/>
  <c r="M42" i="1"/>
  <c r="M122" i="1" l="1"/>
  <c r="N122" i="1"/>
</calcChain>
</file>

<file path=xl/sharedStrings.xml><?xml version="1.0" encoding="utf-8"?>
<sst xmlns="http://schemas.openxmlformats.org/spreadsheetml/2006/main" count="3480" uniqueCount="468">
  <si>
    <t>JN</t>
  </si>
  <si>
    <t>REMARK</t>
  </si>
  <si>
    <t>EST. SHELL</t>
  </si>
  <si>
    <t xml:space="preserve">PUR. SHELL </t>
  </si>
  <si>
    <t xml:space="preserve">EST. HEAD </t>
  </si>
  <si>
    <t xml:space="preserve">PUR. HEAD </t>
  </si>
  <si>
    <t>EST. JKT</t>
  </si>
  <si>
    <t xml:space="preserve">PUR. JKT </t>
  </si>
  <si>
    <t>all monel plate</t>
  </si>
  <si>
    <t>Note</t>
  </si>
  <si>
    <t>EST. TOTAL</t>
  </si>
  <si>
    <t>PUR. TOTAL</t>
  </si>
  <si>
    <t>shell,angle</t>
  </si>
  <si>
    <t>Demister Pad</t>
  </si>
  <si>
    <t>Est.not found</t>
  </si>
  <si>
    <t>5/8 from 1/2</t>
  </si>
  <si>
    <t>5/16" from 1/4"</t>
  </si>
  <si>
    <t>shell,cone,bottom</t>
  </si>
  <si>
    <t>used stock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</si>
  <si>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</si>
  <si>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</si>
  <si>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</si>
  <si>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</si>
  <si>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</si>
  <si>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</si>
  <si>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</si>
  <si>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</si>
  <si>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</si>
  <si>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</si>
  <si>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</si>
  <si>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</si>
  <si>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with bevel</t>
  </si>
  <si>
    <t>all material</t>
  </si>
  <si>
    <t>w/o hole</t>
  </si>
  <si>
    <t>saved 20' welding</t>
  </si>
  <si>
    <t>013</t>
  </si>
  <si>
    <t>014</t>
  </si>
  <si>
    <t>015</t>
  </si>
  <si>
    <t>016</t>
  </si>
  <si>
    <t>017</t>
  </si>
  <si>
    <t>018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</si>
  <si>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</si>
  <si>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</si>
  <si>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</si>
  <si>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</si>
  <si>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</si>
  <si>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</si>
  <si>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</si>
  <si>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</si>
  <si>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</si>
  <si>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</si>
  <si>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</si>
  <si>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</si>
  <si>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</si>
  <si>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</si>
  <si>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</si>
  <si>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</si>
  <si>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</si>
  <si>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</si>
  <si>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</si>
  <si>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019</t>
  </si>
  <si>
    <t xml:space="preserve">% </t>
  </si>
  <si>
    <t>5/16was1/4</t>
  </si>
  <si>
    <t>5/16"was3/16"</t>
  </si>
  <si>
    <t>039</t>
  </si>
  <si>
    <t>040</t>
  </si>
  <si>
    <t>top &amp; btm</t>
  </si>
  <si>
    <t>from 1/4" to 3/16"</t>
  </si>
  <si>
    <t>from 5/16" to 3/16"</t>
  </si>
  <si>
    <t>top 1/4"&amp; btm 5/16"</t>
  </si>
  <si>
    <t>041</t>
  </si>
  <si>
    <t>042</t>
  </si>
  <si>
    <t>3/8"&amp;1/2" #4 plate</t>
  </si>
  <si>
    <t>043</t>
  </si>
  <si>
    <t>044</t>
  </si>
  <si>
    <t>045</t>
  </si>
  <si>
    <t>046</t>
  </si>
  <si>
    <t>047</t>
  </si>
  <si>
    <t>048</t>
  </si>
  <si>
    <t>49&amp;50</t>
  </si>
  <si>
    <t>Plate &amp; angle</t>
  </si>
  <si>
    <t>shell.bottom</t>
  </si>
  <si>
    <t>shell, cover &amp; cone</t>
  </si>
  <si>
    <t>Dimple jkt.</t>
  </si>
  <si>
    <t>main pipe</t>
  </si>
  <si>
    <t>Flg &amp; blind</t>
  </si>
  <si>
    <t>054</t>
  </si>
  <si>
    <t>055</t>
  </si>
  <si>
    <t>056</t>
  </si>
  <si>
    <t>057</t>
  </si>
  <si>
    <t>058</t>
  </si>
  <si>
    <t>shell &amp; repad</t>
  </si>
  <si>
    <t>shell,cone,btm.,wall</t>
  </si>
  <si>
    <t>shell,repad ,neck-T</t>
  </si>
  <si>
    <t>CANCEL</t>
  </si>
  <si>
    <t>Pipe &amp; stubend</t>
  </si>
  <si>
    <t>059</t>
  </si>
  <si>
    <t>060</t>
  </si>
  <si>
    <t>061</t>
  </si>
  <si>
    <t>062</t>
  </si>
  <si>
    <t>063</t>
  </si>
  <si>
    <t>shell, cone &amp; btm</t>
  </si>
  <si>
    <t>064</t>
  </si>
  <si>
    <t>065</t>
  </si>
  <si>
    <t>066</t>
  </si>
  <si>
    <t>shell,repad,neck-T</t>
  </si>
  <si>
    <t>067</t>
  </si>
  <si>
    <t>068</t>
  </si>
  <si>
    <t>069</t>
  </si>
  <si>
    <t>070</t>
  </si>
  <si>
    <t xml:space="preserve">t-bolt </t>
  </si>
  <si>
    <t>071</t>
  </si>
  <si>
    <t>#4 polish  plate</t>
  </si>
  <si>
    <t>shell,btm,cone</t>
  </si>
  <si>
    <t>shell,btm,cone &amp; 24"roof MW</t>
  </si>
  <si>
    <t>pipe for int.coil</t>
  </si>
  <si>
    <t>shell &amp; heads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</si>
  <si>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</si>
  <si>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</si>
  <si>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</si>
  <si>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</si>
  <si>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</si>
  <si>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</si>
  <si>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</si>
  <si>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</si>
  <si>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</si>
  <si>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</si>
  <si>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</si>
  <si>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</si>
  <si>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</si>
  <si>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</si>
  <si>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</si>
  <si>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</si>
  <si>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</si>
  <si>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</si>
  <si>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</si>
  <si>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shell</t>
  </si>
  <si>
    <t>shell &amp; cover</t>
  </si>
  <si>
    <t>btm head</t>
  </si>
  <si>
    <t>Flg. &amp; cover</t>
  </si>
  <si>
    <t>091</t>
  </si>
  <si>
    <t>092</t>
  </si>
  <si>
    <t>093</t>
  </si>
  <si>
    <t>094</t>
  </si>
  <si>
    <t>shell &amp; bottom</t>
  </si>
  <si>
    <t>top head</t>
  </si>
  <si>
    <t>heads</t>
  </si>
  <si>
    <t>shells</t>
  </si>
  <si>
    <t>jkt.head &amp; shell</t>
  </si>
  <si>
    <t>095</t>
  </si>
  <si>
    <t>096</t>
  </si>
  <si>
    <t>097</t>
  </si>
  <si>
    <t>098</t>
  </si>
  <si>
    <t>099</t>
  </si>
  <si>
    <t>100</t>
  </si>
  <si>
    <t xml:space="preserve">2205 plate </t>
  </si>
  <si>
    <t>Shell HP Jkt.</t>
  </si>
  <si>
    <t>Shell Dimple Jkt</t>
  </si>
  <si>
    <t>101</t>
  </si>
  <si>
    <t>102</t>
  </si>
  <si>
    <t>103</t>
  </si>
  <si>
    <t>104</t>
  </si>
  <si>
    <t>105</t>
  </si>
  <si>
    <t>106</t>
  </si>
  <si>
    <t>107</t>
  </si>
  <si>
    <t>shell pipe</t>
  </si>
  <si>
    <t>heads,dimple,HP</t>
  </si>
  <si>
    <t>heads &amp; dimple</t>
  </si>
  <si>
    <t>ball valve</t>
  </si>
  <si>
    <t>2205 flanges</t>
  </si>
  <si>
    <t>valve &amp;Dimple jkt</t>
  </si>
  <si>
    <t>shell, cone</t>
  </si>
  <si>
    <t>108</t>
  </si>
  <si>
    <t>109</t>
  </si>
  <si>
    <t>110</t>
  </si>
  <si>
    <t>req.seamless hd</t>
  </si>
  <si>
    <t>052</t>
  </si>
  <si>
    <t>053</t>
  </si>
  <si>
    <t>sch 80 from 40</t>
  </si>
  <si>
    <t>btm.Head req.smls</t>
  </si>
  <si>
    <t>saved welding</t>
  </si>
  <si>
    <t>shell,top&amp;btm.cone</t>
  </si>
  <si>
    <t>skirt shell &amp; ring</t>
  </si>
  <si>
    <t>111</t>
  </si>
  <si>
    <t>112</t>
  </si>
  <si>
    <t>113</t>
  </si>
  <si>
    <t>top &amp; btm head</t>
  </si>
  <si>
    <t>20" mw</t>
  </si>
  <si>
    <t xml:space="preserve">24" cover </t>
  </si>
  <si>
    <t>only labor</t>
  </si>
  <si>
    <t>shell(used 3/8not5/16)</t>
  </si>
  <si>
    <t>shell(used3/8not5/16)</t>
  </si>
  <si>
    <t>shell, top, btm</t>
  </si>
  <si>
    <t>139</t>
  </si>
  <si>
    <t>dished heads</t>
  </si>
  <si>
    <t>HP jkt.</t>
  </si>
  <si>
    <t>Pur5/16 est1/4</t>
  </si>
  <si>
    <t>F&amp;D top head</t>
  </si>
  <si>
    <t>shell &amp; btm</t>
  </si>
  <si>
    <t>shell&amp;btm dim.</t>
  </si>
  <si>
    <t>caps</t>
  </si>
  <si>
    <t xml:space="preserve">12"sch40 </t>
  </si>
  <si>
    <t>SG,valve &amp; MW</t>
  </si>
  <si>
    <t>EST</t>
  </si>
  <si>
    <t xml:space="preserve">PUR </t>
  </si>
  <si>
    <t>shell,end,mw</t>
  </si>
  <si>
    <t>shell,hopper</t>
  </si>
  <si>
    <t>shell,MW,cldd</t>
  </si>
  <si>
    <t>HP jkt</t>
  </si>
  <si>
    <t>MW Neck</t>
  </si>
  <si>
    <t>shell (SS310)</t>
  </si>
  <si>
    <t>heads, Kerry missed(1)</t>
  </si>
  <si>
    <t>head</t>
  </si>
  <si>
    <t>upper skirt</t>
  </si>
  <si>
    <t>shell1/4&amp;3/16</t>
  </si>
  <si>
    <t>pipe for legs</t>
  </si>
  <si>
    <t>dish1/4,flat1/4</t>
  </si>
  <si>
    <t>shell dimple</t>
  </si>
  <si>
    <t>conical 1/4</t>
  </si>
  <si>
    <t>flat</t>
  </si>
  <si>
    <t>only btm hd.</t>
  </si>
  <si>
    <t>shell(saved L/S)</t>
  </si>
  <si>
    <t>13'-#4 welding saved</t>
  </si>
  <si>
    <t>#4 baffle</t>
  </si>
  <si>
    <t>top1/4,btm3/8</t>
  </si>
  <si>
    <t>049</t>
  </si>
  <si>
    <t>050</t>
  </si>
  <si>
    <t>051</t>
  </si>
  <si>
    <t>shell,top&amp;btm</t>
  </si>
  <si>
    <t>skirt &amp; ring</t>
  </si>
  <si>
    <t>angle</t>
  </si>
  <si>
    <t xml:space="preserve">other AL20 </t>
  </si>
  <si>
    <t>Pipe,stubends</t>
  </si>
  <si>
    <t>RFLWN flg.</t>
  </si>
  <si>
    <t>Explosion Vent</t>
  </si>
  <si>
    <t>shell,top,btm</t>
  </si>
  <si>
    <t>dimple jkt</t>
  </si>
  <si>
    <t>top cover</t>
  </si>
  <si>
    <t>plate</t>
  </si>
  <si>
    <t>2205#3polish</t>
  </si>
  <si>
    <t>angles</t>
  </si>
  <si>
    <t>jkt &amp; flanges</t>
  </si>
  <si>
    <t>SE,Flg,Blind</t>
  </si>
  <si>
    <t>saved 1 C/s</t>
  </si>
  <si>
    <t>plt,flg,SE,pipe</t>
  </si>
  <si>
    <t>swing bolt ass.</t>
  </si>
  <si>
    <t>shell cone</t>
  </si>
  <si>
    <t>36" MW</t>
  </si>
  <si>
    <t>shell,btm</t>
  </si>
  <si>
    <t>f&amp;d (5/16 v/s 1/4)</t>
  </si>
  <si>
    <t>top,bt.,shell,rim</t>
  </si>
  <si>
    <t>TOTAL SAVING</t>
  </si>
  <si>
    <t>EST  OTHER</t>
  </si>
  <si>
    <t>PUR   OTHER</t>
  </si>
  <si>
    <t>mw</t>
  </si>
  <si>
    <t>ring &amp; mw</t>
  </si>
  <si>
    <t>SHELL</t>
  </si>
  <si>
    <t>shell,btm&amp;top</t>
  </si>
  <si>
    <t>shell &amp; transit.</t>
  </si>
  <si>
    <t>pipe, flg</t>
  </si>
  <si>
    <t>top,btm,shell</t>
  </si>
  <si>
    <t>stifn. Ang.</t>
  </si>
  <si>
    <t>rim</t>
  </si>
  <si>
    <t>sight glass</t>
  </si>
  <si>
    <t>SHELL,TUBE</t>
  </si>
  <si>
    <t>Flg(347) &amp; cap</t>
  </si>
  <si>
    <t>chaneel</t>
  </si>
  <si>
    <t>HEAD</t>
  </si>
  <si>
    <t>1/4,1/2,1"-2205</t>
  </si>
  <si>
    <t>72 &amp; 60 opp to 48 saved c/s</t>
  </si>
  <si>
    <t>plates</t>
  </si>
  <si>
    <t>30"mw</t>
  </si>
  <si>
    <t>betts MW</t>
  </si>
  <si>
    <t>1/4 &amp; 1/2 plate</t>
  </si>
  <si>
    <t>quoted 3/16 shell used 1/4</t>
  </si>
  <si>
    <t>30" MW</t>
  </si>
  <si>
    <t>24" MW</t>
  </si>
  <si>
    <t>Saving</t>
  </si>
  <si>
    <t>DIMPLE</t>
  </si>
  <si>
    <t>plate 2205</t>
  </si>
  <si>
    <t>MW-MC8</t>
  </si>
  <si>
    <t>mw &amp; rings</t>
  </si>
  <si>
    <t>hp jkt,mw</t>
  </si>
  <si>
    <t>C-276</t>
  </si>
  <si>
    <t xml:space="preserve">SS plate310 </t>
  </si>
  <si>
    <t>SA36 plate</t>
  </si>
  <si>
    <t>quoted SA36 purch. 516-70</t>
  </si>
  <si>
    <t>baffle</t>
  </si>
  <si>
    <t>114</t>
  </si>
  <si>
    <t>115</t>
  </si>
  <si>
    <t>116</t>
  </si>
  <si>
    <t>117</t>
  </si>
  <si>
    <t>118</t>
  </si>
  <si>
    <t>119</t>
  </si>
  <si>
    <t>flg &amp; cover</t>
  </si>
  <si>
    <t>shell &amp; baffle</t>
  </si>
  <si>
    <t>904L coil</t>
  </si>
  <si>
    <t>HEAD EARLY DELIVERY</t>
  </si>
  <si>
    <t>sight glass/pad</t>
  </si>
  <si>
    <t>stud pad</t>
  </si>
  <si>
    <t xml:space="preserve">head </t>
  </si>
  <si>
    <t>SAVED 1 C/S (BY MDO)</t>
  </si>
  <si>
    <t>flat bar</t>
  </si>
  <si>
    <t>dimple jkt.</t>
  </si>
  <si>
    <t>plt&amp; baffleC276</t>
  </si>
  <si>
    <t>hp jkt</t>
  </si>
  <si>
    <t>dimple,MW,SG</t>
  </si>
  <si>
    <t>heat exchanger</t>
  </si>
  <si>
    <t>shell,neck</t>
  </si>
  <si>
    <t>pipe, cap</t>
  </si>
  <si>
    <t>pipe,flg, reduc.</t>
  </si>
  <si>
    <t>24",48"flg/blind</t>
  </si>
  <si>
    <t>jkt shell &amp; cone</t>
  </si>
  <si>
    <t>Thermowell</t>
  </si>
  <si>
    <t>MW flg &amp; cover</t>
  </si>
  <si>
    <t xml:space="preserve">SAVED 1 C/S </t>
  </si>
  <si>
    <t>2205 plates</t>
  </si>
  <si>
    <t>120</t>
  </si>
  <si>
    <t>121</t>
  </si>
  <si>
    <t>122</t>
  </si>
  <si>
    <t>123</t>
  </si>
  <si>
    <t>Betts-MW</t>
  </si>
  <si>
    <t>36"flg</t>
  </si>
  <si>
    <t>shell plate</t>
  </si>
  <si>
    <t>pipe</t>
  </si>
  <si>
    <t>Pipe</t>
  </si>
  <si>
    <t>chase MW</t>
  </si>
  <si>
    <t>40'lg pipe saved 3 c/s</t>
  </si>
  <si>
    <t>shell,cone&amp;pipe</t>
  </si>
  <si>
    <t>half pipe</t>
  </si>
  <si>
    <t>shell &amp; cone</t>
  </si>
  <si>
    <t xml:space="preserve">shell </t>
  </si>
  <si>
    <t>24" pipe</t>
  </si>
  <si>
    <t>shell,wear &amp; skirt</t>
  </si>
  <si>
    <t>heads&amp;20"flg</t>
  </si>
  <si>
    <t>heads&amp;16"flg</t>
  </si>
  <si>
    <t>heads&amp;36"flg</t>
  </si>
  <si>
    <t>heads&amp;60"flg</t>
  </si>
  <si>
    <t>heads&amp;36"flg/bld</t>
  </si>
  <si>
    <t>body flanges</t>
  </si>
  <si>
    <t>shells &amp; cladding</t>
  </si>
  <si>
    <t>3.5"SF head saved 1 C/S</t>
  </si>
  <si>
    <t>3"SF head saved 1 C/S</t>
  </si>
  <si>
    <t>elliptical mw</t>
  </si>
  <si>
    <t>saved  1 L/S  in roof cone &amp; bottom</t>
  </si>
  <si>
    <t>saved 1 C/S in shell &amp; 1 L/S in roof</t>
  </si>
  <si>
    <t>plate/internal shell</t>
  </si>
  <si>
    <t xml:space="preserve">saved 1 L/S in each shell </t>
  </si>
  <si>
    <t>baffle plate</t>
  </si>
  <si>
    <t>30" flg &amp; blind</t>
  </si>
  <si>
    <t>dimple jkt &amp; MW</t>
  </si>
  <si>
    <t>saved 1 C/S in shell</t>
  </si>
  <si>
    <t>flange &amp; cover</t>
  </si>
  <si>
    <t>2205 plate</t>
  </si>
  <si>
    <t>jacket head</t>
  </si>
  <si>
    <t>SS beam &amp; channel</t>
  </si>
  <si>
    <t>SS beam</t>
  </si>
  <si>
    <t>124</t>
  </si>
  <si>
    <t>125</t>
  </si>
  <si>
    <t>30" cross arm mw</t>
  </si>
  <si>
    <t>126</t>
  </si>
  <si>
    <t>127</t>
  </si>
  <si>
    <t>128</t>
  </si>
  <si>
    <t>129</t>
  </si>
  <si>
    <t>14" holloway MW</t>
  </si>
  <si>
    <t>24" sch10S pipe</t>
  </si>
  <si>
    <t>130</t>
  </si>
  <si>
    <t>131</t>
  </si>
  <si>
    <t>c/s purchased after 2 months</t>
  </si>
  <si>
    <t>flanges</t>
  </si>
  <si>
    <t>half pipe &amp; mw</t>
  </si>
  <si>
    <t>Paid more for stock plates</t>
  </si>
  <si>
    <t>48"flanges</t>
  </si>
  <si>
    <t xml:space="preserve">half pipe </t>
  </si>
  <si>
    <t>rim angle</t>
  </si>
  <si>
    <t>MW</t>
  </si>
  <si>
    <t>10 gauge sheet</t>
  </si>
  <si>
    <t>forge rings</t>
  </si>
  <si>
    <t>dimple jkt &amp;16" mw</t>
  </si>
  <si>
    <t>shell &amp; btm plate</t>
  </si>
  <si>
    <t>Top head</t>
  </si>
  <si>
    <t>Plate</t>
  </si>
  <si>
    <t xml:space="preserve">Plate </t>
  </si>
  <si>
    <t>std f&amp;d head</t>
  </si>
  <si>
    <t>Caps</t>
  </si>
  <si>
    <t>jkt. Pipe</t>
  </si>
  <si>
    <t>Est. mistake in plate size</t>
  </si>
  <si>
    <t>Est. mistake in sch &amp; legth</t>
  </si>
  <si>
    <t>132</t>
  </si>
  <si>
    <t>133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</si>
  <si>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</si>
  <si>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</si>
  <si>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</si>
  <si>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</si>
  <si>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</si>
  <si>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</si>
  <si>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</si>
  <si>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</si>
  <si>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</si>
  <si>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</si>
  <si>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</si>
  <si>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</si>
  <si>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</si>
  <si>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</si>
  <si>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</si>
  <si>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</si>
  <si>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</si>
  <si>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</si>
  <si>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</si>
  <si>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</si>
  <si>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</si>
  <si>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</si>
  <si>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</si>
  <si>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</si>
  <si>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Saving/Lose</t>
  </si>
  <si>
    <t>(2)42"-175# flange</t>
  </si>
  <si>
    <t>(2)sight glass</t>
  </si>
  <si>
    <t>vert.&amp;hori. coil pipe</t>
  </si>
  <si>
    <t>flang &amp; cover</t>
  </si>
  <si>
    <t>HP jkt &amp; betts mw</t>
  </si>
  <si>
    <t>betts mw</t>
  </si>
  <si>
    <t>1/4"shell to avoid jkt. procedure</t>
  </si>
  <si>
    <t>change order</t>
  </si>
  <si>
    <t>done</t>
  </si>
  <si>
    <t>half pipe jkt</t>
  </si>
  <si>
    <t>estimated shipping $5000</t>
  </si>
  <si>
    <t>head estimated1/4"req.3/8"nom</t>
  </si>
  <si>
    <t>estimated shipping $2500</t>
  </si>
  <si>
    <t>MW neck</t>
  </si>
  <si>
    <t>halfpipe jacket</t>
  </si>
  <si>
    <t>estimated 96" ht shell</t>
  </si>
  <si>
    <t>obround sight glass</t>
  </si>
  <si>
    <t>req. 1/2"estimated 3/8"nom head</t>
  </si>
  <si>
    <t xml:space="preserve"> CS plate</t>
  </si>
  <si>
    <t>estimated 1/4"cone req 3/8"</t>
  </si>
  <si>
    <t>estimated 3/16shell &amp; btm used1/4</t>
  </si>
  <si>
    <t>hp jkt &amp; 30"flg</t>
  </si>
  <si>
    <t>2205matl</t>
  </si>
  <si>
    <t>(2)1/2" x 60" x 55" drop</t>
  </si>
  <si>
    <t>cap</t>
  </si>
  <si>
    <t>shell&amp;baffle</t>
  </si>
  <si>
    <t>shell eatimated 36"instead79"</t>
  </si>
  <si>
    <t>Alloy 400</t>
  </si>
  <si>
    <t>Estimation did mistake</t>
  </si>
  <si>
    <t>used 1/4" nom head</t>
  </si>
  <si>
    <t>Change Order</t>
  </si>
  <si>
    <t>quoted 60" instead of 72"</t>
  </si>
  <si>
    <t>quoted60" purchase72"top &amp; btm to save labor</t>
  </si>
  <si>
    <t>Est. shell 5/16" used 3/8"</t>
  </si>
  <si>
    <t>top,shell</t>
  </si>
  <si>
    <t>top 1/4 in place of 5/16 &amp; shell (3)60x325 plate not considered</t>
  </si>
  <si>
    <t>specialty</t>
  </si>
  <si>
    <t>Total</t>
  </si>
  <si>
    <t>HR120 plt</t>
  </si>
  <si>
    <t>btm shell used 3/8 est 5/16</t>
  </si>
  <si>
    <t>top head 3/8 estima. 5/16</t>
  </si>
  <si>
    <t>dish estimated wrong</t>
  </si>
  <si>
    <t>36"flg/cvr</t>
  </si>
  <si>
    <t>(2)36"flg</t>
  </si>
  <si>
    <t>Chase mw</t>
  </si>
  <si>
    <t>124-347</t>
  </si>
  <si>
    <t>348-355</t>
  </si>
  <si>
    <t>356</t>
  </si>
  <si>
    <t>357</t>
  </si>
  <si>
    <t>358</t>
  </si>
  <si>
    <t>est. wrong width for shell</t>
  </si>
  <si>
    <t>est. less plts for cones</t>
  </si>
  <si>
    <t>Save c/s by 72"width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</si>
</sst>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 wrapText="1"/>
    </xf>
    <xf numFmtId="49" fontId="0" fillId="0" borderId="1" xfId="0" applyNumberFormat="1" applyBorder="1"/>
    <xf numFmtId="49" fontId="1" fillId="0" borderId="1" xfId="0" applyNumberFormat="1" applyFont="1" applyBorder="1" applyAlignment="1">
      <alignment horizontal="center" vertical="center" wrapText="1" readingOrder="1"/>
    </xf>
    <xf numFmtId="2" fontId="1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49" fontId="1" fillId="0" borderId="1" xfId="0" applyNumberFormat="1" applyFont="1" applyBorder="1"/>
    <xf numFmtId="1" fontId="0" fillId="0" borderId="1" xfId="0" applyNumberForma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49" fontId="6" fillId="0" borderId="1" xfId="0" applyNumberFormat="1" applyFont="1" applyBorder="1"/>
    <xf numFmtId="2" fontId="2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4" fontId="1" fillId="0" borderId="1" xfId="0" applyNumberFormat="1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" fontId="0" fillId="0" borderId="4" xfId="0" applyNumberForma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1" xfId="0" applyNumberFormat="1" applyFont="1" applyBorder="1"/>
    <xf numFmtId="0" fontId="1" fillId="0" borderId="5" xfId="0" applyFont="1" applyBorder="1"/>
    <xf numFmtId="1" fontId="0" fillId="0" borderId="2" xfId="0" applyNumberFormat="1" applyBorder="1" applyAlignment="1">
      <alignment horizontal="right" vertical="center" wrapText="1"/>
    </xf>
    <xf numFmtId="3" fontId="1" fillId="2" borderId="1" xfId="0" applyNumberFormat="1" applyFont="1" applyFill="1" applyBorder="1"/>
    <xf numFmtId="4" fontId="1" fillId="2" borderId="1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0" fillId="0" borderId="0" xfId="0" applyNumberFormat="1"/>
    <xf numFmtId="1" fontId="0" fillId="0" borderId="1" xfId="0" applyNumberFormat="1" applyBorder="1" applyAlignment="1">
      <alignment horizontal="left" vertical="center" wrapText="1"/>
    </xf>
    <xf numFmtId="1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2" fontId="3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/>
    <xf numFmtId="1" fontId="0" fillId="0" borderId="6" xfId="0" applyNumberFormat="1" applyBorder="1" applyAlignment="1">
      <alignment horizontal="right" vertical="center" wrapText="1"/>
    </xf>
    <xf numFmtId="1" fontId="0" fillId="0" borderId="0" xfId="0" applyNumberFormat="1" applyAlignment="1">
      <alignment horizontal="left"/>
    </xf>
    <xf numFmtId="2" fontId="1" fillId="2" borderId="1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1" fontId="0" fillId="2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 wrapText="1" readingOrder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zoomScaleNormal="100" workbookViewId="0">
      <pane ySplit="1" topLeftCell="A92" activePane="bottomLeft" state="frozen"/>
      <selection pane="bottomLeft" activeCell="B1" sqref="B1"/>
    </sheetView>
  </sheetViews>
  <sheetFormatPr defaultRowHeight="15" x14ac:dyDescent="0.25"/>
  <cols>
    <col min="1" max="1" width="6.28515625" bestFit="1" customWidth="1"/>
    <col min="2" max="2" width="6.7109375" style="1" customWidth="1"/>
    <col min="3" max="3" width="19.42578125" style="1" bestFit="1" customWidth="1"/>
    <col min="4" max="5" width="6" bestFit="1" customWidth="1"/>
    <col min="6" max="6" width="18" style="1" bestFit="1" customWidth="1"/>
    <col min="7" max="8" width="6" bestFit="1" customWidth="1"/>
    <col min="9" max="9" width="15.42578125" style="1" bestFit="1" customWidth="1"/>
    <col min="10" max="10" width="6" bestFit="1" customWidth="1"/>
    <col min="11" max="11" width="11.7109375" style="6" bestFit="1" customWidth="1"/>
    <col min="12" max="12" width="10.140625" style="6" bestFit="1" customWidth="1"/>
    <col min="13" max="13" width="6.42578125" style="6" bestFit="1" customWidth="1"/>
    <col min="14" max="14" width="15.5703125" style="1" bestFit="1" customWidth="1"/>
  </cols>
  <sheetData>
    <row r="1" spans="1:14" ht="30.75" customHeight="1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6</v>
      </c>
      <c r="I1" s="7" t="s">
        <v>9</v>
      </c>
      <c r="J1" s="3" t="s">
        <v>7</v>
      </c>
      <c r="K1" s="5" t="s">
        <v>10</v>
      </c>
      <c r="L1" s="5" t="s">
        <v>11</v>
      </c>
      <c r="M1" s="12" t="s">
        <v>61</v>
      </c>
      <c r="N1" s="7" t="s">
        <v>1</v>
      </c>
    </row>
    <row r="2" spans="1:14" ht="16.5" customHeight="1" x14ac:dyDescent="0.25">
      <c r="A2" s="30">
        <v>121</v>
      </c>
      <c r="B2" s="8">
        <v>15646</v>
      </c>
      <c r="C2" s="4" t="s">
        <v>17</v>
      </c>
      <c r="D2" s="24">
        <v>12252</v>
      </c>
      <c r="E2" s="24"/>
      <c r="F2" s="4"/>
      <c r="G2" s="24"/>
      <c r="H2" s="24"/>
      <c r="I2" s="4"/>
      <c r="J2" s="28"/>
      <c r="K2" s="20">
        <f>B2+E2+H2</f>
        <v>15646</v>
      </c>
      <c r="L2" s="20">
        <f>D2+G2+J2</f>
        <v>12252</v>
      </c>
      <c r="M2" s="13">
        <f>100-L2*100/K2</f>
        <v>21.692445353444967</v>
      </c>
      <c r="N2" s="4"/>
    </row>
    <row r="3" spans="1:14" ht="15" customHeight="1" x14ac:dyDescent="0.25">
      <c r="A3" s="30">
        <v>125</v>
      </c>
      <c r="B3" s="8">
        <v>336</v>
      </c>
      <c r="C3" s="4"/>
      <c r="D3" s="25">
        <v>560</v>
      </c>
      <c r="E3" s="24">
        <v>137</v>
      </c>
      <c r="F3" s="4" t="s">
        <v>18</v>
      </c>
      <c r="G3" s="24">
        <v>137</v>
      </c>
      <c r="H3" s="24"/>
      <c r="I3" s="4"/>
      <c r="J3" s="28"/>
      <c r="K3" s="20">
        <f t="shared" ref="K3:K8" si="0">B3+E3+H3</f>
        <v>473</v>
      </c>
      <c r="L3" s="20">
        <f t="shared" ref="L3:L8" si="1">D3+G3+J3</f>
        <v>697</v>
      </c>
      <c r="M3" s="19">
        <f>100-L3*100/K3</f>
        <v>-47.357293868921772</v>
      </c>
      <c r="N3" s="4"/>
    </row>
    <row r="4" spans="1:14" x14ac:dyDescent="0.25">
      <c r="A4" s="30">
        <v>126</v>
      </c>
      <c r="B4" s="8">
        <v>14777</v>
      </c>
      <c r="C4" s="4" t="s">
        <v>8</v>
      </c>
      <c r="D4" s="26">
        <v>12960</v>
      </c>
      <c r="E4" s="24">
        <v>51817</v>
      </c>
      <c r="F4" s="4"/>
      <c r="G4" s="24">
        <v>46535</v>
      </c>
      <c r="H4" s="26">
        <v>14378</v>
      </c>
      <c r="I4" s="4" t="s">
        <v>95</v>
      </c>
      <c r="J4" s="29">
        <v>14378</v>
      </c>
      <c r="K4" s="20">
        <f>B4+E4+H4+6800</f>
        <v>87772</v>
      </c>
      <c r="L4" s="20">
        <f>D4+G4+J4</f>
        <v>73873</v>
      </c>
      <c r="M4" s="14">
        <f>100-L4*100/K4</f>
        <v>15.835346124048669</v>
      </c>
      <c r="N4" s="4" t="s">
        <v>178</v>
      </c>
    </row>
    <row r="5" spans="1:14" ht="15" customHeight="1" x14ac:dyDescent="0.25">
      <c r="A5" s="30">
        <v>127</v>
      </c>
      <c r="B5" s="10"/>
      <c r="C5" s="4"/>
      <c r="D5" s="24">
        <v>13572</v>
      </c>
      <c r="E5" s="24"/>
      <c r="F5" s="7"/>
      <c r="G5" s="24"/>
      <c r="H5" s="24"/>
      <c r="I5" s="7"/>
      <c r="J5" s="24"/>
      <c r="K5" s="20">
        <f>B5+E5+H5</f>
        <v>0</v>
      </c>
      <c r="L5" s="20">
        <v>0</v>
      </c>
      <c r="M5" s="14"/>
      <c r="N5" s="4" t="s">
        <v>14</v>
      </c>
    </row>
    <row r="6" spans="1:14" ht="14.25" customHeight="1" x14ac:dyDescent="0.25">
      <c r="A6" s="30">
        <v>128</v>
      </c>
      <c r="B6" s="8">
        <v>571</v>
      </c>
      <c r="C6" s="4" t="s">
        <v>12</v>
      </c>
      <c r="D6" s="24">
        <v>391</v>
      </c>
      <c r="E6" s="24"/>
      <c r="F6" s="7"/>
      <c r="G6" s="24"/>
      <c r="H6" s="24"/>
      <c r="I6" s="7"/>
      <c r="J6" s="24"/>
      <c r="K6" s="20">
        <f t="shared" si="0"/>
        <v>571</v>
      </c>
      <c r="L6" s="20">
        <f t="shared" si="1"/>
        <v>391</v>
      </c>
      <c r="M6" s="13">
        <f>100-L6*100/K6</f>
        <v>31.523642732049041</v>
      </c>
      <c r="N6" s="4"/>
    </row>
    <row r="7" spans="1:14" ht="15" customHeight="1" x14ac:dyDescent="0.25">
      <c r="A7" s="30">
        <v>129</v>
      </c>
      <c r="B7" s="8">
        <v>5951</v>
      </c>
      <c r="C7" s="4" t="s">
        <v>15</v>
      </c>
      <c r="D7" s="24">
        <v>4931</v>
      </c>
      <c r="E7" s="24">
        <v>6520</v>
      </c>
      <c r="F7" s="4"/>
      <c r="G7" s="24">
        <v>5923</v>
      </c>
      <c r="H7" s="24"/>
      <c r="I7" s="4"/>
      <c r="J7" s="24"/>
      <c r="K7" s="20">
        <f t="shared" si="0"/>
        <v>12471</v>
      </c>
      <c r="L7" s="20">
        <f t="shared" si="1"/>
        <v>10854</v>
      </c>
      <c r="M7" s="13">
        <f>100-L7*100/K7</f>
        <v>12.966081308636035</v>
      </c>
      <c r="N7" s="4"/>
    </row>
    <row r="8" spans="1:14" ht="15" customHeight="1" x14ac:dyDescent="0.25">
      <c r="A8" s="30">
        <v>130</v>
      </c>
      <c r="B8" s="8">
        <v>1062</v>
      </c>
      <c r="C8" s="4" t="s">
        <v>16</v>
      </c>
      <c r="D8" s="24">
        <v>664</v>
      </c>
      <c r="E8" s="24">
        <v>1622</v>
      </c>
      <c r="F8" s="4"/>
      <c r="G8" s="24">
        <v>970</v>
      </c>
      <c r="H8" s="24">
        <v>2500</v>
      </c>
      <c r="I8" s="4" t="s">
        <v>13</v>
      </c>
      <c r="J8" s="24">
        <v>970</v>
      </c>
      <c r="K8" s="20">
        <f t="shared" si="0"/>
        <v>5184</v>
      </c>
      <c r="L8" s="20">
        <f t="shared" si="1"/>
        <v>2604</v>
      </c>
      <c r="M8" s="13">
        <f>100-L8*100/K8</f>
        <v>49.768518518518519</v>
      </c>
      <c r="N8" s="4"/>
    </row>
    <row r="9" spans="1:14" x14ac:dyDescent="0.25">
      <c r="A9" s="31"/>
      <c r="B9" s="8"/>
      <c r="C9" s="4"/>
      <c r="D9" s="24"/>
      <c r="E9" s="24"/>
      <c r="F9" s="4"/>
      <c r="G9" s="24"/>
      <c r="H9" s="24"/>
      <c r="I9" s="4"/>
      <c r="J9" s="24"/>
      <c r="K9" s="21"/>
      <c r="L9" s="21"/>
      <c r="M9" s="13"/>
      <c r="N9" s="4"/>
    </row>
    <row r="10" spans="1:14" x14ac:dyDescent="0.25">
      <c r="A10" s="23" t="s">
        <v>19</v>
      </c>
      <c r="B10" s="8">
        <v>508</v>
      </c>
      <c r="C10" s="4"/>
      <c r="D10" s="24">
        <v>377</v>
      </c>
      <c r="E10" s="24">
        <v>556</v>
      </c>
      <c r="F10" s="4"/>
      <c r="G10" s="24">
        <v>370</v>
      </c>
      <c r="H10" s="24"/>
      <c r="I10" s="4"/>
      <c r="J10" s="24"/>
      <c r="K10" s="20">
        <f t="shared" ref="K10:K22" si="2">B10+E10+H10</f>
        <v>1064</v>
      </c>
      <c r="L10" s="20">
        <f t="shared" ref="L10:L22" si="3">D10+G10+J10</f>
        <v>747</v>
      </c>
      <c r="M10" s="13">
        <f>100-L10*100/K10</f>
        <v>29.793233082706763</v>
      </c>
      <c r="N10" s="4"/>
    </row>
    <row r="11" spans="1:14" x14ac:dyDescent="0.25">
      <c r="A11" s="23" t="s">
        <v>20</v>
      </c>
      <c r="B11" s="8">
        <v>508</v>
      </c>
      <c r="C11" s="4"/>
      <c r="D11" s="24">
        <v>377</v>
      </c>
      <c r="E11" s="24">
        <v>556</v>
      </c>
      <c r="F11" s="4"/>
      <c r="G11" s="24">
        <v>370</v>
      </c>
      <c r="H11" s="24"/>
      <c r="I11" s="4"/>
      <c r="J11" s="24"/>
      <c r="K11" s="20">
        <f t="shared" si="2"/>
        <v>1064</v>
      </c>
      <c r="L11" s="20">
        <f t="shared" si="3"/>
        <v>747</v>
      </c>
      <c r="M11" s="13">
        <f>100-L11*100/K11</f>
        <v>29.793233082706763</v>
      </c>
      <c r="N11" s="4"/>
    </row>
    <row r="12" spans="1:14" x14ac:dyDescent="0.25">
      <c r="A12" s="23" t="s">
        <v>21</v>
      </c>
      <c r="B12" s="8">
        <v>508</v>
      </c>
      <c r="C12" s="4"/>
      <c r="D12" s="24">
        <v>377</v>
      </c>
      <c r="E12" s="24">
        <v>556</v>
      </c>
      <c r="F12" s="4"/>
      <c r="G12" s="24">
        <v>370</v>
      </c>
      <c r="H12" s="24"/>
      <c r="I12" s="4"/>
      <c r="J12" s="24"/>
      <c r="K12" s="20">
        <f t="shared" si="2"/>
        <v>1064</v>
      </c>
      <c r="L12" s="20">
        <f t="shared" si="3"/>
        <v>747</v>
      </c>
      <c r="M12" s="13">
        <f>100-L12*100/K12</f>
        <v>29.793233082706763</v>
      </c>
      <c r="N12" s="4"/>
    </row>
    <row r="13" spans="1:14" x14ac:dyDescent="0.25">
      <c r="A13" s="23" t="s">
        <v>22</v>
      </c>
      <c r="B13" s="10"/>
      <c r="C13" s="4" t="s">
        <v>101</v>
      </c>
      <c r="D13" s="24">
        <v>6420</v>
      </c>
      <c r="E13" s="24"/>
      <c r="F13" s="4"/>
      <c r="G13" s="24"/>
      <c r="H13" s="24"/>
      <c r="I13" s="4"/>
      <c r="J13" s="24"/>
      <c r="K13" s="20">
        <f t="shared" si="2"/>
        <v>0</v>
      </c>
      <c r="L13" s="20">
        <v>0</v>
      </c>
      <c r="M13" s="13"/>
      <c r="N13" s="4" t="s">
        <v>14</v>
      </c>
    </row>
    <row r="14" spans="1:14" x14ac:dyDescent="0.25">
      <c r="A14" s="23" t="s">
        <v>23</v>
      </c>
      <c r="B14" s="10"/>
      <c r="C14" s="4" t="s">
        <v>101</v>
      </c>
      <c r="D14" s="24">
        <v>6420</v>
      </c>
      <c r="E14" s="24"/>
      <c r="F14" s="4"/>
      <c r="G14" s="24"/>
      <c r="H14" s="24"/>
      <c r="I14" s="4"/>
      <c r="J14" s="24"/>
      <c r="K14" s="20">
        <f t="shared" si="2"/>
        <v>0</v>
      </c>
      <c r="L14" s="20">
        <v>0</v>
      </c>
      <c r="M14" s="13"/>
      <c r="N14" s="4" t="s">
        <v>14</v>
      </c>
    </row>
    <row r="15" spans="1:14" x14ac:dyDescent="0.25">
      <c r="A15" s="23" t="s">
        <v>24</v>
      </c>
      <c r="B15" s="10"/>
      <c r="C15" s="4" t="s">
        <v>101</v>
      </c>
      <c r="D15" s="24">
        <v>6420</v>
      </c>
      <c r="E15" s="24"/>
      <c r="F15" s="4"/>
      <c r="G15" s="24"/>
      <c r="H15" s="24"/>
      <c r="I15" s="4"/>
      <c r="J15" s="24"/>
      <c r="K15" s="20">
        <f t="shared" si="2"/>
        <v>0</v>
      </c>
      <c r="L15" s="20">
        <v>0</v>
      </c>
      <c r="M15" s="13"/>
      <c r="N15" s="4" t="s">
        <v>14</v>
      </c>
    </row>
    <row r="16" spans="1:14" x14ac:dyDescent="0.25">
      <c r="A16" s="23" t="s">
        <v>25</v>
      </c>
      <c r="B16" s="10"/>
      <c r="C16" s="4" t="s">
        <v>101</v>
      </c>
      <c r="D16" s="24">
        <v>9470</v>
      </c>
      <c r="E16" s="24"/>
      <c r="F16" s="4"/>
      <c r="G16" s="24"/>
      <c r="H16" s="24"/>
      <c r="I16" s="4"/>
      <c r="J16" s="24"/>
      <c r="K16" s="20">
        <f t="shared" si="2"/>
        <v>0</v>
      </c>
      <c r="L16" s="20">
        <v>0</v>
      </c>
      <c r="M16" s="13"/>
      <c r="N16" s="4" t="s">
        <v>14</v>
      </c>
    </row>
    <row r="17" spans="1:14" x14ac:dyDescent="0.25">
      <c r="A17" s="23" t="s">
        <v>26</v>
      </c>
      <c r="B17" s="8">
        <v>147</v>
      </c>
      <c r="C17" s="4"/>
      <c r="D17" s="24">
        <v>110</v>
      </c>
      <c r="E17" s="24"/>
      <c r="F17" s="4"/>
      <c r="G17" s="24"/>
      <c r="H17" s="24"/>
      <c r="I17" s="4"/>
      <c r="J17" s="24"/>
      <c r="K17" s="20">
        <f t="shared" si="2"/>
        <v>147</v>
      </c>
      <c r="L17" s="20">
        <f t="shared" si="3"/>
        <v>110</v>
      </c>
      <c r="M17" s="13"/>
      <c r="N17" s="4"/>
    </row>
    <row r="18" spans="1:14" ht="15" customHeight="1" x14ac:dyDescent="0.25">
      <c r="A18" s="23" t="s">
        <v>27</v>
      </c>
      <c r="B18" s="8">
        <v>4528</v>
      </c>
      <c r="C18" s="4" t="s">
        <v>34</v>
      </c>
      <c r="D18" s="25">
        <v>5526</v>
      </c>
      <c r="E18" s="24">
        <v>5060</v>
      </c>
      <c r="F18" s="4" t="s">
        <v>31</v>
      </c>
      <c r="G18" s="25">
        <v>5283</v>
      </c>
      <c r="H18" s="24"/>
      <c r="I18" s="4"/>
      <c r="J18" s="24"/>
      <c r="K18" s="20">
        <f t="shared" si="2"/>
        <v>9588</v>
      </c>
      <c r="L18" s="20">
        <f t="shared" si="3"/>
        <v>10809</v>
      </c>
      <c r="M18" s="19">
        <f t="shared" ref="M18:M35" si="4">100-L18*100/K18</f>
        <v>-12.734668335419272</v>
      </c>
      <c r="N18" s="4"/>
    </row>
    <row r="19" spans="1:14" x14ac:dyDescent="0.25">
      <c r="A19" s="23" t="s">
        <v>28</v>
      </c>
      <c r="B19" s="8">
        <v>6263</v>
      </c>
      <c r="C19" s="4"/>
      <c r="D19" s="24">
        <v>4178</v>
      </c>
      <c r="E19" s="24"/>
      <c r="F19" s="4"/>
      <c r="G19" s="24"/>
      <c r="H19" s="24"/>
      <c r="I19" s="4"/>
      <c r="J19" s="24"/>
      <c r="K19" s="20">
        <f t="shared" si="2"/>
        <v>6263</v>
      </c>
      <c r="L19" s="20">
        <f t="shared" si="3"/>
        <v>4178</v>
      </c>
      <c r="M19" s="13">
        <f t="shared" si="4"/>
        <v>33.29075522912342</v>
      </c>
      <c r="N19" s="4"/>
    </row>
    <row r="20" spans="1:14" x14ac:dyDescent="0.25">
      <c r="A20" s="23" t="s">
        <v>29</v>
      </c>
      <c r="B20" s="8">
        <v>257</v>
      </c>
      <c r="C20" s="4"/>
      <c r="D20" s="24">
        <v>294</v>
      </c>
      <c r="E20" s="24">
        <v>600</v>
      </c>
      <c r="F20" s="4"/>
      <c r="G20" s="24">
        <v>520</v>
      </c>
      <c r="H20" s="24"/>
      <c r="I20" s="4"/>
      <c r="J20" s="24"/>
      <c r="K20" s="20">
        <f t="shared" si="2"/>
        <v>857</v>
      </c>
      <c r="L20" s="20">
        <f t="shared" si="3"/>
        <v>814</v>
      </c>
      <c r="M20" s="13">
        <f t="shared" si="4"/>
        <v>5.0175029171528536</v>
      </c>
      <c r="N20" s="4"/>
    </row>
    <row r="21" spans="1:14" ht="15" customHeight="1" x14ac:dyDescent="0.25">
      <c r="A21" s="23" t="s">
        <v>30</v>
      </c>
      <c r="B21" s="8">
        <v>2267</v>
      </c>
      <c r="C21" s="4" t="s">
        <v>32</v>
      </c>
      <c r="D21" s="24">
        <v>2096</v>
      </c>
      <c r="E21" s="24"/>
      <c r="F21" s="4"/>
      <c r="G21" s="24"/>
      <c r="H21" s="24"/>
      <c r="I21" s="4"/>
      <c r="J21" s="24"/>
      <c r="K21" s="20">
        <f t="shared" si="2"/>
        <v>2267</v>
      </c>
      <c r="L21" s="20">
        <f t="shared" si="3"/>
        <v>2096</v>
      </c>
      <c r="M21" s="13">
        <f t="shared" si="4"/>
        <v>7.5430083811204298</v>
      </c>
      <c r="N21" s="4"/>
    </row>
    <row r="22" spans="1:14" x14ac:dyDescent="0.25">
      <c r="A22" s="23" t="s">
        <v>35</v>
      </c>
      <c r="B22" s="8">
        <v>412</v>
      </c>
      <c r="C22" s="4"/>
      <c r="D22" s="24">
        <v>412</v>
      </c>
      <c r="E22" s="24">
        <v>396</v>
      </c>
      <c r="F22" s="4" t="s">
        <v>33</v>
      </c>
      <c r="G22" s="25">
        <v>496</v>
      </c>
      <c r="H22" s="24"/>
      <c r="I22" s="4"/>
      <c r="J22" s="24"/>
      <c r="K22" s="21">
        <f t="shared" si="2"/>
        <v>808</v>
      </c>
      <c r="L22" s="20">
        <f t="shared" si="3"/>
        <v>908</v>
      </c>
      <c r="M22" s="19">
        <f t="shared" si="4"/>
        <v>-12.376237623762378</v>
      </c>
      <c r="N22" s="4"/>
    </row>
    <row r="23" spans="1:14" x14ac:dyDescent="0.25">
      <c r="A23" s="23" t="s">
        <v>36</v>
      </c>
      <c r="B23" s="8">
        <v>8434</v>
      </c>
      <c r="C23" s="4" t="s">
        <v>67</v>
      </c>
      <c r="D23" s="24">
        <v>5658</v>
      </c>
      <c r="E23" s="24">
        <v>2280</v>
      </c>
      <c r="F23" s="4" t="s">
        <v>66</v>
      </c>
      <c r="G23" s="27">
        <v>1718</v>
      </c>
      <c r="H23" s="24"/>
      <c r="I23" s="4"/>
      <c r="J23" s="24"/>
      <c r="K23" s="20">
        <f t="shared" ref="K23:K30" si="5">B23+E23+H23</f>
        <v>10714</v>
      </c>
      <c r="L23" s="20">
        <f t="shared" ref="L23:L43" si="6">D23+G23+J23</f>
        <v>7376</v>
      </c>
      <c r="M23" s="13">
        <f t="shared" si="4"/>
        <v>31.155497479932805</v>
      </c>
      <c r="N23" s="4"/>
    </row>
    <row r="24" spans="1:14" x14ac:dyDescent="0.25">
      <c r="A24" s="23" t="s">
        <v>37</v>
      </c>
      <c r="B24" s="8">
        <v>8434</v>
      </c>
      <c r="C24" s="4" t="s">
        <v>67</v>
      </c>
      <c r="D24" s="24">
        <v>5658</v>
      </c>
      <c r="E24" s="24">
        <v>2280</v>
      </c>
      <c r="F24" s="4" t="s">
        <v>66</v>
      </c>
      <c r="G24" s="27">
        <v>1718</v>
      </c>
      <c r="H24" s="24"/>
      <c r="I24" s="4"/>
      <c r="J24" s="24"/>
      <c r="K24" s="20">
        <f t="shared" si="5"/>
        <v>10714</v>
      </c>
      <c r="L24" s="20">
        <f t="shared" si="6"/>
        <v>7376</v>
      </c>
      <c r="M24" s="13">
        <f t="shared" si="4"/>
        <v>31.155497479932805</v>
      </c>
      <c r="N24" s="4"/>
    </row>
    <row r="25" spans="1:14" x14ac:dyDescent="0.25">
      <c r="A25" s="23" t="s">
        <v>38</v>
      </c>
      <c r="B25" s="8">
        <v>8434</v>
      </c>
      <c r="C25" s="4" t="s">
        <v>67</v>
      </c>
      <c r="D25" s="24">
        <v>5658</v>
      </c>
      <c r="E25" s="24">
        <v>2280</v>
      </c>
      <c r="F25" s="4" t="s">
        <v>66</v>
      </c>
      <c r="G25" s="27">
        <v>1718</v>
      </c>
      <c r="H25" s="24"/>
      <c r="I25" s="4"/>
      <c r="J25" s="24"/>
      <c r="K25" s="20">
        <f t="shared" si="5"/>
        <v>10714</v>
      </c>
      <c r="L25" s="20">
        <f t="shared" si="6"/>
        <v>7376</v>
      </c>
      <c r="M25" s="13">
        <f t="shared" si="4"/>
        <v>31.155497479932805</v>
      </c>
      <c r="N25" s="4"/>
    </row>
    <row r="26" spans="1:14" x14ac:dyDescent="0.25">
      <c r="A26" s="23" t="s">
        <v>39</v>
      </c>
      <c r="B26" s="8">
        <v>8434</v>
      </c>
      <c r="C26" s="4" t="s">
        <v>67</v>
      </c>
      <c r="D26" s="24">
        <v>5658</v>
      </c>
      <c r="E26" s="24">
        <v>2280</v>
      </c>
      <c r="F26" s="4" t="s">
        <v>66</v>
      </c>
      <c r="G26" s="27">
        <v>1718</v>
      </c>
      <c r="H26" s="24"/>
      <c r="I26" s="4"/>
      <c r="J26" s="24"/>
      <c r="K26" s="20">
        <f t="shared" si="5"/>
        <v>10714</v>
      </c>
      <c r="L26" s="20">
        <f t="shared" si="6"/>
        <v>7376</v>
      </c>
      <c r="M26" s="13">
        <f t="shared" si="4"/>
        <v>31.155497479932805</v>
      </c>
      <c r="N26" s="4"/>
    </row>
    <row r="27" spans="1:14" x14ac:dyDescent="0.25">
      <c r="A27" s="23" t="s">
        <v>40</v>
      </c>
      <c r="B27" s="8">
        <v>8434</v>
      </c>
      <c r="C27" s="4" t="s">
        <v>67</v>
      </c>
      <c r="D27" s="24">
        <v>5658</v>
      </c>
      <c r="E27" s="24">
        <v>2280</v>
      </c>
      <c r="F27" s="4" t="s">
        <v>66</v>
      </c>
      <c r="G27" s="27">
        <v>1718</v>
      </c>
      <c r="H27" s="24"/>
      <c r="I27" s="4"/>
      <c r="J27" s="24"/>
      <c r="K27" s="21">
        <f t="shared" si="5"/>
        <v>10714</v>
      </c>
      <c r="L27" s="20">
        <f t="shared" si="6"/>
        <v>7376</v>
      </c>
      <c r="M27" s="13">
        <f t="shared" si="4"/>
        <v>31.155497479932805</v>
      </c>
      <c r="N27" s="4"/>
    </row>
    <row r="28" spans="1:14" x14ac:dyDescent="0.25">
      <c r="A28" s="23" t="s">
        <v>60</v>
      </c>
      <c r="B28" s="8">
        <v>8434</v>
      </c>
      <c r="C28" s="4" t="s">
        <v>67</v>
      </c>
      <c r="D28" s="24">
        <v>5658</v>
      </c>
      <c r="E28" s="24">
        <v>2280</v>
      </c>
      <c r="F28" s="4" t="s">
        <v>66</v>
      </c>
      <c r="G28" s="27">
        <v>1718</v>
      </c>
      <c r="H28" s="24"/>
      <c r="I28" s="4"/>
      <c r="J28" s="24"/>
      <c r="K28" s="21">
        <f t="shared" si="5"/>
        <v>10714</v>
      </c>
      <c r="L28" s="20">
        <f t="shared" si="6"/>
        <v>7376</v>
      </c>
      <c r="M28" s="13">
        <f t="shared" si="4"/>
        <v>31.155497479932805</v>
      </c>
      <c r="N28" s="4"/>
    </row>
    <row r="29" spans="1:14" x14ac:dyDescent="0.25">
      <c r="A29" s="23" t="s">
        <v>41</v>
      </c>
      <c r="B29" s="8">
        <v>1396</v>
      </c>
      <c r="C29" s="4"/>
      <c r="D29" s="24">
        <v>933</v>
      </c>
      <c r="E29" s="24">
        <v>2704</v>
      </c>
      <c r="F29" s="4"/>
      <c r="G29" s="27">
        <v>1684</v>
      </c>
      <c r="H29" s="24"/>
      <c r="I29" s="4"/>
      <c r="J29" s="24"/>
      <c r="K29" s="21">
        <f t="shared" si="5"/>
        <v>4100</v>
      </c>
      <c r="L29" s="20">
        <f t="shared" si="6"/>
        <v>2617</v>
      </c>
      <c r="M29" s="13">
        <f t="shared" si="4"/>
        <v>36.170731707317074</v>
      </c>
      <c r="N29" s="4"/>
    </row>
    <row r="30" spans="1:14" ht="30" x14ac:dyDescent="0.25">
      <c r="A30" s="23" t="s">
        <v>42</v>
      </c>
      <c r="B30" s="8">
        <v>8930</v>
      </c>
      <c r="C30" s="4" t="s">
        <v>68</v>
      </c>
      <c r="D30" s="24">
        <v>2929</v>
      </c>
      <c r="E30" s="24">
        <v>1286</v>
      </c>
      <c r="F30" s="4" t="s">
        <v>69</v>
      </c>
      <c r="G30" s="27">
        <v>814</v>
      </c>
      <c r="H30" s="24"/>
      <c r="I30" s="4"/>
      <c r="J30" s="24"/>
      <c r="K30" s="21">
        <f t="shared" si="5"/>
        <v>10216</v>
      </c>
      <c r="L30" s="20">
        <f t="shared" si="6"/>
        <v>3743</v>
      </c>
      <c r="M30" s="13">
        <f t="shared" si="4"/>
        <v>63.36139389193422</v>
      </c>
      <c r="N30" s="4"/>
    </row>
    <row r="31" spans="1:14" x14ac:dyDescent="0.25">
      <c r="A31" s="23" t="s">
        <v>43</v>
      </c>
      <c r="B31" s="8">
        <v>1856</v>
      </c>
      <c r="C31" s="4"/>
      <c r="D31" s="24">
        <v>656</v>
      </c>
      <c r="E31" s="24">
        <v>2860</v>
      </c>
      <c r="F31" s="4" t="s">
        <v>62</v>
      </c>
      <c r="G31" s="27">
        <v>1997</v>
      </c>
      <c r="H31" s="24"/>
      <c r="I31" s="4"/>
      <c r="J31" s="24"/>
      <c r="K31" s="20">
        <f t="shared" ref="K31:K43" si="7">B31+E31+H31</f>
        <v>4716</v>
      </c>
      <c r="L31" s="20">
        <f t="shared" si="6"/>
        <v>2653</v>
      </c>
      <c r="M31" s="13">
        <f t="shared" si="4"/>
        <v>43.744698897370654</v>
      </c>
      <c r="N31" s="4"/>
    </row>
    <row r="32" spans="1:14" x14ac:dyDescent="0.25">
      <c r="A32" s="23" t="s">
        <v>44</v>
      </c>
      <c r="B32" s="8">
        <v>1856</v>
      </c>
      <c r="C32" s="4"/>
      <c r="D32" s="24">
        <v>656</v>
      </c>
      <c r="E32" s="24">
        <v>2860</v>
      </c>
      <c r="F32" s="4" t="s">
        <v>62</v>
      </c>
      <c r="G32" s="27">
        <v>1997</v>
      </c>
      <c r="H32" s="24"/>
      <c r="I32" s="4"/>
      <c r="J32" s="24"/>
      <c r="K32" s="20">
        <f t="shared" si="7"/>
        <v>4716</v>
      </c>
      <c r="L32" s="20">
        <f t="shared" si="6"/>
        <v>2653</v>
      </c>
      <c r="M32" s="13">
        <f t="shared" si="4"/>
        <v>43.744698897370654</v>
      </c>
      <c r="N32" s="4"/>
    </row>
    <row r="33" spans="1:14" x14ac:dyDescent="0.25">
      <c r="A33" s="23" t="s">
        <v>45</v>
      </c>
      <c r="B33" s="8">
        <v>791</v>
      </c>
      <c r="C33" s="4"/>
      <c r="D33" s="24">
        <v>481</v>
      </c>
      <c r="E33" s="24">
        <v>2160</v>
      </c>
      <c r="F33" s="4" t="s">
        <v>62</v>
      </c>
      <c r="G33" s="27">
        <v>1569</v>
      </c>
      <c r="H33" s="24"/>
      <c r="I33" s="4"/>
      <c r="J33" s="24"/>
      <c r="K33" s="20">
        <f t="shared" si="7"/>
        <v>2951</v>
      </c>
      <c r="L33" s="20">
        <f t="shared" si="6"/>
        <v>2050</v>
      </c>
      <c r="M33" s="13">
        <f t="shared" si="4"/>
        <v>30.532023043036261</v>
      </c>
      <c r="N33" s="4"/>
    </row>
    <row r="34" spans="1:14" x14ac:dyDescent="0.25">
      <c r="A34" s="23" t="s">
        <v>46</v>
      </c>
      <c r="B34" s="8">
        <v>956</v>
      </c>
      <c r="C34" s="4"/>
      <c r="D34" s="24">
        <v>712</v>
      </c>
      <c r="E34" s="24">
        <v>1220</v>
      </c>
      <c r="F34" s="4"/>
      <c r="G34" s="27">
        <v>1195</v>
      </c>
      <c r="H34" s="24"/>
      <c r="I34" s="4"/>
      <c r="J34" s="24"/>
      <c r="K34" s="20">
        <f t="shared" si="7"/>
        <v>2176</v>
      </c>
      <c r="L34" s="20">
        <f t="shared" si="6"/>
        <v>1907</v>
      </c>
      <c r="M34" s="13">
        <f t="shared" si="4"/>
        <v>12.362132352941174</v>
      </c>
      <c r="N34" s="4"/>
    </row>
    <row r="35" spans="1:14" x14ac:dyDescent="0.25">
      <c r="A35" s="23" t="s">
        <v>47</v>
      </c>
      <c r="B35" s="8">
        <v>956</v>
      </c>
      <c r="C35" s="4"/>
      <c r="D35" s="24">
        <v>712</v>
      </c>
      <c r="E35" s="24">
        <v>1220</v>
      </c>
      <c r="F35" s="4"/>
      <c r="G35" s="27">
        <v>1195</v>
      </c>
      <c r="H35" s="24"/>
      <c r="I35" s="4"/>
      <c r="J35" s="24"/>
      <c r="K35" s="21">
        <f t="shared" si="7"/>
        <v>2176</v>
      </c>
      <c r="L35" s="20">
        <f t="shared" si="6"/>
        <v>1907</v>
      </c>
      <c r="M35" s="13">
        <f t="shared" si="4"/>
        <v>12.362132352941174</v>
      </c>
      <c r="N35" s="4"/>
    </row>
    <row r="36" spans="1:14" x14ac:dyDescent="0.25">
      <c r="A36" s="23" t="s">
        <v>48</v>
      </c>
      <c r="B36" s="8">
        <v>956</v>
      </c>
      <c r="C36" s="4"/>
      <c r="D36" s="24">
        <v>712</v>
      </c>
      <c r="E36" s="24">
        <v>1220</v>
      </c>
      <c r="F36" s="4"/>
      <c r="G36" s="27">
        <v>1195</v>
      </c>
      <c r="H36" s="24"/>
      <c r="I36" s="4"/>
      <c r="J36" s="24"/>
      <c r="K36" s="20">
        <f t="shared" si="7"/>
        <v>2176</v>
      </c>
      <c r="L36" s="20">
        <f t="shared" si="6"/>
        <v>1907</v>
      </c>
      <c r="M36" s="13">
        <f t="shared" ref="M36:M43" si="8">100-L36*100/K36</f>
        <v>12.362132352941174</v>
      </c>
      <c r="N36" s="4"/>
    </row>
    <row r="37" spans="1:14" x14ac:dyDescent="0.25">
      <c r="A37" s="23" t="s">
        <v>49</v>
      </c>
      <c r="B37" s="8">
        <v>956</v>
      </c>
      <c r="C37" s="4"/>
      <c r="D37" s="24">
        <v>712</v>
      </c>
      <c r="E37" s="24">
        <v>1220</v>
      </c>
      <c r="F37" s="4"/>
      <c r="G37" s="27">
        <v>1195</v>
      </c>
      <c r="H37" s="24"/>
      <c r="I37" s="4"/>
      <c r="J37" s="24"/>
      <c r="K37" s="20">
        <f t="shared" si="7"/>
        <v>2176</v>
      </c>
      <c r="L37" s="20">
        <f t="shared" si="6"/>
        <v>1907</v>
      </c>
      <c r="M37" s="13">
        <f t="shared" si="8"/>
        <v>12.362132352941174</v>
      </c>
      <c r="N37" s="4"/>
    </row>
    <row r="38" spans="1:14" x14ac:dyDescent="0.25">
      <c r="A38" s="23" t="s">
        <v>50</v>
      </c>
      <c r="B38" s="8">
        <v>956</v>
      </c>
      <c r="C38" s="4"/>
      <c r="D38" s="24">
        <v>877</v>
      </c>
      <c r="E38" s="24">
        <v>1220</v>
      </c>
      <c r="F38" s="4"/>
      <c r="G38" s="27">
        <v>1195</v>
      </c>
      <c r="H38" s="24"/>
      <c r="I38" s="4"/>
      <c r="J38" s="24"/>
      <c r="K38" s="20">
        <f t="shared" si="7"/>
        <v>2176</v>
      </c>
      <c r="L38" s="20">
        <f t="shared" si="6"/>
        <v>2072</v>
      </c>
      <c r="M38" s="13">
        <f t="shared" si="8"/>
        <v>4.779411764705884</v>
      </c>
      <c r="N38" s="4"/>
    </row>
    <row r="39" spans="1:14" x14ac:dyDescent="0.25">
      <c r="A39" s="23" t="s">
        <v>51</v>
      </c>
      <c r="B39" s="8">
        <v>73</v>
      </c>
      <c r="C39" s="4"/>
      <c r="D39" s="24">
        <v>73</v>
      </c>
      <c r="E39" s="24">
        <v>515</v>
      </c>
      <c r="F39" s="4"/>
      <c r="G39" s="27">
        <v>349</v>
      </c>
      <c r="H39" s="24"/>
      <c r="I39" s="4"/>
      <c r="J39" s="24"/>
      <c r="K39" s="20">
        <f t="shared" si="7"/>
        <v>588</v>
      </c>
      <c r="L39" s="20">
        <f t="shared" si="6"/>
        <v>422</v>
      </c>
      <c r="M39" s="13">
        <f t="shared" si="8"/>
        <v>28.231292517006807</v>
      </c>
      <c r="N39" s="4"/>
    </row>
    <row r="40" spans="1:14" x14ac:dyDescent="0.25">
      <c r="A40" s="23" t="s">
        <v>52</v>
      </c>
      <c r="B40" s="8">
        <v>2089</v>
      </c>
      <c r="C40" s="4" t="s">
        <v>63</v>
      </c>
      <c r="D40" s="27">
        <v>1584</v>
      </c>
      <c r="E40" s="24">
        <v>2578</v>
      </c>
      <c r="F40" s="4" t="s">
        <v>62</v>
      </c>
      <c r="G40" s="27">
        <v>2049</v>
      </c>
      <c r="H40" s="24"/>
      <c r="I40" s="4"/>
      <c r="J40" s="24"/>
      <c r="K40" s="21">
        <f t="shared" si="7"/>
        <v>4667</v>
      </c>
      <c r="L40" s="20">
        <f t="shared" si="6"/>
        <v>3633</v>
      </c>
      <c r="M40" s="14">
        <f t="shared" si="8"/>
        <v>22.155560317120205</v>
      </c>
      <c r="N40" s="4"/>
    </row>
    <row r="41" spans="1:14" x14ac:dyDescent="0.25">
      <c r="A41" s="23" t="s">
        <v>53</v>
      </c>
      <c r="B41" s="8">
        <v>73</v>
      </c>
      <c r="C41" s="4"/>
      <c r="D41" s="24">
        <v>73</v>
      </c>
      <c r="E41" s="24">
        <v>610</v>
      </c>
      <c r="F41" s="4"/>
      <c r="G41" s="27">
        <v>330</v>
      </c>
      <c r="H41" s="24"/>
      <c r="I41" s="4"/>
      <c r="J41" s="24"/>
      <c r="K41" s="20">
        <f t="shared" si="7"/>
        <v>683</v>
      </c>
      <c r="L41" s="20">
        <f t="shared" si="6"/>
        <v>403</v>
      </c>
      <c r="M41" s="13">
        <f t="shared" si="8"/>
        <v>40.995607613469986</v>
      </c>
      <c r="N41" s="4"/>
    </row>
    <row r="42" spans="1:14" x14ac:dyDescent="0.25">
      <c r="A42" s="23" t="s">
        <v>54</v>
      </c>
      <c r="B42" s="8">
        <v>73</v>
      </c>
      <c r="C42" s="4"/>
      <c r="D42" s="24">
        <v>73</v>
      </c>
      <c r="E42" s="24">
        <v>610</v>
      </c>
      <c r="F42" s="4"/>
      <c r="G42" s="27">
        <v>330</v>
      </c>
      <c r="H42" s="24"/>
      <c r="I42" s="4"/>
      <c r="J42" s="24"/>
      <c r="K42" s="20">
        <f t="shared" si="7"/>
        <v>683</v>
      </c>
      <c r="L42" s="20">
        <f t="shared" si="6"/>
        <v>403</v>
      </c>
      <c r="M42" s="13">
        <f t="shared" si="8"/>
        <v>40.995607613469986</v>
      </c>
      <c r="N42" s="4"/>
    </row>
    <row r="43" spans="1:14" x14ac:dyDescent="0.25">
      <c r="A43" s="23" t="s">
        <v>55</v>
      </c>
      <c r="B43" s="8">
        <v>3922</v>
      </c>
      <c r="C43" s="4"/>
      <c r="D43" s="24">
        <v>2573</v>
      </c>
      <c r="E43" s="24">
        <v>2280</v>
      </c>
      <c r="F43" s="4" t="s">
        <v>66</v>
      </c>
      <c r="G43" s="27">
        <v>1718</v>
      </c>
      <c r="H43" s="24"/>
      <c r="I43" s="4"/>
      <c r="J43" s="24"/>
      <c r="K43" s="20">
        <f t="shared" si="7"/>
        <v>6202</v>
      </c>
      <c r="L43" s="20">
        <f t="shared" si="6"/>
        <v>4291</v>
      </c>
      <c r="M43" s="13">
        <f t="shared" si="8"/>
        <v>30.812641083521441</v>
      </c>
      <c r="N43" s="4"/>
    </row>
    <row r="44" spans="1:14" x14ac:dyDescent="0.25">
      <c r="A44" s="23" t="s">
        <v>56</v>
      </c>
      <c r="B44" s="17"/>
      <c r="C44" s="4"/>
      <c r="D44" s="24"/>
      <c r="E44" s="24"/>
      <c r="F44" s="4"/>
      <c r="G44" s="27"/>
      <c r="H44" s="24"/>
      <c r="I44" s="4"/>
      <c r="J44" s="24"/>
      <c r="K44" s="20"/>
      <c r="L44" s="20"/>
      <c r="M44" s="13"/>
      <c r="N44" s="4"/>
    </row>
    <row r="45" spans="1:14" x14ac:dyDescent="0.25">
      <c r="A45" s="23" t="s">
        <v>57</v>
      </c>
      <c r="B45" s="18" t="s">
        <v>94</v>
      </c>
      <c r="C45" s="4"/>
      <c r="D45" s="24"/>
      <c r="E45" s="24"/>
      <c r="F45" s="4"/>
      <c r="G45" s="27"/>
      <c r="H45" s="24"/>
      <c r="I45" s="4"/>
      <c r="J45" s="24"/>
      <c r="K45" s="20"/>
      <c r="L45" s="20"/>
      <c r="M45" s="13"/>
      <c r="N45" s="4"/>
    </row>
    <row r="46" spans="1:14" x14ac:dyDescent="0.25">
      <c r="A46" s="23" t="s">
        <v>58</v>
      </c>
      <c r="B46" s="8">
        <v>317</v>
      </c>
      <c r="C46" s="4"/>
      <c r="D46" s="24">
        <v>283</v>
      </c>
      <c r="E46" s="24">
        <v>574</v>
      </c>
      <c r="F46" s="4"/>
      <c r="G46" s="27">
        <v>578</v>
      </c>
      <c r="H46" s="24"/>
      <c r="I46" s="4"/>
      <c r="J46" s="24"/>
      <c r="K46" s="20">
        <f t="shared" ref="K46:K52" si="9">B46+E46+H46</f>
        <v>891</v>
      </c>
      <c r="L46" s="20">
        <f t="shared" ref="L46:L52" si="10">D46+G46+J46</f>
        <v>861</v>
      </c>
      <c r="M46" s="13">
        <f>100-L46*100/K46</f>
        <v>3.3670033670033632</v>
      </c>
      <c r="N46" s="4"/>
    </row>
    <row r="47" spans="1:14" x14ac:dyDescent="0.25">
      <c r="A47" s="23" t="s">
        <v>59</v>
      </c>
      <c r="B47" s="8">
        <v>126</v>
      </c>
      <c r="C47" s="4"/>
      <c r="D47" s="24">
        <v>126</v>
      </c>
      <c r="E47" s="24"/>
      <c r="F47" s="4"/>
      <c r="G47" s="27"/>
      <c r="H47" s="24"/>
      <c r="I47" s="4"/>
      <c r="J47" s="24"/>
      <c r="K47" s="20">
        <f t="shared" si="9"/>
        <v>126</v>
      </c>
      <c r="L47" s="20">
        <f t="shared" si="10"/>
        <v>126</v>
      </c>
      <c r="M47" s="13">
        <f>100-L47*100/K47</f>
        <v>0</v>
      </c>
      <c r="N47" s="4"/>
    </row>
    <row r="48" spans="1:14" x14ac:dyDescent="0.25">
      <c r="A48" s="23" t="s">
        <v>64</v>
      </c>
      <c r="B48" s="8"/>
      <c r="C48" s="4"/>
      <c r="D48" s="24"/>
      <c r="E48" s="24">
        <v>975</v>
      </c>
      <c r="F48" s="4"/>
      <c r="G48" s="27">
        <v>975</v>
      </c>
      <c r="H48" s="24"/>
      <c r="I48" s="4"/>
      <c r="J48" s="24"/>
      <c r="K48" s="20">
        <f t="shared" si="9"/>
        <v>975</v>
      </c>
      <c r="L48" s="20">
        <f t="shared" si="10"/>
        <v>975</v>
      </c>
      <c r="M48" s="13"/>
      <c r="N48" s="4"/>
    </row>
    <row r="49" spans="1:14" x14ac:dyDescent="0.25">
      <c r="A49" s="23" t="s">
        <v>65</v>
      </c>
      <c r="B49" s="8">
        <v>978</v>
      </c>
      <c r="C49" s="4"/>
      <c r="D49" s="24">
        <v>770</v>
      </c>
      <c r="E49" s="24">
        <v>671</v>
      </c>
      <c r="F49" s="4"/>
      <c r="G49" s="27">
        <v>677</v>
      </c>
      <c r="H49" s="24"/>
      <c r="I49" s="4"/>
      <c r="J49" s="24"/>
      <c r="K49" s="20">
        <f t="shared" si="9"/>
        <v>1649</v>
      </c>
      <c r="L49" s="20">
        <f t="shared" si="10"/>
        <v>1447</v>
      </c>
      <c r="M49" s="13">
        <f>100-L49*100/K49</f>
        <v>12.249848392965433</v>
      </c>
      <c r="N49" s="4"/>
    </row>
    <row r="50" spans="1:14" x14ac:dyDescent="0.25">
      <c r="A50" s="23" t="s">
        <v>70</v>
      </c>
      <c r="B50" s="8">
        <v>17266</v>
      </c>
      <c r="C50" s="4"/>
      <c r="D50" s="24">
        <v>15478</v>
      </c>
      <c r="E50" s="24"/>
      <c r="F50" s="4"/>
      <c r="G50" s="27"/>
      <c r="H50" s="24"/>
      <c r="I50" s="4"/>
      <c r="J50" s="24"/>
      <c r="K50" s="20">
        <f t="shared" si="9"/>
        <v>17266</v>
      </c>
      <c r="L50" s="20">
        <f t="shared" si="10"/>
        <v>15478</v>
      </c>
      <c r="M50" s="13">
        <f>100-L50*100/K50</f>
        <v>10.355612185798677</v>
      </c>
      <c r="N50" s="4"/>
    </row>
    <row r="51" spans="1:14" ht="15.75" customHeight="1" x14ac:dyDescent="0.25">
      <c r="A51" s="23" t="s">
        <v>71</v>
      </c>
      <c r="B51" s="8">
        <v>7570</v>
      </c>
      <c r="C51" s="7" t="s">
        <v>72</v>
      </c>
      <c r="D51" s="24">
        <v>4949</v>
      </c>
      <c r="E51" s="24"/>
      <c r="F51" s="4"/>
      <c r="G51" s="27"/>
      <c r="H51" s="24"/>
      <c r="I51" s="4"/>
      <c r="J51" s="24"/>
      <c r="K51" s="20">
        <f t="shared" si="9"/>
        <v>7570</v>
      </c>
      <c r="L51" s="20">
        <f t="shared" si="10"/>
        <v>4949</v>
      </c>
      <c r="M51" s="13">
        <f>100-L51*100/K51</f>
        <v>34.623513870541615</v>
      </c>
      <c r="N51" s="4"/>
    </row>
    <row r="52" spans="1:14" x14ac:dyDescent="0.25">
      <c r="A52" s="23" t="s">
        <v>73</v>
      </c>
      <c r="B52" s="8">
        <v>3500</v>
      </c>
      <c r="C52" s="4"/>
      <c r="D52" s="24">
        <v>3507</v>
      </c>
      <c r="E52" s="24">
        <v>4520</v>
      </c>
      <c r="F52" s="4"/>
      <c r="G52" s="27">
        <v>4071</v>
      </c>
      <c r="H52" s="24"/>
      <c r="I52" s="4"/>
      <c r="J52" s="24"/>
      <c r="K52" s="20">
        <f t="shared" si="9"/>
        <v>8020</v>
      </c>
      <c r="L52" s="20">
        <f t="shared" si="10"/>
        <v>7578</v>
      </c>
      <c r="M52" s="13">
        <f>100-L52*100/K52</f>
        <v>5.5112219451371516</v>
      </c>
      <c r="N52" s="4"/>
    </row>
    <row r="53" spans="1:14" x14ac:dyDescent="0.25">
      <c r="A53" s="23" t="s">
        <v>74</v>
      </c>
      <c r="B53" s="8">
        <v>1560</v>
      </c>
      <c r="C53" s="4" t="s">
        <v>80</v>
      </c>
      <c r="D53" s="24">
        <v>1244</v>
      </c>
      <c r="E53" s="24"/>
      <c r="F53" s="4"/>
      <c r="G53" s="27"/>
      <c r="H53" s="24"/>
      <c r="I53" s="4"/>
      <c r="J53" s="24"/>
      <c r="K53" s="20"/>
      <c r="L53" s="20"/>
      <c r="M53" s="13"/>
      <c r="N53" s="4"/>
    </row>
    <row r="54" spans="1:14" x14ac:dyDescent="0.25">
      <c r="A54" s="23" t="s">
        <v>75</v>
      </c>
      <c r="B54" s="8">
        <v>1320</v>
      </c>
      <c r="C54" s="4" t="s">
        <v>84</v>
      </c>
      <c r="D54" s="24">
        <v>1152</v>
      </c>
      <c r="E54" s="24">
        <v>161</v>
      </c>
      <c r="F54" s="4" t="s">
        <v>85</v>
      </c>
      <c r="G54" s="27"/>
      <c r="H54" s="24"/>
      <c r="I54" s="4"/>
      <c r="J54" s="24"/>
      <c r="K54" s="20">
        <f t="shared" ref="K54:K60" si="11">B54+E54+H54</f>
        <v>1481</v>
      </c>
      <c r="L54" s="20">
        <f t="shared" ref="L54:L60" si="12">D54+G54+J54</f>
        <v>1152</v>
      </c>
      <c r="M54" s="13">
        <f t="shared" ref="M54:M60" si="13">100-L54*100/K54</f>
        <v>22.21471978392978</v>
      </c>
      <c r="N54" s="4"/>
    </row>
    <row r="55" spans="1:14" x14ac:dyDescent="0.25">
      <c r="A55" s="23" t="s">
        <v>76</v>
      </c>
      <c r="B55" s="8">
        <v>740</v>
      </c>
      <c r="C55" s="4" t="s">
        <v>84</v>
      </c>
      <c r="D55" s="27">
        <v>532</v>
      </c>
      <c r="E55" s="24"/>
      <c r="F55" s="4"/>
      <c r="G55" s="27"/>
      <c r="H55" s="24"/>
      <c r="I55" s="4"/>
      <c r="J55" s="24"/>
      <c r="K55" s="20">
        <f t="shared" si="11"/>
        <v>740</v>
      </c>
      <c r="L55" s="20">
        <f t="shared" si="12"/>
        <v>532</v>
      </c>
      <c r="M55" s="13">
        <f t="shared" si="13"/>
        <v>28.108108108108112</v>
      </c>
      <c r="N55" s="4"/>
    </row>
    <row r="56" spans="1:14" x14ac:dyDescent="0.25">
      <c r="A56" s="23" t="s">
        <v>77</v>
      </c>
      <c r="B56" s="8">
        <v>1400</v>
      </c>
      <c r="C56" s="4" t="s">
        <v>84</v>
      </c>
      <c r="D56" s="24">
        <v>785</v>
      </c>
      <c r="E56" s="24"/>
      <c r="F56" s="4"/>
      <c r="G56" s="27"/>
      <c r="H56" s="24"/>
      <c r="I56" s="4"/>
      <c r="J56" s="24"/>
      <c r="K56" s="20">
        <f t="shared" si="11"/>
        <v>1400</v>
      </c>
      <c r="L56" s="20">
        <f t="shared" si="12"/>
        <v>785</v>
      </c>
      <c r="M56" s="13">
        <f t="shared" si="13"/>
        <v>43.928571428571431</v>
      </c>
      <c r="N56" s="4"/>
    </row>
    <row r="57" spans="1:14" x14ac:dyDescent="0.25">
      <c r="A57" s="23" t="s">
        <v>78</v>
      </c>
      <c r="B57" s="8">
        <v>806</v>
      </c>
      <c r="C57" s="4"/>
      <c r="D57" s="24">
        <v>619</v>
      </c>
      <c r="E57" s="24"/>
      <c r="F57" s="4"/>
      <c r="G57" s="27"/>
      <c r="H57" s="24"/>
      <c r="I57" s="4"/>
      <c r="J57" s="24"/>
      <c r="K57" s="20">
        <f t="shared" si="11"/>
        <v>806</v>
      </c>
      <c r="L57" s="20">
        <f t="shared" si="12"/>
        <v>619</v>
      </c>
      <c r="M57" s="13">
        <f t="shared" si="13"/>
        <v>23.200992555831263</v>
      </c>
      <c r="N57" s="4"/>
    </row>
    <row r="58" spans="1:14" x14ac:dyDescent="0.25">
      <c r="A58" s="32" t="s">
        <v>79</v>
      </c>
      <c r="B58" s="8">
        <v>24913</v>
      </c>
      <c r="C58" s="16" t="s">
        <v>92</v>
      </c>
      <c r="D58" s="24">
        <v>22732</v>
      </c>
      <c r="E58" s="24"/>
      <c r="F58" s="4"/>
      <c r="G58" s="27"/>
      <c r="H58" s="24"/>
      <c r="I58" s="4"/>
      <c r="J58" s="24"/>
      <c r="K58" s="20">
        <f t="shared" si="11"/>
        <v>24913</v>
      </c>
      <c r="L58" s="20">
        <f t="shared" si="12"/>
        <v>22732</v>
      </c>
      <c r="M58" s="13">
        <f t="shared" si="13"/>
        <v>8.7544655400794795</v>
      </c>
      <c r="N58" s="4"/>
    </row>
    <row r="59" spans="1:14" x14ac:dyDescent="0.25">
      <c r="A59" s="23" t="s">
        <v>176</v>
      </c>
      <c r="B59" s="8">
        <v>5714</v>
      </c>
      <c r="C59" s="4" t="s">
        <v>81</v>
      </c>
      <c r="D59" s="24">
        <v>4006</v>
      </c>
      <c r="E59" s="24">
        <v>567</v>
      </c>
      <c r="F59" s="4"/>
      <c r="G59" s="27">
        <v>504</v>
      </c>
      <c r="H59" s="24"/>
      <c r="I59" s="4"/>
      <c r="J59" s="24"/>
      <c r="K59" s="20">
        <f t="shared" si="11"/>
        <v>6281</v>
      </c>
      <c r="L59" s="20">
        <f t="shared" si="12"/>
        <v>4510</v>
      </c>
      <c r="M59" s="13">
        <f t="shared" si="13"/>
        <v>28.196147110332745</v>
      </c>
      <c r="N59" s="4"/>
    </row>
    <row r="60" spans="1:14" ht="15" customHeight="1" x14ac:dyDescent="0.25">
      <c r="A60" s="23" t="s">
        <v>177</v>
      </c>
      <c r="B60" s="8">
        <v>592</v>
      </c>
      <c r="C60" s="4" t="s">
        <v>82</v>
      </c>
      <c r="D60" s="24">
        <v>564</v>
      </c>
      <c r="E60" s="24"/>
      <c r="F60" s="4"/>
      <c r="G60" s="27"/>
      <c r="H60" s="24">
        <v>576</v>
      </c>
      <c r="I60" s="4" t="s">
        <v>83</v>
      </c>
      <c r="J60" s="25">
        <v>688</v>
      </c>
      <c r="K60" s="20">
        <f t="shared" si="11"/>
        <v>1168</v>
      </c>
      <c r="L60" s="20">
        <f t="shared" si="12"/>
        <v>1252</v>
      </c>
      <c r="M60" s="19">
        <f t="shared" si="13"/>
        <v>-7.1917808219178028</v>
      </c>
      <c r="N60" s="4"/>
    </row>
    <row r="61" spans="1:14" ht="15" customHeight="1" x14ac:dyDescent="0.25">
      <c r="A61" s="23" t="s">
        <v>86</v>
      </c>
      <c r="B61" s="17"/>
      <c r="C61" s="4"/>
      <c r="D61" s="24"/>
      <c r="E61" s="24"/>
      <c r="F61" s="4"/>
      <c r="G61" s="27"/>
      <c r="H61" s="24"/>
      <c r="I61" s="4"/>
      <c r="J61" s="24"/>
      <c r="K61" s="20"/>
      <c r="L61" s="20"/>
      <c r="M61" s="13"/>
      <c r="N61" s="4"/>
    </row>
    <row r="62" spans="1:14" ht="15" customHeight="1" x14ac:dyDescent="0.25">
      <c r="A62" s="23" t="s">
        <v>87</v>
      </c>
      <c r="B62" s="17"/>
      <c r="C62" s="4"/>
      <c r="D62" s="24"/>
      <c r="E62" s="24"/>
      <c r="F62" s="4"/>
      <c r="G62" s="27"/>
      <c r="H62" s="24"/>
      <c r="I62" s="4"/>
      <c r="J62" s="24"/>
      <c r="K62" s="20"/>
      <c r="L62" s="20"/>
      <c r="M62" s="13"/>
      <c r="N62" s="4"/>
    </row>
    <row r="63" spans="1:14" ht="15" customHeight="1" x14ac:dyDescent="0.25">
      <c r="A63" s="23" t="s">
        <v>88</v>
      </c>
      <c r="B63" s="17"/>
      <c r="C63" s="4"/>
      <c r="D63" s="24"/>
      <c r="E63" s="24"/>
      <c r="F63" s="4"/>
      <c r="G63" s="27"/>
      <c r="H63" s="24"/>
      <c r="I63" s="4"/>
      <c r="J63" s="24"/>
      <c r="K63" s="20"/>
      <c r="L63" s="20"/>
      <c r="M63" s="13"/>
      <c r="N63" s="4"/>
    </row>
    <row r="64" spans="1:14" ht="15" customHeight="1" x14ac:dyDescent="0.25">
      <c r="A64" s="23" t="s">
        <v>89</v>
      </c>
      <c r="B64" s="8">
        <v>15875</v>
      </c>
      <c r="C64" s="4" t="s">
        <v>91</v>
      </c>
      <c r="D64" s="24">
        <v>13464</v>
      </c>
      <c r="E64" s="24">
        <v>9970</v>
      </c>
      <c r="F64" s="4"/>
      <c r="G64" s="27">
        <v>9241</v>
      </c>
      <c r="H64" s="24"/>
      <c r="I64" s="4"/>
      <c r="J64" s="24"/>
      <c r="K64" s="20">
        <f>B64+E64+H64</f>
        <v>25845</v>
      </c>
      <c r="L64" s="20">
        <f>D64+G64+J64</f>
        <v>22705</v>
      </c>
      <c r="M64" s="13">
        <f>100-L64*100/K64</f>
        <v>12.149351905591018</v>
      </c>
      <c r="N64" s="4"/>
    </row>
    <row r="65" spans="1:14" ht="15" customHeight="1" x14ac:dyDescent="0.25">
      <c r="A65" s="23" t="s">
        <v>90</v>
      </c>
      <c r="B65" s="8">
        <v>6040</v>
      </c>
      <c r="C65" s="4" t="s">
        <v>93</v>
      </c>
      <c r="D65" s="24">
        <v>6794</v>
      </c>
      <c r="E65" s="24">
        <v>7300</v>
      </c>
      <c r="F65" s="4"/>
      <c r="G65" s="27">
        <v>6469</v>
      </c>
      <c r="H65" s="24"/>
      <c r="I65" s="4"/>
      <c r="J65" s="24"/>
      <c r="K65" s="20">
        <f>B65+E65+H65</f>
        <v>13340</v>
      </c>
      <c r="L65" s="20">
        <f>D65+G65+J65</f>
        <v>13263</v>
      </c>
      <c r="M65" s="13">
        <f>100-L65*100/K65</f>
        <v>0.57721139430285007</v>
      </c>
      <c r="N65" s="4"/>
    </row>
    <row r="66" spans="1:14" ht="15" customHeight="1" x14ac:dyDescent="0.25">
      <c r="A66" s="23" t="s">
        <v>96</v>
      </c>
      <c r="B66" s="8">
        <v>18935</v>
      </c>
      <c r="C66" s="4"/>
      <c r="D66" s="24">
        <f>12495+1065</f>
        <v>13560</v>
      </c>
      <c r="E66" s="24"/>
      <c r="F66" s="4"/>
      <c r="G66" s="27"/>
      <c r="H66" s="24"/>
      <c r="I66" s="4"/>
      <c r="J66" s="24"/>
      <c r="K66" s="20">
        <f>B66+E66+H66</f>
        <v>18935</v>
      </c>
      <c r="L66" s="20">
        <f>D66+G66+J66</f>
        <v>13560</v>
      </c>
      <c r="M66" s="13">
        <f>100-L66*100/K66</f>
        <v>28.386585687879588</v>
      </c>
      <c r="N66" s="4"/>
    </row>
    <row r="67" spans="1:14" ht="15" customHeight="1" x14ac:dyDescent="0.25">
      <c r="A67" s="23" t="s">
        <v>97</v>
      </c>
      <c r="B67" s="8">
        <v>18935</v>
      </c>
      <c r="C67" s="4"/>
      <c r="D67" s="24">
        <f>12495+1065</f>
        <v>13560</v>
      </c>
      <c r="E67" s="24"/>
      <c r="F67" s="4"/>
      <c r="G67" s="27"/>
      <c r="H67" s="24"/>
      <c r="I67" s="4"/>
      <c r="J67" s="24"/>
      <c r="K67" s="20">
        <f>B67+E67+H67</f>
        <v>18935</v>
      </c>
      <c r="L67" s="20">
        <f>D67+G67+J67</f>
        <v>13560</v>
      </c>
      <c r="M67" s="13">
        <f>100-L67*100/K67</f>
        <v>28.386585687879588</v>
      </c>
      <c r="N67" s="4"/>
    </row>
    <row r="68" spans="1:14" ht="15" customHeight="1" x14ac:dyDescent="0.25">
      <c r="A68" s="23" t="s">
        <v>98</v>
      </c>
      <c r="B68" s="8">
        <v>11045</v>
      </c>
      <c r="C68" s="4"/>
      <c r="D68" s="24">
        <v>10532</v>
      </c>
      <c r="E68" s="24">
        <v>5700</v>
      </c>
      <c r="F68" s="4"/>
      <c r="G68" s="27">
        <v>5730</v>
      </c>
      <c r="H68" s="24"/>
      <c r="I68" s="4"/>
      <c r="J68" s="24"/>
      <c r="K68" s="20">
        <f>B68+E68+H68</f>
        <v>16745</v>
      </c>
      <c r="L68" s="20">
        <f>D68+G68+J68</f>
        <v>16262</v>
      </c>
      <c r="M68" s="13">
        <f>100-L68*100/K68</f>
        <v>2.8844431173484679</v>
      </c>
      <c r="N68" s="4"/>
    </row>
    <row r="69" spans="1:14" ht="15" customHeight="1" x14ac:dyDescent="0.25">
      <c r="A69" s="23" t="s">
        <v>99</v>
      </c>
      <c r="B69" s="17"/>
      <c r="C69" s="4"/>
      <c r="D69" s="24"/>
      <c r="E69" s="24"/>
      <c r="F69" s="4"/>
      <c r="G69" s="27"/>
      <c r="H69" s="24"/>
      <c r="I69" s="4"/>
      <c r="J69" s="24"/>
      <c r="K69" s="20"/>
      <c r="L69" s="20"/>
      <c r="M69" s="13"/>
      <c r="N69" s="4"/>
    </row>
    <row r="70" spans="1:14" ht="15" customHeight="1" x14ac:dyDescent="0.25">
      <c r="A70" s="23" t="s">
        <v>100</v>
      </c>
      <c r="B70" s="8">
        <v>9570</v>
      </c>
      <c r="C70" s="4" t="s">
        <v>101</v>
      </c>
      <c r="D70" s="24">
        <v>8617</v>
      </c>
      <c r="E70" s="24"/>
      <c r="F70" s="4"/>
      <c r="G70" s="27"/>
      <c r="H70" s="24"/>
      <c r="I70" s="4"/>
      <c r="J70" s="24"/>
      <c r="K70" s="20">
        <f t="shared" ref="K70:K87" si="14">B70+E70+H70</f>
        <v>9570</v>
      </c>
      <c r="L70" s="20">
        <f t="shared" ref="L70:L87" si="15">D70+G70+J70</f>
        <v>8617</v>
      </c>
      <c r="M70" s="13">
        <f t="shared" ref="M70:M77" si="16">100-L70*100/K70</f>
        <v>9.9582027168234077</v>
      </c>
      <c r="N70" s="4"/>
    </row>
    <row r="71" spans="1:14" x14ac:dyDescent="0.25">
      <c r="A71" s="23" t="s">
        <v>102</v>
      </c>
      <c r="B71" s="8">
        <v>6040</v>
      </c>
      <c r="C71" s="4" t="s">
        <v>105</v>
      </c>
      <c r="D71" s="24">
        <v>5711</v>
      </c>
      <c r="E71" s="24">
        <v>7300</v>
      </c>
      <c r="F71" s="4"/>
      <c r="G71" s="27">
        <v>6102</v>
      </c>
      <c r="H71" s="24"/>
      <c r="I71" s="4"/>
      <c r="J71" s="24"/>
      <c r="K71" s="20">
        <f t="shared" si="14"/>
        <v>13340</v>
      </c>
      <c r="L71" s="20">
        <f t="shared" si="15"/>
        <v>11813</v>
      </c>
      <c r="M71" s="13">
        <f t="shared" si="16"/>
        <v>11.446776611694148</v>
      </c>
      <c r="N71" s="4"/>
    </row>
    <row r="72" spans="1:14" x14ac:dyDescent="0.25">
      <c r="A72" s="23" t="s">
        <v>103</v>
      </c>
      <c r="B72" s="8">
        <v>6040</v>
      </c>
      <c r="C72" s="4" t="s">
        <v>105</v>
      </c>
      <c r="D72" s="24">
        <v>5711</v>
      </c>
      <c r="E72" s="24">
        <v>7300</v>
      </c>
      <c r="F72" s="4"/>
      <c r="G72" s="27">
        <v>6102</v>
      </c>
      <c r="H72" s="24"/>
      <c r="I72" s="4"/>
      <c r="J72" s="24"/>
      <c r="K72" s="20">
        <f t="shared" si="14"/>
        <v>13340</v>
      </c>
      <c r="L72" s="20">
        <f t="shared" si="15"/>
        <v>11813</v>
      </c>
      <c r="M72" s="13">
        <f t="shared" si="16"/>
        <v>11.446776611694148</v>
      </c>
      <c r="N72" s="4"/>
    </row>
    <row r="73" spans="1:14" x14ac:dyDescent="0.25">
      <c r="A73" s="23" t="s">
        <v>104</v>
      </c>
      <c r="B73" s="8">
        <v>5520</v>
      </c>
      <c r="C73" s="4"/>
      <c r="D73" s="24">
        <v>5452</v>
      </c>
      <c r="E73" s="24"/>
      <c r="F73" s="4"/>
      <c r="G73" s="27"/>
      <c r="H73" s="24"/>
      <c r="I73" s="4"/>
      <c r="J73" s="24"/>
      <c r="K73" s="20">
        <f t="shared" si="14"/>
        <v>5520</v>
      </c>
      <c r="L73" s="20">
        <f t="shared" si="15"/>
        <v>5452</v>
      </c>
      <c r="M73" s="13">
        <f t="shared" si="16"/>
        <v>1.2318840579710155</v>
      </c>
      <c r="N73" s="4"/>
    </row>
    <row r="74" spans="1:14" x14ac:dyDescent="0.25">
      <c r="A74" s="23" t="s">
        <v>106</v>
      </c>
      <c r="B74" s="8">
        <v>730</v>
      </c>
      <c r="C74" s="4"/>
      <c r="D74" s="24">
        <v>697</v>
      </c>
      <c r="E74" s="24">
        <v>1250</v>
      </c>
      <c r="F74" s="4"/>
      <c r="G74" s="27">
        <v>954</v>
      </c>
      <c r="H74" s="24"/>
      <c r="I74" s="4"/>
      <c r="J74" s="24"/>
      <c r="K74" s="20">
        <f t="shared" si="14"/>
        <v>1980</v>
      </c>
      <c r="L74" s="20">
        <f t="shared" si="15"/>
        <v>1651</v>
      </c>
      <c r="M74" s="13">
        <f t="shared" si="16"/>
        <v>16.616161616161619</v>
      </c>
      <c r="N74" s="4"/>
    </row>
    <row r="75" spans="1:14" x14ac:dyDescent="0.25">
      <c r="A75" s="23" t="s">
        <v>107</v>
      </c>
      <c r="B75" s="8">
        <v>650</v>
      </c>
      <c r="C75" s="4"/>
      <c r="D75" s="27">
        <v>365</v>
      </c>
      <c r="E75" s="24"/>
      <c r="F75" s="4"/>
      <c r="G75" s="27"/>
      <c r="H75" s="24"/>
      <c r="I75" s="4"/>
      <c r="J75" s="24"/>
      <c r="K75" s="20">
        <f t="shared" si="14"/>
        <v>650</v>
      </c>
      <c r="L75" s="20">
        <f t="shared" si="15"/>
        <v>365</v>
      </c>
      <c r="M75" s="13">
        <f t="shared" si="16"/>
        <v>43.846153846153847</v>
      </c>
      <c r="N75" s="4"/>
    </row>
    <row r="76" spans="1:14" ht="30" x14ac:dyDescent="0.25">
      <c r="A76" s="23" t="s">
        <v>108</v>
      </c>
      <c r="B76" s="8">
        <v>11020</v>
      </c>
      <c r="C76" s="4" t="s">
        <v>114</v>
      </c>
      <c r="D76" s="24">
        <v>8995</v>
      </c>
      <c r="E76" s="24"/>
      <c r="F76" s="4"/>
      <c r="G76" s="27"/>
      <c r="H76" s="24"/>
      <c r="I76" s="4"/>
      <c r="J76" s="24"/>
      <c r="K76" s="20">
        <f t="shared" si="14"/>
        <v>11020</v>
      </c>
      <c r="L76" s="20">
        <f t="shared" si="15"/>
        <v>8995</v>
      </c>
      <c r="M76" s="13">
        <f t="shared" si="16"/>
        <v>18.37568058076225</v>
      </c>
      <c r="N76" s="4"/>
    </row>
    <row r="77" spans="1:14" x14ac:dyDescent="0.25">
      <c r="A77" s="23" t="s">
        <v>109</v>
      </c>
      <c r="B77" s="8">
        <v>950</v>
      </c>
      <c r="C77" s="4" t="s">
        <v>112</v>
      </c>
      <c r="D77" s="24">
        <v>495</v>
      </c>
      <c r="E77" s="24">
        <v>9520</v>
      </c>
      <c r="F77" s="4" t="s">
        <v>110</v>
      </c>
      <c r="G77" s="27">
        <v>9322</v>
      </c>
      <c r="H77" s="24"/>
      <c r="I77" s="4"/>
      <c r="J77" s="24"/>
      <c r="K77" s="20">
        <f t="shared" si="14"/>
        <v>10470</v>
      </c>
      <c r="L77" s="20">
        <f t="shared" si="15"/>
        <v>9817</v>
      </c>
      <c r="M77" s="13">
        <f t="shared" si="16"/>
        <v>6.2368672397325753</v>
      </c>
      <c r="N77" s="4"/>
    </row>
    <row r="78" spans="1:14" x14ac:dyDescent="0.25">
      <c r="A78" s="23" t="s">
        <v>111</v>
      </c>
      <c r="B78" s="8">
        <v>5425</v>
      </c>
      <c r="C78" s="4" t="s">
        <v>113</v>
      </c>
      <c r="D78" s="24">
        <v>3660</v>
      </c>
      <c r="E78" s="24"/>
      <c r="F78" s="4"/>
      <c r="G78" s="27"/>
      <c r="H78" s="24"/>
      <c r="I78" s="4"/>
      <c r="J78" s="24"/>
      <c r="K78" s="20">
        <f t="shared" si="14"/>
        <v>5425</v>
      </c>
      <c r="L78" s="20">
        <f t="shared" si="15"/>
        <v>3660</v>
      </c>
      <c r="M78" s="13">
        <f t="shared" ref="M78:M87" si="17">100-L78*100/K78</f>
        <v>32.534562211981566</v>
      </c>
      <c r="N78" s="4"/>
    </row>
    <row r="79" spans="1:14" x14ac:dyDescent="0.25">
      <c r="A79" s="23" t="s">
        <v>117</v>
      </c>
      <c r="B79" s="8">
        <v>740</v>
      </c>
      <c r="C79" s="4" t="s">
        <v>116</v>
      </c>
      <c r="D79" s="24">
        <v>740</v>
      </c>
      <c r="E79" s="24"/>
      <c r="F79" s="4"/>
      <c r="G79" s="27"/>
      <c r="H79" s="24"/>
      <c r="I79" s="4"/>
      <c r="J79" s="24"/>
      <c r="K79" s="20">
        <f t="shared" si="14"/>
        <v>740</v>
      </c>
      <c r="L79" s="20">
        <f t="shared" si="15"/>
        <v>740</v>
      </c>
      <c r="M79" s="13">
        <f t="shared" si="17"/>
        <v>0</v>
      </c>
      <c r="N79" s="4"/>
    </row>
    <row r="80" spans="1:14" x14ac:dyDescent="0.25">
      <c r="A80" s="23" t="s">
        <v>118</v>
      </c>
      <c r="B80" s="8">
        <v>18854</v>
      </c>
      <c r="C80" s="4" t="s">
        <v>101</v>
      </c>
      <c r="D80" s="24">
        <v>16251</v>
      </c>
      <c r="E80" s="24"/>
      <c r="F80" s="4"/>
      <c r="G80" s="27"/>
      <c r="H80" s="24">
        <v>2250</v>
      </c>
      <c r="I80" s="4" t="s">
        <v>115</v>
      </c>
      <c r="J80" s="24">
        <v>2180</v>
      </c>
      <c r="K80" s="20">
        <f t="shared" si="14"/>
        <v>21104</v>
      </c>
      <c r="L80" s="20">
        <f t="shared" si="15"/>
        <v>18431</v>
      </c>
      <c r="M80" s="13">
        <f t="shared" si="17"/>
        <v>12.665845337376794</v>
      </c>
      <c r="N80" s="4"/>
    </row>
    <row r="81" spans="1:14" x14ac:dyDescent="0.25">
      <c r="A81" s="23" t="s">
        <v>119</v>
      </c>
      <c r="B81" s="8">
        <v>18854</v>
      </c>
      <c r="C81" s="4" t="s">
        <v>101</v>
      </c>
      <c r="D81" s="24">
        <v>16251</v>
      </c>
      <c r="E81" s="24"/>
      <c r="F81" s="4"/>
      <c r="G81" s="27"/>
      <c r="H81" s="24">
        <v>2250</v>
      </c>
      <c r="I81" s="4" t="s">
        <v>115</v>
      </c>
      <c r="J81" s="24">
        <v>2180</v>
      </c>
      <c r="K81" s="20">
        <f t="shared" si="14"/>
        <v>21104</v>
      </c>
      <c r="L81" s="20">
        <f t="shared" si="15"/>
        <v>18431</v>
      </c>
      <c r="M81" s="13">
        <f t="shared" si="17"/>
        <v>12.665845337376794</v>
      </c>
      <c r="N81" s="4"/>
    </row>
    <row r="82" spans="1:14" x14ac:dyDescent="0.25">
      <c r="A82" s="23" t="s">
        <v>120</v>
      </c>
      <c r="B82" s="8">
        <v>18854</v>
      </c>
      <c r="C82" s="4" t="s">
        <v>101</v>
      </c>
      <c r="D82" s="24">
        <v>16251</v>
      </c>
      <c r="E82" s="24"/>
      <c r="F82" s="4"/>
      <c r="G82" s="27"/>
      <c r="H82" s="24">
        <v>2250</v>
      </c>
      <c r="I82" s="4" t="s">
        <v>115</v>
      </c>
      <c r="J82" s="24">
        <v>2180</v>
      </c>
      <c r="K82" s="20">
        <f t="shared" si="14"/>
        <v>21104</v>
      </c>
      <c r="L82" s="20">
        <f t="shared" si="15"/>
        <v>18431</v>
      </c>
      <c r="M82" s="13">
        <f t="shared" si="17"/>
        <v>12.665845337376794</v>
      </c>
      <c r="N82" s="4"/>
    </row>
    <row r="83" spans="1:14" x14ac:dyDescent="0.25">
      <c r="A83" s="23" t="s">
        <v>121</v>
      </c>
      <c r="B83" s="8">
        <v>18854</v>
      </c>
      <c r="C83" s="4" t="s">
        <v>101</v>
      </c>
      <c r="D83" s="24">
        <v>16251</v>
      </c>
      <c r="E83" s="24"/>
      <c r="F83" s="4"/>
      <c r="G83" s="27"/>
      <c r="H83" s="24">
        <v>2250</v>
      </c>
      <c r="I83" s="4" t="s">
        <v>115</v>
      </c>
      <c r="J83" s="24">
        <v>2180</v>
      </c>
      <c r="K83" s="20">
        <f t="shared" si="14"/>
        <v>21104</v>
      </c>
      <c r="L83" s="20">
        <f t="shared" si="15"/>
        <v>18431</v>
      </c>
      <c r="M83" s="13">
        <f t="shared" si="17"/>
        <v>12.665845337376794</v>
      </c>
      <c r="N83" s="4"/>
    </row>
    <row r="84" spans="1:14" x14ac:dyDescent="0.25">
      <c r="A84" s="23" t="s">
        <v>122</v>
      </c>
      <c r="B84" s="8">
        <v>8350</v>
      </c>
      <c r="C84" s="4" t="s">
        <v>101</v>
      </c>
      <c r="D84" s="24">
        <v>6776</v>
      </c>
      <c r="E84" s="24"/>
      <c r="F84" s="4"/>
      <c r="G84" s="27"/>
      <c r="H84" s="24"/>
      <c r="I84" s="4"/>
      <c r="J84" s="24"/>
      <c r="K84" s="20">
        <f t="shared" si="14"/>
        <v>8350</v>
      </c>
      <c r="L84" s="20">
        <f t="shared" si="15"/>
        <v>6776</v>
      </c>
      <c r="M84" s="13">
        <f t="shared" si="17"/>
        <v>18.850299401197603</v>
      </c>
      <c r="N84" s="4"/>
    </row>
    <row r="85" spans="1:14" x14ac:dyDescent="0.25">
      <c r="A85" s="23" t="s">
        <v>123</v>
      </c>
      <c r="B85" s="8">
        <v>8350</v>
      </c>
      <c r="C85" s="4" t="s">
        <v>101</v>
      </c>
      <c r="D85" s="24">
        <v>6776</v>
      </c>
      <c r="E85" s="24"/>
      <c r="F85" s="4"/>
      <c r="G85" s="27"/>
      <c r="H85" s="24"/>
      <c r="I85" s="4"/>
      <c r="J85" s="25"/>
      <c r="K85" s="20">
        <f t="shared" si="14"/>
        <v>8350</v>
      </c>
      <c r="L85" s="20">
        <f t="shared" si="15"/>
        <v>6776</v>
      </c>
      <c r="M85" s="13">
        <f t="shared" si="17"/>
        <v>18.850299401197603</v>
      </c>
      <c r="N85" s="4"/>
    </row>
    <row r="86" spans="1:14" x14ac:dyDescent="0.25">
      <c r="A86" s="23" t="s">
        <v>124</v>
      </c>
      <c r="B86" s="8">
        <v>8350</v>
      </c>
      <c r="C86" s="4" t="s">
        <v>101</v>
      </c>
      <c r="D86" s="24">
        <v>6776</v>
      </c>
      <c r="E86" s="24"/>
      <c r="F86" s="4"/>
      <c r="G86" s="27"/>
      <c r="H86" s="24"/>
      <c r="I86" s="4"/>
      <c r="J86" s="24"/>
      <c r="K86" s="20">
        <f t="shared" si="14"/>
        <v>8350</v>
      </c>
      <c r="L86" s="20">
        <f t="shared" si="15"/>
        <v>6776</v>
      </c>
      <c r="M86" s="13">
        <f t="shared" si="17"/>
        <v>18.850299401197603</v>
      </c>
      <c r="N86" s="4"/>
    </row>
    <row r="87" spans="1:14" x14ac:dyDescent="0.25">
      <c r="A87" s="23" t="s">
        <v>125</v>
      </c>
      <c r="B87" s="8">
        <v>8350</v>
      </c>
      <c r="C87" s="4" t="s">
        <v>101</v>
      </c>
      <c r="D87" s="24">
        <v>6776</v>
      </c>
      <c r="E87" s="24"/>
      <c r="F87" s="4"/>
      <c r="G87" s="27"/>
      <c r="H87" s="24"/>
      <c r="I87" s="4"/>
      <c r="J87" s="24"/>
      <c r="K87" s="20">
        <f t="shared" si="14"/>
        <v>8350</v>
      </c>
      <c r="L87" s="20">
        <f t="shared" si="15"/>
        <v>6776</v>
      </c>
      <c r="M87" s="13">
        <f t="shared" si="17"/>
        <v>18.850299401197603</v>
      </c>
      <c r="N87" s="4"/>
    </row>
    <row r="88" spans="1:14" x14ac:dyDescent="0.25">
      <c r="A88" s="23" t="s">
        <v>126</v>
      </c>
      <c r="B88" s="17"/>
      <c r="C88" s="4"/>
      <c r="D88" s="24"/>
      <c r="E88" s="24"/>
      <c r="F88" s="4"/>
      <c r="G88" s="27"/>
      <c r="H88" s="24"/>
      <c r="I88" s="4"/>
      <c r="J88" s="24"/>
      <c r="K88" s="20"/>
      <c r="L88" s="20"/>
      <c r="M88" s="13"/>
      <c r="N88" s="4"/>
    </row>
    <row r="89" spans="1:14" x14ac:dyDescent="0.25">
      <c r="A89" s="23" t="s">
        <v>127</v>
      </c>
      <c r="B89" s="8">
        <v>37020</v>
      </c>
      <c r="C89" s="4" t="s">
        <v>136</v>
      </c>
      <c r="D89" s="24">
        <v>30072</v>
      </c>
      <c r="E89" s="24">
        <v>34900</v>
      </c>
      <c r="F89" s="4" t="s">
        <v>66</v>
      </c>
      <c r="G89" s="27">
        <v>34839</v>
      </c>
      <c r="H89" s="24"/>
      <c r="I89" s="4"/>
      <c r="J89" s="24"/>
      <c r="K89" s="20">
        <f t="shared" ref="K89:K96" si="18">B89+E89+H89</f>
        <v>71920</v>
      </c>
      <c r="L89" s="20">
        <f t="shared" ref="L89:L96" si="19">D89+G89+J89</f>
        <v>64911</v>
      </c>
      <c r="M89" s="13">
        <f t="shared" ref="M89:M96" si="20">100-L89*100/K89</f>
        <v>9.7455506117908755</v>
      </c>
      <c r="N89" s="4"/>
    </row>
    <row r="90" spans="1:14" x14ac:dyDescent="0.25">
      <c r="A90" s="23" t="s">
        <v>128</v>
      </c>
      <c r="B90" s="8">
        <v>2100</v>
      </c>
      <c r="C90" s="4" t="s">
        <v>137</v>
      </c>
      <c r="D90" s="24">
        <v>1890</v>
      </c>
      <c r="E90" s="24">
        <v>1100</v>
      </c>
      <c r="F90" s="4" t="s">
        <v>138</v>
      </c>
      <c r="G90" s="27">
        <v>1042</v>
      </c>
      <c r="H90" s="24"/>
      <c r="I90" s="4"/>
      <c r="J90" s="24"/>
      <c r="K90" s="20">
        <f t="shared" si="18"/>
        <v>3200</v>
      </c>
      <c r="L90" s="20">
        <f t="shared" si="19"/>
        <v>2932</v>
      </c>
      <c r="M90" s="13">
        <f t="shared" si="20"/>
        <v>8.375</v>
      </c>
      <c r="N90" s="4"/>
    </row>
    <row r="91" spans="1:14" x14ac:dyDescent="0.25">
      <c r="A91" s="23" t="s">
        <v>129</v>
      </c>
      <c r="B91" s="8">
        <v>3135</v>
      </c>
      <c r="C91" s="4" t="s">
        <v>139</v>
      </c>
      <c r="D91" s="24">
        <v>3135</v>
      </c>
      <c r="E91" s="24"/>
      <c r="F91" s="4"/>
      <c r="G91" s="27"/>
      <c r="H91" s="24"/>
      <c r="I91" s="4"/>
      <c r="J91" s="24"/>
      <c r="K91" s="20">
        <f t="shared" si="18"/>
        <v>3135</v>
      </c>
      <c r="L91" s="20">
        <f t="shared" si="19"/>
        <v>3135</v>
      </c>
      <c r="M91" s="13">
        <f t="shared" si="20"/>
        <v>0</v>
      </c>
      <c r="N91" s="4"/>
    </row>
    <row r="92" spans="1:14" x14ac:dyDescent="0.25">
      <c r="A92" s="23" t="s">
        <v>130</v>
      </c>
      <c r="B92" s="8">
        <v>5975</v>
      </c>
      <c r="C92" s="4" t="s">
        <v>101</v>
      </c>
      <c r="D92" s="24">
        <v>4229.8220000000001</v>
      </c>
      <c r="E92" s="24"/>
      <c r="F92" s="4"/>
      <c r="G92" s="27"/>
      <c r="H92" s="24"/>
      <c r="I92" s="4"/>
      <c r="J92" s="24"/>
      <c r="K92" s="20">
        <f t="shared" si="18"/>
        <v>5975</v>
      </c>
      <c r="L92" s="20">
        <f t="shared" si="19"/>
        <v>4229.8220000000001</v>
      </c>
      <c r="M92" s="13">
        <f t="shared" si="20"/>
        <v>29.207999999999998</v>
      </c>
      <c r="N92" s="4"/>
    </row>
    <row r="93" spans="1:14" x14ac:dyDescent="0.25">
      <c r="A93" s="23" t="s">
        <v>131</v>
      </c>
      <c r="B93" s="8">
        <v>6878</v>
      </c>
      <c r="C93" s="4" t="s">
        <v>101</v>
      </c>
      <c r="D93" s="25">
        <v>7028</v>
      </c>
      <c r="E93" s="24"/>
      <c r="F93" s="4"/>
      <c r="G93" s="27"/>
      <c r="H93" s="24"/>
      <c r="I93" s="4"/>
      <c r="J93" s="24"/>
      <c r="K93" s="20">
        <f t="shared" si="18"/>
        <v>6878</v>
      </c>
      <c r="L93" s="20">
        <f t="shared" si="19"/>
        <v>7028</v>
      </c>
      <c r="M93" s="19">
        <f t="shared" si="20"/>
        <v>-2.1808665309683022</v>
      </c>
      <c r="N93" s="4"/>
    </row>
    <row r="94" spans="1:14" x14ac:dyDescent="0.25">
      <c r="A94" s="23" t="s">
        <v>132</v>
      </c>
      <c r="B94" s="8">
        <v>9300</v>
      </c>
      <c r="C94" s="4" t="s">
        <v>101</v>
      </c>
      <c r="D94" s="24">
        <v>6942</v>
      </c>
      <c r="E94" s="24"/>
      <c r="F94" s="4"/>
      <c r="G94" s="27"/>
      <c r="H94" s="24"/>
      <c r="I94" s="4"/>
      <c r="J94" s="24"/>
      <c r="K94" s="20">
        <f t="shared" si="18"/>
        <v>9300</v>
      </c>
      <c r="L94" s="20">
        <f t="shared" si="19"/>
        <v>6942</v>
      </c>
      <c r="M94" s="13">
        <f t="shared" si="20"/>
        <v>25.354838709677423</v>
      </c>
      <c r="N94" s="4"/>
    </row>
    <row r="95" spans="1:14" x14ac:dyDescent="0.25">
      <c r="A95" s="23" t="s">
        <v>133</v>
      </c>
      <c r="B95" s="8">
        <v>1700</v>
      </c>
      <c r="C95" s="4" t="s">
        <v>136</v>
      </c>
      <c r="D95" s="24">
        <v>1563</v>
      </c>
      <c r="E95" s="24">
        <v>2140</v>
      </c>
      <c r="F95" s="4" t="s">
        <v>138</v>
      </c>
      <c r="G95" s="27">
        <v>1940</v>
      </c>
      <c r="H95" s="24">
        <f>1825+690</f>
        <v>2515</v>
      </c>
      <c r="I95" s="4" t="s">
        <v>148</v>
      </c>
      <c r="J95" s="24">
        <f>1904+606</f>
        <v>2510</v>
      </c>
      <c r="K95" s="20">
        <f t="shared" si="18"/>
        <v>6355</v>
      </c>
      <c r="L95" s="20">
        <f t="shared" si="19"/>
        <v>6013</v>
      </c>
      <c r="M95" s="13">
        <f t="shared" si="20"/>
        <v>5.3815892997639594</v>
      </c>
      <c r="N95" s="4"/>
    </row>
    <row r="96" spans="1:14" x14ac:dyDescent="0.25">
      <c r="A96" s="23" t="s">
        <v>134</v>
      </c>
      <c r="B96" s="8">
        <v>16080</v>
      </c>
      <c r="C96" s="4" t="s">
        <v>144</v>
      </c>
      <c r="D96" s="24">
        <v>15776</v>
      </c>
      <c r="E96" s="24">
        <v>14000</v>
      </c>
      <c r="F96" s="4" t="s">
        <v>145</v>
      </c>
      <c r="G96" s="27">
        <v>8460</v>
      </c>
      <c r="H96" s="24"/>
      <c r="I96" s="4"/>
      <c r="J96" s="24"/>
      <c r="K96" s="20">
        <f t="shared" si="18"/>
        <v>30080</v>
      </c>
      <c r="L96" s="20">
        <f t="shared" si="19"/>
        <v>24236</v>
      </c>
      <c r="M96" s="13">
        <f t="shared" si="20"/>
        <v>19.428191489361708</v>
      </c>
      <c r="N96" s="4"/>
    </row>
    <row r="97" spans="1:14" x14ac:dyDescent="0.25">
      <c r="A97" s="23" t="s">
        <v>135</v>
      </c>
      <c r="B97" s="17"/>
      <c r="C97" s="4" t="s">
        <v>189</v>
      </c>
      <c r="D97" s="24"/>
      <c r="E97" s="24"/>
      <c r="F97" s="4"/>
      <c r="G97" s="27"/>
      <c r="H97" s="24"/>
      <c r="I97" s="4"/>
      <c r="J97" s="24"/>
      <c r="K97" s="20"/>
      <c r="L97" s="20"/>
      <c r="M97" s="13"/>
      <c r="N97" s="4"/>
    </row>
    <row r="98" spans="1:14" x14ac:dyDescent="0.25">
      <c r="A98" s="23" t="s">
        <v>140</v>
      </c>
      <c r="B98" s="8">
        <v>2290</v>
      </c>
      <c r="C98" s="4" t="s">
        <v>147</v>
      </c>
      <c r="D98" s="24">
        <v>1798</v>
      </c>
      <c r="E98" s="24">
        <v>2760</v>
      </c>
      <c r="F98" s="4" t="s">
        <v>146</v>
      </c>
      <c r="G98" s="27">
        <v>2742</v>
      </c>
      <c r="H98" s="24"/>
      <c r="I98" s="4"/>
      <c r="J98" s="24"/>
      <c r="K98" s="20">
        <f t="shared" ref="K98:K112" si="21">B98+E98+H98</f>
        <v>5050</v>
      </c>
      <c r="L98" s="20">
        <f t="shared" ref="L98:L112" si="22">D98+G98+J98</f>
        <v>4540</v>
      </c>
      <c r="M98" s="13">
        <f t="shared" ref="M98:M112" si="23">100-L98*100/K98</f>
        <v>10.099009900990097</v>
      </c>
      <c r="N98" s="4"/>
    </row>
    <row r="99" spans="1:14" x14ac:dyDescent="0.25">
      <c r="A99" s="23" t="s">
        <v>141</v>
      </c>
      <c r="B99" s="8">
        <f>880+560+650+850+420+168</f>
        <v>3528</v>
      </c>
      <c r="C99" s="4" t="s">
        <v>101</v>
      </c>
      <c r="D99" s="24">
        <v>2841.94</v>
      </c>
      <c r="E99" s="24"/>
      <c r="F99" s="4"/>
      <c r="G99" s="27"/>
      <c r="H99" s="24"/>
      <c r="I99" s="4"/>
      <c r="J99" s="24"/>
      <c r="K99" s="20">
        <f t="shared" si="21"/>
        <v>3528</v>
      </c>
      <c r="L99" s="20">
        <f t="shared" si="22"/>
        <v>2841.94</v>
      </c>
      <c r="M99" s="13">
        <f t="shared" si="23"/>
        <v>19.446145124716551</v>
      </c>
      <c r="N99" s="4"/>
    </row>
    <row r="100" spans="1:14" x14ac:dyDescent="0.25">
      <c r="A100" s="23" t="s">
        <v>142</v>
      </c>
      <c r="B100" s="8">
        <f>3440+900+1000+900+600+275</f>
        <v>7115</v>
      </c>
      <c r="C100" s="4" t="s">
        <v>101</v>
      </c>
      <c r="D100" s="25">
        <v>7506.92</v>
      </c>
      <c r="E100" s="24"/>
      <c r="F100" s="4"/>
      <c r="G100" s="27"/>
      <c r="H100" s="24"/>
      <c r="I100" s="4"/>
      <c r="J100" s="24"/>
      <c r="K100" s="20">
        <f t="shared" si="21"/>
        <v>7115</v>
      </c>
      <c r="L100" s="20">
        <f t="shared" si="22"/>
        <v>7506.92</v>
      </c>
      <c r="M100" s="13">
        <f t="shared" si="23"/>
        <v>-5.508362614195363</v>
      </c>
      <c r="N100" s="4"/>
    </row>
    <row r="101" spans="1:14" x14ac:dyDescent="0.25">
      <c r="A101" s="23" t="s">
        <v>143</v>
      </c>
      <c r="B101" s="8">
        <f>320+230+270+75</f>
        <v>895</v>
      </c>
      <c r="C101" s="4" t="s">
        <v>101</v>
      </c>
      <c r="D101" s="25">
        <v>1010</v>
      </c>
      <c r="E101" s="24"/>
      <c r="F101" s="4"/>
      <c r="G101" s="27"/>
      <c r="H101" s="24"/>
      <c r="I101" s="4"/>
      <c r="J101" s="24"/>
      <c r="K101" s="20">
        <f t="shared" si="21"/>
        <v>895</v>
      </c>
      <c r="L101" s="20">
        <f t="shared" si="22"/>
        <v>1010</v>
      </c>
      <c r="M101" s="19">
        <f t="shared" si="23"/>
        <v>-12.849162011173178</v>
      </c>
      <c r="N101" s="4"/>
    </row>
    <row r="102" spans="1:14" x14ac:dyDescent="0.25">
      <c r="A102" s="23" t="s">
        <v>149</v>
      </c>
      <c r="B102" s="8">
        <v>450</v>
      </c>
      <c r="C102" s="4" t="s">
        <v>147</v>
      </c>
      <c r="D102" s="24">
        <v>446</v>
      </c>
      <c r="E102" s="24">
        <v>1020</v>
      </c>
      <c r="F102" s="4" t="s">
        <v>146</v>
      </c>
      <c r="G102" s="27">
        <v>810</v>
      </c>
      <c r="H102" s="24"/>
      <c r="I102" s="4"/>
      <c r="J102" s="24"/>
      <c r="K102" s="20">
        <f t="shared" si="21"/>
        <v>1470</v>
      </c>
      <c r="L102" s="20">
        <f t="shared" si="22"/>
        <v>1256</v>
      </c>
      <c r="M102" s="13">
        <f t="shared" si="23"/>
        <v>14.557823129251702</v>
      </c>
      <c r="N102" s="4"/>
    </row>
    <row r="103" spans="1:14" x14ac:dyDescent="0.25">
      <c r="A103" s="23" t="s">
        <v>150</v>
      </c>
      <c r="B103" s="8">
        <v>20650</v>
      </c>
      <c r="C103" s="4" t="s">
        <v>147</v>
      </c>
      <c r="D103" s="24">
        <v>20753.599999999999</v>
      </c>
      <c r="E103" s="24">
        <v>33800</v>
      </c>
      <c r="F103" s="4" t="s">
        <v>166</v>
      </c>
      <c r="G103" s="24">
        <f>16841+10417+2443</f>
        <v>29701</v>
      </c>
      <c r="H103" s="24">
        <v>9800</v>
      </c>
      <c r="I103" s="4" t="s">
        <v>156</v>
      </c>
      <c r="J103" s="24">
        <f>9023</f>
        <v>9023</v>
      </c>
      <c r="K103" s="20">
        <f t="shared" si="21"/>
        <v>64250</v>
      </c>
      <c r="L103" s="20">
        <f t="shared" si="22"/>
        <v>59477.599999999999</v>
      </c>
      <c r="M103" s="13">
        <f t="shared" si="23"/>
        <v>7.4278599221789818</v>
      </c>
      <c r="N103" s="4"/>
    </row>
    <row r="104" spans="1:14" ht="15" customHeight="1" x14ac:dyDescent="0.25">
      <c r="A104" s="23" t="s">
        <v>151</v>
      </c>
      <c r="B104" s="8">
        <v>9400</v>
      </c>
      <c r="C104" s="16" t="s">
        <v>147</v>
      </c>
      <c r="D104" s="24">
        <v>8547</v>
      </c>
      <c r="E104" s="24">
        <v>39950</v>
      </c>
      <c r="F104" s="4" t="s">
        <v>167</v>
      </c>
      <c r="G104" s="24">
        <f>10683+5564</f>
        <v>16247</v>
      </c>
      <c r="H104" s="24">
        <v>11700</v>
      </c>
      <c r="I104" s="4" t="s">
        <v>157</v>
      </c>
      <c r="J104" s="24">
        <v>10800</v>
      </c>
      <c r="K104" s="20">
        <f t="shared" si="21"/>
        <v>61050</v>
      </c>
      <c r="L104" s="20">
        <f t="shared" si="22"/>
        <v>35594</v>
      </c>
      <c r="M104" s="13">
        <f t="shared" si="23"/>
        <v>41.696969696969695</v>
      </c>
      <c r="N104" s="4"/>
    </row>
    <row r="105" spans="1:14" x14ac:dyDescent="0.25">
      <c r="A105" s="23" t="s">
        <v>152</v>
      </c>
      <c r="B105" s="8">
        <v>32920</v>
      </c>
      <c r="C105" s="4" t="s">
        <v>155</v>
      </c>
      <c r="D105" s="24">
        <v>33509</v>
      </c>
      <c r="E105" s="24">
        <v>15900</v>
      </c>
      <c r="F105" s="4" t="s">
        <v>146</v>
      </c>
      <c r="G105" s="27">
        <v>14540</v>
      </c>
      <c r="H105" s="24"/>
      <c r="I105" s="4" t="s">
        <v>169</v>
      </c>
      <c r="J105" s="24"/>
      <c r="K105" s="20">
        <f t="shared" si="21"/>
        <v>48820</v>
      </c>
      <c r="L105" s="20">
        <f t="shared" si="22"/>
        <v>48049</v>
      </c>
      <c r="M105" s="13">
        <f t="shared" si="23"/>
        <v>1.5792707906595638</v>
      </c>
      <c r="N105" s="22" t="s">
        <v>180</v>
      </c>
    </row>
    <row r="106" spans="1:14" ht="15" customHeight="1" x14ac:dyDescent="0.25">
      <c r="A106" s="23" t="s">
        <v>153</v>
      </c>
      <c r="B106" s="8">
        <v>400</v>
      </c>
      <c r="C106" s="16" t="s">
        <v>190</v>
      </c>
      <c r="D106" s="24">
        <v>410</v>
      </c>
      <c r="E106" s="24">
        <v>1100</v>
      </c>
      <c r="F106" s="4" t="s">
        <v>146</v>
      </c>
      <c r="G106" s="27">
        <v>922</v>
      </c>
      <c r="H106" s="24">
        <f>800+1300</f>
        <v>2100</v>
      </c>
      <c r="I106" s="16" t="s">
        <v>170</v>
      </c>
      <c r="J106" s="24">
        <f>750+1448</f>
        <v>2198</v>
      </c>
      <c r="K106" s="20">
        <f t="shared" si="21"/>
        <v>3600</v>
      </c>
      <c r="L106" s="20">
        <f t="shared" si="22"/>
        <v>3530</v>
      </c>
      <c r="M106" s="13">
        <f t="shared" si="23"/>
        <v>1.9444444444444429</v>
      </c>
      <c r="N106" s="4"/>
    </row>
    <row r="107" spans="1:14" ht="14.25" customHeight="1" x14ac:dyDescent="0.25">
      <c r="A107" s="23" t="s">
        <v>154</v>
      </c>
      <c r="B107" s="8">
        <v>400</v>
      </c>
      <c r="C107" s="16" t="s">
        <v>191</v>
      </c>
      <c r="D107" s="24">
        <v>410</v>
      </c>
      <c r="E107" s="24">
        <v>1100</v>
      </c>
      <c r="F107" s="4" t="s">
        <v>146</v>
      </c>
      <c r="G107" s="27">
        <v>922</v>
      </c>
      <c r="H107" s="24">
        <v>800</v>
      </c>
      <c r="I107" s="4" t="s">
        <v>168</v>
      </c>
      <c r="J107" s="24">
        <v>750</v>
      </c>
      <c r="K107" s="20">
        <f t="shared" si="21"/>
        <v>2300</v>
      </c>
      <c r="L107" s="20">
        <f t="shared" si="22"/>
        <v>2082</v>
      </c>
      <c r="M107" s="13">
        <f t="shared" si="23"/>
        <v>9.4782608695652186</v>
      </c>
      <c r="N107" s="4"/>
    </row>
    <row r="108" spans="1:14" x14ac:dyDescent="0.25">
      <c r="A108" s="23" t="s">
        <v>158</v>
      </c>
      <c r="B108" s="8">
        <v>9500</v>
      </c>
      <c r="C108" s="4" t="s">
        <v>165</v>
      </c>
      <c r="D108" s="24">
        <v>7897</v>
      </c>
      <c r="E108" s="24">
        <v>1200</v>
      </c>
      <c r="F108" s="4" t="s">
        <v>146</v>
      </c>
      <c r="G108" s="27">
        <v>1025</v>
      </c>
      <c r="H108" s="24"/>
      <c r="I108" s="4"/>
      <c r="J108" s="24"/>
      <c r="K108" s="20">
        <f t="shared" si="21"/>
        <v>10700</v>
      </c>
      <c r="L108" s="20">
        <f t="shared" si="22"/>
        <v>8922</v>
      </c>
      <c r="M108" s="13">
        <f t="shared" si="23"/>
        <v>16.616822429906549</v>
      </c>
      <c r="N108" s="4"/>
    </row>
    <row r="109" spans="1:14" x14ac:dyDescent="0.25">
      <c r="A109" s="23" t="s">
        <v>159</v>
      </c>
      <c r="B109" s="8">
        <v>9500</v>
      </c>
      <c r="C109" s="4" t="s">
        <v>165</v>
      </c>
      <c r="D109" s="24">
        <v>7897</v>
      </c>
      <c r="E109" s="24">
        <v>1200</v>
      </c>
      <c r="F109" s="4" t="s">
        <v>146</v>
      </c>
      <c r="G109" s="27">
        <v>1025</v>
      </c>
      <c r="H109" s="24"/>
      <c r="I109" s="4"/>
      <c r="J109" s="24"/>
      <c r="K109" s="20">
        <f t="shared" si="21"/>
        <v>10700</v>
      </c>
      <c r="L109" s="20">
        <f t="shared" si="22"/>
        <v>8922</v>
      </c>
      <c r="M109" s="13">
        <f t="shared" si="23"/>
        <v>16.616822429906549</v>
      </c>
      <c r="N109" s="4"/>
    </row>
    <row r="110" spans="1:14" x14ac:dyDescent="0.25">
      <c r="A110" s="23" t="s">
        <v>160</v>
      </c>
      <c r="B110" s="8">
        <v>600</v>
      </c>
      <c r="C110" s="4" t="s">
        <v>136</v>
      </c>
      <c r="D110" s="24">
        <v>435</v>
      </c>
      <c r="E110" s="24">
        <v>1170</v>
      </c>
      <c r="F110" s="4" t="s">
        <v>146</v>
      </c>
      <c r="G110" s="27">
        <v>822</v>
      </c>
      <c r="H110" s="24"/>
      <c r="I110" s="4"/>
      <c r="J110" s="24"/>
      <c r="K110" s="20">
        <f t="shared" si="21"/>
        <v>1770</v>
      </c>
      <c r="L110" s="20">
        <f t="shared" si="22"/>
        <v>1257</v>
      </c>
      <c r="M110" s="13">
        <f t="shared" si="23"/>
        <v>28.983050847457633</v>
      </c>
      <c r="N110" s="4"/>
    </row>
    <row r="111" spans="1:14" x14ac:dyDescent="0.25">
      <c r="A111" s="23" t="s">
        <v>161</v>
      </c>
      <c r="B111" s="8">
        <v>4708</v>
      </c>
      <c r="C111" s="4" t="s">
        <v>136</v>
      </c>
      <c r="D111" s="24">
        <v>5701.3</v>
      </c>
      <c r="E111" s="24">
        <v>2740</v>
      </c>
      <c r="F111" s="4" t="s">
        <v>146</v>
      </c>
      <c r="G111" s="27">
        <v>2104</v>
      </c>
      <c r="H111" s="24"/>
      <c r="I111" s="4"/>
      <c r="J111" s="24"/>
      <c r="K111" s="20">
        <f t="shared" si="21"/>
        <v>7448</v>
      </c>
      <c r="L111" s="20">
        <f t="shared" si="22"/>
        <v>7805.3</v>
      </c>
      <c r="M111" s="19">
        <f t="shared" si="23"/>
        <v>-4.7972610096670252</v>
      </c>
      <c r="N111" s="4"/>
    </row>
    <row r="112" spans="1:14" ht="15" customHeight="1" x14ac:dyDescent="0.25">
      <c r="A112" s="23" t="s">
        <v>162</v>
      </c>
      <c r="B112" s="8">
        <f>2350+900</f>
        <v>3250</v>
      </c>
      <c r="C112" s="4" t="s">
        <v>171</v>
      </c>
      <c r="D112" s="24">
        <v>2759.44</v>
      </c>
      <c r="E112" s="24">
        <v>2350</v>
      </c>
      <c r="F112" s="4" t="s">
        <v>179</v>
      </c>
      <c r="G112" s="27">
        <v>3160.37</v>
      </c>
      <c r="H112" s="24"/>
      <c r="I112" s="4"/>
      <c r="J112" s="24"/>
      <c r="K112" s="20">
        <f t="shared" si="21"/>
        <v>5600</v>
      </c>
      <c r="L112" s="20">
        <f t="shared" si="22"/>
        <v>5919.8099999999995</v>
      </c>
      <c r="M112" s="19">
        <f t="shared" si="23"/>
        <v>-5.7108928571428521</v>
      </c>
      <c r="N112" s="22" t="s">
        <v>175</v>
      </c>
    </row>
    <row r="113" spans="1:14" x14ac:dyDescent="0.25">
      <c r="A113" s="23" t="s">
        <v>163</v>
      </c>
      <c r="B113" s="17"/>
      <c r="C113" s="4" t="s">
        <v>188</v>
      </c>
      <c r="D113" s="24"/>
      <c r="E113" s="24"/>
      <c r="F113" s="4"/>
      <c r="G113" s="27"/>
      <c r="H113" s="24"/>
      <c r="I113" s="4"/>
      <c r="J113" s="24"/>
      <c r="K113" s="20"/>
      <c r="L113" s="20"/>
      <c r="M113" s="14"/>
      <c r="N113" s="4"/>
    </row>
    <row r="114" spans="1:14" ht="15" customHeight="1" x14ac:dyDescent="0.25">
      <c r="A114" s="23" t="s">
        <v>164</v>
      </c>
      <c r="B114" s="8">
        <f>2254+5632+14080+2251+2251+3449</f>
        <v>29917</v>
      </c>
      <c r="C114" s="4" t="s">
        <v>181</v>
      </c>
      <c r="D114" s="24">
        <v>26644.2</v>
      </c>
      <c r="E114" s="24"/>
      <c r="F114" s="4"/>
      <c r="G114" s="27"/>
      <c r="H114" s="24">
        <f>8168+1323</f>
        <v>9491</v>
      </c>
      <c r="I114" s="4" t="s">
        <v>182</v>
      </c>
      <c r="J114" s="24">
        <v>4531.58</v>
      </c>
      <c r="K114" s="20">
        <f>B114+E114+H114</f>
        <v>39408</v>
      </c>
      <c r="L114" s="20">
        <f>D114+G114+J114</f>
        <v>31175.78</v>
      </c>
      <c r="M114" s="14">
        <f>100-L114*100/K114</f>
        <v>20.889717823792125</v>
      </c>
      <c r="N114" s="4"/>
    </row>
    <row r="115" spans="1:14" x14ac:dyDescent="0.25">
      <c r="A115" s="23" t="s">
        <v>172</v>
      </c>
      <c r="B115" s="8">
        <v>3250</v>
      </c>
      <c r="C115" s="4" t="s">
        <v>147</v>
      </c>
      <c r="D115" s="24">
        <v>2464</v>
      </c>
      <c r="E115" s="24">
        <v>4200</v>
      </c>
      <c r="F115" s="4" t="s">
        <v>186</v>
      </c>
      <c r="G115" s="27">
        <f t="shared" ref="G115:G120" si="24">1628+1939</f>
        <v>3567</v>
      </c>
      <c r="H115" s="24">
        <f>1000</f>
        <v>1000</v>
      </c>
      <c r="I115" s="4" t="s">
        <v>187</v>
      </c>
      <c r="J115" s="24">
        <f t="shared" ref="J115:J120" si="25">811.9</f>
        <v>811.9</v>
      </c>
      <c r="K115" s="20">
        <f t="shared" ref="K115:K120" si="26">B115+E115+H115</f>
        <v>8450</v>
      </c>
      <c r="L115" s="20">
        <f t="shared" ref="L115:L120" si="27">D115+G115+J115</f>
        <v>6842.9</v>
      </c>
      <c r="M115" s="14">
        <f t="shared" ref="M115:M120" si="28">100-L115*100/K115</f>
        <v>19.01893491124261</v>
      </c>
      <c r="N115" s="4"/>
    </row>
    <row r="116" spans="1:14" x14ac:dyDescent="0.25">
      <c r="A116" s="23" t="s">
        <v>173</v>
      </c>
      <c r="B116" s="8">
        <v>3250</v>
      </c>
      <c r="C116" s="4" t="s">
        <v>147</v>
      </c>
      <c r="D116" s="24">
        <v>2464</v>
      </c>
      <c r="E116" s="24">
        <v>4200</v>
      </c>
      <c r="F116" s="4" t="s">
        <v>186</v>
      </c>
      <c r="G116" s="27">
        <f t="shared" si="24"/>
        <v>3567</v>
      </c>
      <c r="H116" s="24">
        <f>1000</f>
        <v>1000</v>
      </c>
      <c r="I116" s="4" t="s">
        <v>187</v>
      </c>
      <c r="J116" s="24">
        <f t="shared" si="25"/>
        <v>811.9</v>
      </c>
      <c r="K116" s="20">
        <f t="shared" si="26"/>
        <v>8450</v>
      </c>
      <c r="L116" s="20">
        <f t="shared" si="27"/>
        <v>6842.9</v>
      </c>
      <c r="M116" s="14">
        <f t="shared" si="28"/>
        <v>19.01893491124261</v>
      </c>
      <c r="N116" s="4"/>
    </row>
    <row r="117" spans="1:14" x14ac:dyDescent="0.25">
      <c r="A117" s="23" t="s">
        <v>174</v>
      </c>
      <c r="B117" s="8">
        <v>3250</v>
      </c>
      <c r="C117" s="4" t="s">
        <v>147</v>
      </c>
      <c r="D117" s="24">
        <v>2464</v>
      </c>
      <c r="E117" s="24">
        <v>4200</v>
      </c>
      <c r="F117" s="4" t="s">
        <v>186</v>
      </c>
      <c r="G117" s="27">
        <f t="shared" si="24"/>
        <v>3567</v>
      </c>
      <c r="H117" s="24">
        <f>1000</f>
        <v>1000</v>
      </c>
      <c r="I117" s="4" t="s">
        <v>187</v>
      </c>
      <c r="J117" s="24">
        <f t="shared" si="25"/>
        <v>811.9</v>
      </c>
      <c r="K117" s="20">
        <f t="shared" si="26"/>
        <v>8450</v>
      </c>
      <c r="L117" s="20">
        <f t="shared" si="27"/>
        <v>6842.9</v>
      </c>
      <c r="M117" s="14">
        <f t="shared" si="28"/>
        <v>19.01893491124261</v>
      </c>
      <c r="N117" s="4"/>
    </row>
    <row r="118" spans="1:14" x14ac:dyDescent="0.25">
      <c r="A118" s="23" t="s">
        <v>183</v>
      </c>
      <c r="B118" s="8">
        <v>3250</v>
      </c>
      <c r="C118" s="4" t="s">
        <v>147</v>
      </c>
      <c r="D118" s="24">
        <v>2464</v>
      </c>
      <c r="E118" s="24">
        <v>4200</v>
      </c>
      <c r="F118" s="4" t="s">
        <v>186</v>
      </c>
      <c r="G118" s="27">
        <f t="shared" si="24"/>
        <v>3567</v>
      </c>
      <c r="H118" s="24">
        <f>1000</f>
        <v>1000</v>
      </c>
      <c r="I118" s="4" t="s">
        <v>187</v>
      </c>
      <c r="J118" s="24">
        <f t="shared" si="25"/>
        <v>811.9</v>
      </c>
      <c r="K118" s="20">
        <f t="shared" si="26"/>
        <v>8450</v>
      </c>
      <c r="L118" s="20">
        <f t="shared" si="27"/>
        <v>6842.9</v>
      </c>
      <c r="M118" s="14">
        <f t="shared" si="28"/>
        <v>19.01893491124261</v>
      </c>
      <c r="N118" s="4"/>
    </row>
    <row r="119" spans="1:14" x14ac:dyDescent="0.25">
      <c r="A119" s="23" t="s">
        <v>184</v>
      </c>
      <c r="B119" s="8">
        <v>3250</v>
      </c>
      <c r="C119" s="4" t="s">
        <v>147</v>
      </c>
      <c r="D119" s="24">
        <v>2464</v>
      </c>
      <c r="E119" s="24">
        <v>4200</v>
      </c>
      <c r="F119" s="4" t="s">
        <v>186</v>
      </c>
      <c r="G119" s="27">
        <f t="shared" si="24"/>
        <v>3567</v>
      </c>
      <c r="H119" s="24">
        <f>1000</f>
        <v>1000</v>
      </c>
      <c r="I119" s="4" t="s">
        <v>187</v>
      </c>
      <c r="J119" s="24">
        <f t="shared" si="25"/>
        <v>811.9</v>
      </c>
      <c r="K119" s="20">
        <f t="shared" si="26"/>
        <v>8450</v>
      </c>
      <c r="L119" s="20">
        <f t="shared" si="27"/>
        <v>6842.9</v>
      </c>
      <c r="M119" s="14">
        <f t="shared" si="28"/>
        <v>19.01893491124261</v>
      </c>
      <c r="N119" s="4"/>
    </row>
    <row r="120" spans="1:14" x14ac:dyDescent="0.25">
      <c r="A120" s="23" t="s">
        <v>185</v>
      </c>
      <c r="B120" s="8">
        <v>3250</v>
      </c>
      <c r="C120" s="4" t="s">
        <v>147</v>
      </c>
      <c r="D120" s="24">
        <v>2464</v>
      </c>
      <c r="E120" s="24">
        <v>4200</v>
      </c>
      <c r="F120" s="4" t="s">
        <v>186</v>
      </c>
      <c r="G120" s="27">
        <f t="shared" si="24"/>
        <v>3567</v>
      </c>
      <c r="H120" s="24">
        <f>1000</f>
        <v>1000</v>
      </c>
      <c r="I120" s="4" t="s">
        <v>187</v>
      </c>
      <c r="J120" s="24">
        <f t="shared" si="25"/>
        <v>811.9</v>
      </c>
      <c r="K120" s="20">
        <f t="shared" si="26"/>
        <v>8450</v>
      </c>
      <c r="L120" s="20">
        <f t="shared" si="27"/>
        <v>6842.9</v>
      </c>
      <c r="M120" s="14">
        <f t="shared" si="28"/>
        <v>19.01893491124261</v>
      </c>
      <c r="N120" s="4"/>
    </row>
    <row r="121" spans="1:14" x14ac:dyDescent="0.25">
      <c r="A121" s="23"/>
      <c r="B121" s="8"/>
      <c r="C121" s="4"/>
      <c r="D121" s="24"/>
      <c r="E121" s="24"/>
      <c r="F121" s="4"/>
      <c r="G121" s="27"/>
      <c r="H121" s="24"/>
      <c r="I121" s="4"/>
      <c r="J121" s="24"/>
      <c r="K121" s="20"/>
      <c r="L121" s="20"/>
      <c r="M121" s="13"/>
      <c r="N121" s="4"/>
    </row>
    <row r="122" spans="1:14" x14ac:dyDescent="0.25">
      <c r="A122" s="11"/>
      <c r="B122" s="8"/>
      <c r="C122" s="4"/>
      <c r="D122" s="9"/>
      <c r="E122" s="9"/>
      <c r="F122" s="4"/>
      <c r="G122" s="15"/>
      <c r="H122" s="9"/>
      <c r="I122" s="4"/>
      <c r="J122" s="24"/>
      <c r="K122" s="35">
        <f>SUM(K2:K121)</f>
        <v>1078129</v>
      </c>
      <c r="L122" s="35">
        <f>SUM(L2:L121)</f>
        <v>895121.57200000028</v>
      </c>
      <c r="M122" s="49">
        <f>100-L122*100/K122</f>
        <v>16.97453903939136</v>
      </c>
      <c r="N122" s="50">
        <f>K122-L122</f>
        <v>183007.42799999972</v>
      </c>
    </row>
  </sheetData>
  <printOptions horizontalCentered="1"/>
  <pageMargins left="0.25" right="0.25" top="0.75" bottom="0.75" header="0.3" footer="0.3"/>
  <pageSetup scale="95" fitToHeight="4" orientation="landscape" r:id="rId1"/>
  <headerFooter>
    <oddFooter>&amp;Z&amp;F&amp;RPage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23"/>
  <sheetViews>
    <sheetView topLeftCell="A88" zoomScaleNormal="100" workbookViewId="0">
      <selection activeCell="L123" sqref="L123:M123"/>
    </sheetView>
  </sheetViews>
  <sheetFormatPr defaultRowHeight="15" x14ac:dyDescent="0.25"/>
  <cols>
    <col min="1" max="1" width="6.28515625" bestFit="1" customWidth="1"/>
    <col min="2" max="2" width="6.42578125" customWidth="1"/>
    <col min="3" max="3" width="14" bestFit="1" customWidth="1"/>
    <col min="4" max="4" width="6.5703125" bestFit="1" customWidth="1"/>
    <col min="5" max="5" width="8" bestFit="1" customWidth="1"/>
    <col min="6" max="6" width="15.28515625" bestFit="1" customWidth="1"/>
    <col min="7" max="7" width="6" bestFit="1" customWidth="1"/>
    <col min="8" max="8" width="6.5703125" bestFit="1" customWidth="1"/>
    <col min="9" max="9" width="13.140625" bestFit="1" customWidth="1"/>
    <col min="10" max="10" width="7" customWidth="1"/>
    <col min="11" max="12" width="9.140625" bestFit="1" customWidth="1"/>
    <col min="13" max="13" width="6.28515625" bestFit="1" customWidth="1"/>
    <col min="14" max="14" width="8.42578125" bestFit="1" customWidth="1"/>
    <col min="15" max="15" width="6.5703125" bestFit="1" customWidth="1"/>
    <col min="16" max="16" width="8.5703125" bestFit="1" customWidth="1"/>
    <col min="17" max="17" width="8" bestFit="1" customWidth="1"/>
  </cols>
  <sheetData>
    <row r="1" spans="1:17" ht="30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6</v>
      </c>
      <c r="I1" s="7" t="s">
        <v>9</v>
      </c>
      <c r="J1" s="3" t="s">
        <v>7</v>
      </c>
      <c r="K1" s="5" t="s">
        <v>10</v>
      </c>
      <c r="L1" s="5" t="s">
        <v>11</v>
      </c>
      <c r="M1" s="12" t="s">
        <v>61</v>
      </c>
      <c r="N1" s="7" t="s">
        <v>1</v>
      </c>
      <c r="O1" s="3" t="s">
        <v>203</v>
      </c>
      <c r="P1" s="7" t="s">
        <v>202</v>
      </c>
      <c r="Q1" s="3" t="s">
        <v>204</v>
      </c>
    </row>
    <row r="2" spans="1:17" x14ac:dyDescent="0.25">
      <c r="A2" s="30">
        <v>114</v>
      </c>
      <c r="B2" s="8">
        <v>1400</v>
      </c>
      <c r="C2" s="4" t="s">
        <v>136</v>
      </c>
      <c r="D2" s="24">
        <v>1265.5</v>
      </c>
      <c r="E2" s="24">
        <v>1500</v>
      </c>
      <c r="F2" s="4" t="s">
        <v>146</v>
      </c>
      <c r="G2" s="24">
        <v>1496</v>
      </c>
      <c r="H2" s="24"/>
      <c r="I2" s="4"/>
      <c r="J2" s="28"/>
      <c r="K2" s="20">
        <f>B2+E2+H2</f>
        <v>2900</v>
      </c>
      <c r="L2" s="20">
        <f>D2+G2+J2</f>
        <v>2761.5</v>
      </c>
      <c r="M2" s="13">
        <f t="shared" ref="M2:M11" si="0">100-L2*100/K2</f>
        <v>4.7758620689655231</v>
      </c>
      <c r="N2" s="4"/>
      <c r="O2" s="34"/>
      <c r="P2" s="34"/>
      <c r="Q2" s="34"/>
    </row>
    <row r="3" spans="1:17" x14ac:dyDescent="0.25">
      <c r="A3" s="30">
        <v>115</v>
      </c>
      <c r="B3" s="8">
        <v>1000</v>
      </c>
      <c r="C3" s="4" t="s">
        <v>196</v>
      </c>
      <c r="D3" s="27">
        <v>958.4</v>
      </c>
      <c r="E3" s="24">
        <v>1050</v>
      </c>
      <c r="F3" s="4" t="s">
        <v>146</v>
      </c>
      <c r="G3" s="24">
        <v>1362</v>
      </c>
      <c r="H3" s="24"/>
      <c r="I3" s="4"/>
      <c r="J3" s="28"/>
      <c r="K3" s="20">
        <f>B3+E3+H3</f>
        <v>2050</v>
      </c>
      <c r="L3" s="20">
        <f>D3+G3+J3</f>
        <v>2320.4</v>
      </c>
      <c r="M3" s="33">
        <f t="shared" si="0"/>
        <v>-13.190243902439022</v>
      </c>
      <c r="N3" s="4"/>
      <c r="O3" s="34"/>
      <c r="P3" s="34"/>
      <c r="Q3" s="34"/>
    </row>
    <row r="4" spans="1:17" ht="15" customHeight="1" x14ac:dyDescent="0.25">
      <c r="A4" s="30">
        <v>116</v>
      </c>
      <c r="B4" s="8">
        <f>2900+950+725</f>
        <v>4575</v>
      </c>
      <c r="C4" s="4" t="s">
        <v>198</v>
      </c>
      <c r="D4" s="26">
        <f>868.78+3075.72+1019.56</f>
        <v>4964.0599999999995</v>
      </c>
      <c r="E4" s="24">
        <v>2800</v>
      </c>
      <c r="F4" s="4" t="s">
        <v>197</v>
      </c>
      <c r="G4" s="24">
        <v>2879.82</v>
      </c>
      <c r="H4" s="26"/>
      <c r="I4" s="4"/>
      <c r="J4" s="29"/>
      <c r="K4" s="20">
        <f>B4+E4+H4+O4</f>
        <v>9875</v>
      </c>
      <c r="L4" s="20">
        <f>D4+G4+J4+Q4</f>
        <v>9523.8799999999992</v>
      </c>
      <c r="M4" s="14">
        <f t="shared" si="0"/>
        <v>3.5556455696202676</v>
      </c>
      <c r="N4" s="4"/>
      <c r="O4" s="34">
        <v>2500</v>
      </c>
      <c r="P4" s="34"/>
      <c r="Q4" s="34">
        <v>1680</v>
      </c>
    </row>
    <row r="5" spans="1:17" x14ac:dyDescent="0.25">
      <c r="A5" s="30">
        <v>117</v>
      </c>
      <c r="B5" s="8">
        <f>3850+725+945+725</f>
        <v>6245</v>
      </c>
      <c r="C5" s="4" t="s">
        <v>192</v>
      </c>
      <c r="D5" s="24">
        <f>574.75+3765.3+877.56+674.5</f>
        <v>5892.1100000000006</v>
      </c>
      <c r="E5" s="24"/>
      <c r="F5" s="7"/>
      <c r="G5" s="24"/>
      <c r="H5" s="24"/>
      <c r="I5" s="7"/>
      <c r="J5" s="24"/>
      <c r="K5" s="20">
        <f>B5+E5+H5</f>
        <v>6245</v>
      </c>
      <c r="L5" s="20">
        <f>D5+G5+J5</f>
        <v>5892.1100000000006</v>
      </c>
      <c r="M5" s="13">
        <f t="shared" si="0"/>
        <v>5.6507606084867916</v>
      </c>
      <c r="N5" s="4"/>
      <c r="O5" s="34"/>
      <c r="P5" s="34"/>
      <c r="Q5" s="34"/>
    </row>
    <row r="6" spans="1:17" x14ac:dyDescent="0.25">
      <c r="A6" s="30">
        <v>118</v>
      </c>
      <c r="B6" s="8">
        <v>1465</v>
      </c>
      <c r="C6" s="4" t="s">
        <v>136</v>
      </c>
      <c r="D6" s="24">
        <v>1749.4124999999999</v>
      </c>
      <c r="E6" s="24">
        <v>2000</v>
      </c>
      <c r="F6" s="4" t="s">
        <v>146</v>
      </c>
      <c r="G6" s="24">
        <v>1697.44</v>
      </c>
      <c r="H6" s="24">
        <f>2600</f>
        <v>2600</v>
      </c>
      <c r="I6" s="28" t="s">
        <v>195</v>
      </c>
      <c r="J6" s="24">
        <v>2161</v>
      </c>
      <c r="K6" s="20">
        <f>B6+E6+H6+O6</f>
        <v>13115</v>
      </c>
      <c r="L6" s="20">
        <f>D6+G6+J6+Q6</f>
        <v>11985.962500000001</v>
      </c>
      <c r="M6" s="13">
        <f t="shared" si="0"/>
        <v>8.60874952344642</v>
      </c>
      <c r="N6" s="4"/>
      <c r="O6" s="34">
        <f>600+4600+1850</f>
        <v>7050</v>
      </c>
      <c r="P6" s="34"/>
      <c r="Q6" s="34">
        <f>400+1092.71+275.2+275.2+4335</f>
        <v>6378.1100000000006</v>
      </c>
    </row>
    <row r="7" spans="1:17" x14ac:dyDescent="0.25">
      <c r="A7" s="30">
        <v>119</v>
      </c>
      <c r="B7" s="8">
        <v>1055</v>
      </c>
      <c r="C7" s="4" t="s">
        <v>136</v>
      </c>
      <c r="D7" s="24">
        <v>1254.57</v>
      </c>
      <c r="E7" s="24">
        <v>1760</v>
      </c>
      <c r="F7" s="4" t="s">
        <v>146</v>
      </c>
      <c r="G7" s="24">
        <v>1697</v>
      </c>
      <c r="H7" s="24"/>
      <c r="I7" s="28"/>
      <c r="J7" s="24"/>
      <c r="K7" s="20">
        <f t="shared" ref="K7:K25" si="1">B7+E7+H7+O7</f>
        <v>9865</v>
      </c>
      <c r="L7" s="20">
        <f t="shared" ref="L7:L25" si="2">D7+G7+J7+Q7</f>
        <v>9329.68</v>
      </c>
      <c r="M7" s="13">
        <f t="shared" si="0"/>
        <v>5.426457171819564</v>
      </c>
      <c r="N7" s="4"/>
      <c r="O7" s="34">
        <f>600+4600+1850</f>
        <v>7050</v>
      </c>
      <c r="P7" s="34"/>
      <c r="Q7" s="34">
        <f>400+1092.71+275.2+275.2+4335</f>
        <v>6378.1100000000006</v>
      </c>
    </row>
    <row r="8" spans="1:17" x14ac:dyDescent="0.25">
      <c r="A8" s="30">
        <v>120</v>
      </c>
      <c r="B8" s="8">
        <v>1055</v>
      </c>
      <c r="C8" s="4" t="s">
        <v>136</v>
      </c>
      <c r="D8" s="24">
        <v>1254.57</v>
      </c>
      <c r="E8" s="24">
        <v>1760</v>
      </c>
      <c r="F8" s="4" t="s">
        <v>146</v>
      </c>
      <c r="G8" s="24">
        <v>1697</v>
      </c>
      <c r="H8" s="24"/>
      <c r="I8" s="4"/>
      <c r="J8" s="24"/>
      <c r="K8" s="20">
        <f t="shared" si="1"/>
        <v>7865</v>
      </c>
      <c r="L8" s="20">
        <f t="shared" si="2"/>
        <v>7529.68</v>
      </c>
      <c r="M8" s="13">
        <f t="shared" si="0"/>
        <v>4.263445645263829</v>
      </c>
      <c r="N8" s="4"/>
      <c r="O8" s="34">
        <f>600+2600+1850</f>
        <v>5050</v>
      </c>
      <c r="P8" s="34"/>
      <c r="Q8" s="34">
        <f>400+1092.71+275.2+275.2+2535</f>
        <v>4578.1100000000006</v>
      </c>
    </row>
    <row r="9" spans="1:17" x14ac:dyDescent="0.25">
      <c r="A9" s="30">
        <v>121</v>
      </c>
      <c r="B9" s="8">
        <v>1465</v>
      </c>
      <c r="C9" s="4" t="s">
        <v>136</v>
      </c>
      <c r="D9" s="24">
        <v>1749.4124999999999</v>
      </c>
      <c r="E9" s="24">
        <v>1760</v>
      </c>
      <c r="F9" s="4" t="s">
        <v>146</v>
      </c>
      <c r="G9" s="24">
        <v>1697</v>
      </c>
      <c r="H9" s="24">
        <f>990</f>
        <v>990</v>
      </c>
      <c r="I9" s="28" t="s">
        <v>217</v>
      </c>
      <c r="J9" s="24">
        <v>1057</v>
      </c>
      <c r="K9" s="20">
        <f t="shared" si="1"/>
        <v>11265</v>
      </c>
      <c r="L9" s="20">
        <f t="shared" si="2"/>
        <v>10885.1525</v>
      </c>
      <c r="M9" s="13">
        <f t="shared" si="0"/>
        <v>3.3719263204616112</v>
      </c>
      <c r="N9" s="4"/>
      <c r="O9" s="34">
        <f>600+4600+1850</f>
        <v>7050</v>
      </c>
      <c r="P9" s="34"/>
      <c r="Q9" s="34">
        <f>400+1096.34+275.2+275.2+4335</f>
        <v>6381.74</v>
      </c>
    </row>
    <row r="10" spans="1:17" x14ac:dyDescent="0.25">
      <c r="A10" s="30">
        <v>122</v>
      </c>
      <c r="B10" s="8">
        <v>1465</v>
      </c>
      <c r="C10" s="4" t="s">
        <v>136</v>
      </c>
      <c r="D10" s="24">
        <v>1749.4124999999999</v>
      </c>
      <c r="E10" s="24">
        <v>1760</v>
      </c>
      <c r="F10" s="4" t="s">
        <v>146</v>
      </c>
      <c r="G10" s="24">
        <v>1697</v>
      </c>
      <c r="H10" s="24">
        <f>990</f>
        <v>990</v>
      </c>
      <c r="I10" s="28" t="s">
        <v>217</v>
      </c>
      <c r="J10" s="24">
        <v>1057</v>
      </c>
      <c r="K10" s="20">
        <f t="shared" si="1"/>
        <v>11265</v>
      </c>
      <c r="L10" s="20">
        <f t="shared" si="2"/>
        <v>10885.1525</v>
      </c>
      <c r="M10" s="13">
        <f t="shared" si="0"/>
        <v>3.3719263204616112</v>
      </c>
      <c r="N10" s="4"/>
      <c r="O10" s="34">
        <f>600+4600+1850</f>
        <v>7050</v>
      </c>
      <c r="P10" s="34"/>
      <c r="Q10" s="34">
        <f>400+1096.34+275.2+275.2+4335</f>
        <v>6381.74</v>
      </c>
    </row>
    <row r="11" spans="1:17" x14ac:dyDescent="0.25">
      <c r="A11" s="30">
        <v>123</v>
      </c>
      <c r="B11" s="8">
        <f>2710+545</f>
        <v>3255</v>
      </c>
      <c r="C11" s="4" t="s">
        <v>136</v>
      </c>
      <c r="D11" s="24">
        <f>820.25+2048.9625</f>
        <v>2869.2125000000001</v>
      </c>
      <c r="E11" s="24">
        <v>4000</v>
      </c>
      <c r="F11" s="4" t="s">
        <v>146</v>
      </c>
      <c r="G11" s="24">
        <v>3967.64</v>
      </c>
      <c r="H11" s="24">
        <f>1700</f>
        <v>1700</v>
      </c>
      <c r="I11" s="28" t="s">
        <v>217</v>
      </c>
      <c r="J11" s="24">
        <v>2056</v>
      </c>
      <c r="K11" s="20">
        <f t="shared" si="1"/>
        <v>11405</v>
      </c>
      <c r="L11" s="20">
        <f t="shared" si="2"/>
        <v>10546.122500000001</v>
      </c>
      <c r="M11" s="13">
        <f t="shared" si="0"/>
        <v>7.5307102148180434</v>
      </c>
      <c r="N11" s="4"/>
      <c r="O11" s="34">
        <f>600+1850</f>
        <v>2450</v>
      </c>
      <c r="P11" s="34"/>
      <c r="Q11" s="34">
        <f>400+837.27+208+208</f>
        <v>1653.27</v>
      </c>
    </row>
    <row r="12" spans="1:17" x14ac:dyDescent="0.25">
      <c r="A12" s="30">
        <v>124</v>
      </c>
      <c r="B12" s="8">
        <v>1465</v>
      </c>
      <c r="C12" s="4" t="s">
        <v>136</v>
      </c>
      <c r="D12" s="24">
        <v>1749.4124999999999</v>
      </c>
      <c r="E12" s="24">
        <v>1760</v>
      </c>
      <c r="F12" s="4" t="s">
        <v>146</v>
      </c>
      <c r="G12" s="24">
        <v>1697</v>
      </c>
      <c r="H12" s="24">
        <f>990</f>
        <v>990</v>
      </c>
      <c r="I12" s="28" t="s">
        <v>217</v>
      </c>
      <c r="J12" s="24">
        <v>1057</v>
      </c>
      <c r="K12" s="20">
        <f t="shared" si="1"/>
        <v>11265</v>
      </c>
      <c r="L12" s="20">
        <f t="shared" si="2"/>
        <v>10885.1525</v>
      </c>
      <c r="M12" s="14">
        <f t="shared" ref="M12:M18" si="3">100-L12*100/K12</f>
        <v>3.3719263204616112</v>
      </c>
      <c r="N12" s="4"/>
      <c r="O12" s="34">
        <f>600+4600+1850</f>
        <v>7050</v>
      </c>
      <c r="P12" s="34"/>
      <c r="Q12" s="34">
        <f>400+1096.34+275.2+275.2+4335</f>
        <v>6381.74</v>
      </c>
    </row>
    <row r="13" spans="1:17" x14ac:dyDescent="0.25">
      <c r="A13" s="30">
        <v>125</v>
      </c>
      <c r="B13" s="8">
        <f>1380</f>
        <v>1380</v>
      </c>
      <c r="C13" s="4" t="s">
        <v>201</v>
      </c>
      <c r="D13" s="24">
        <v>1404</v>
      </c>
      <c r="E13" s="24">
        <v>210</v>
      </c>
      <c r="F13" s="4" t="s">
        <v>200</v>
      </c>
      <c r="G13" s="24">
        <v>229</v>
      </c>
      <c r="H13" s="24"/>
      <c r="I13" s="4"/>
      <c r="J13" s="24"/>
      <c r="K13" s="20">
        <f t="shared" si="1"/>
        <v>4890</v>
      </c>
      <c r="L13" s="20">
        <f t="shared" si="2"/>
        <v>4237</v>
      </c>
      <c r="M13" s="14">
        <f t="shared" si="3"/>
        <v>13.353783231083838</v>
      </c>
      <c r="N13" s="4"/>
      <c r="O13" s="34">
        <f>3300</f>
        <v>3300</v>
      </c>
      <c r="P13" s="34"/>
      <c r="Q13" s="34">
        <v>2604</v>
      </c>
    </row>
    <row r="14" spans="1:17" x14ac:dyDescent="0.25">
      <c r="A14" s="30">
        <v>126</v>
      </c>
      <c r="B14" s="8">
        <f>2710+545</f>
        <v>3255</v>
      </c>
      <c r="C14" s="4" t="s">
        <v>136</v>
      </c>
      <c r="D14" s="24">
        <f>820.25+2048.9625</f>
        <v>2869.2125000000001</v>
      </c>
      <c r="E14" s="24">
        <v>4000</v>
      </c>
      <c r="F14" s="4" t="s">
        <v>146</v>
      </c>
      <c r="G14" s="24">
        <v>3967.64</v>
      </c>
      <c r="H14" s="24"/>
      <c r="I14" s="4"/>
      <c r="J14" s="24"/>
      <c r="K14" s="20">
        <f t="shared" si="1"/>
        <v>9105</v>
      </c>
      <c r="L14" s="20">
        <f t="shared" si="2"/>
        <v>8090.1224999999995</v>
      </c>
      <c r="M14" s="14">
        <f t="shared" si="3"/>
        <v>11.146375617792415</v>
      </c>
      <c r="N14" s="4"/>
      <c r="O14" s="34">
        <f>1850</f>
        <v>1850</v>
      </c>
      <c r="P14" s="34"/>
      <c r="Q14" s="34">
        <f>837.27+208+208</f>
        <v>1253.27</v>
      </c>
    </row>
    <row r="15" spans="1:17" x14ac:dyDescent="0.25">
      <c r="A15" s="30">
        <v>127</v>
      </c>
      <c r="B15" s="8">
        <v>1170</v>
      </c>
      <c r="C15" s="4" t="s">
        <v>136</v>
      </c>
      <c r="D15" s="24">
        <v>1386.8667</v>
      </c>
      <c r="E15" s="24">
        <v>2600</v>
      </c>
      <c r="F15" s="4" t="s">
        <v>146</v>
      </c>
      <c r="G15" s="24">
        <v>2667.2</v>
      </c>
      <c r="H15" s="24">
        <f>900</f>
        <v>900</v>
      </c>
      <c r="I15" s="28" t="s">
        <v>217</v>
      </c>
      <c r="J15" s="24">
        <v>941</v>
      </c>
      <c r="K15" s="20">
        <f t="shared" si="1"/>
        <v>11720</v>
      </c>
      <c r="L15" s="20">
        <f t="shared" si="2"/>
        <v>10983.3367</v>
      </c>
      <c r="M15" s="14">
        <f t="shared" si="3"/>
        <v>6.2855230375426743</v>
      </c>
      <c r="N15" s="4"/>
      <c r="O15" s="34">
        <f>600+4600+1850</f>
        <v>7050</v>
      </c>
      <c r="P15" s="34"/>
      <c r="Q15" s="34">
        <f>400+837.27+208+208+4335</f>
        <v>5988.27</v>
      </c>
    </row>
    <row r="16" spans="1:17" x14ac:dyDescent="0.25">
      <c r="A16" s="30">
        <v>128</v>
      </c>
      <c r="B16" s="8">
        <v>3335</v>
      </c>
      <c r="C16" s="4" t="s">
        <v>136</v>
      </c>
      <c r="D16" s="24">
        <v>3311.97</v>
      </c>
      <c r="E16" s="24">
        <v>6400</v>
      </c>
      <c r="F16" s="4" t="s">
        <v>146</v>
      </c>
      <c r="G16" s="24">
        <v>5714</v>
      </c>
      <c r="H16" s="24">
        <f>2150</f>
        <v>2150</v>
      </c>
      <c r="I16" s="28" t="s">
        <v>217</v>
      </c>
      <c r="J16" s="24">
        <v>1725</v>
      </c>
      <c r="K16" s="20">
        <f t="shared" si="1"/>
        <v>18935</v>
      </c>
      <c r="L16" s="20">
        <f t="shared" si="2"/>
        <v>16739.239999999998</v>
      </c>
      <c r="M16" s="14">
        <f t="shared" si="3"/>
        <v>11.596303142329035</v>
      </c>
      <c r="N16" s="4"/>
      <c r="O16" s="34">
        <f>600+4600+1850</f>
        <v>7050</v>
      </c>
      <c r="P16" s="34"/>
      <c r="Q16" s="34">
        <f>400+837.27+208+208+4335</f>
        <v>5988.27</v>
      </c>
    </row>
    <row r="17" spans="1:17" x14ac:dyDescent="0.25">
      <c r="A17" s="30">
        <v>129</v>
      </c>
      <c r="B17" s="8">
        <v>2710</v>
      </c>
      <c r="C17" s="4" t="s">
        <v>136</v>
      </c>
      <c r="D17" s="24">
        <v>2688.69</v>
      </c>
      <c r="E17" s="24">
        <v>4400</v>
      </c>
      <c r="F17" s="4" t="s">
        <v>146</v>
      </c>
      <c r="G17" s="24">
        <v>3623.28</v>
      </c>
      <c r="H17" s="24">
        <f>1730</f>
        <v>1730</v>
      </c>
      <c r="I17" s="28" t="s">
        <v>217</v>
      </c>
      <c r="J17" s="24">
        <v>1298</v>
      </c>
      <c r="K17" s="20">
        <f t="shared" si="1"/>
        <v>15890</v>
      </c>
      <c r="L17" s="20">
        <f t="shared" si="2"/>
        <v>13598.240000000002</v>
      </c>
      <c r="M17" s="14">
        <f t="shared" si="3"/>
        <v>14.422655758338564</v>
      </c>
      <c r="N17" s="4"/>
      <c r="O17" s="34">
        <f>600+4600+1850</f>
        <v>7050</v>
      </c>
      <c r="P17" s="34"/>
      <c r="Q17" s="34">
        <f>400+837.27+208+208+4335</f>
        <v>5988.27</v>
      </c>
    </row>
    <row r="18" spans="1:17" x14ac:dyDescent="0.25">
      <c r="A18" s="30">
        <v>130</v>
      </c>
      <c r="B18" s="8">
        <v>3620</v>
      </c>
      <c r="C18" s="4" t="s">
        <v>136</v>
      </c>
      <c r="D18" s="24">
        <v>3750.3</v>
      </c>
      <c r="E18" s="24">
        <v>6400</v>
      </c>
      <c r="F18" s="4" t="s">
        <v>146</v>
      </c>
      <c r="G18" s="24">
        <v>5714</v>
      </c>
      <c r="H18" s="24">
        <f>2200</f>
        <v>2200</v>
      </c>
      <c r="I18" s="28" t="s">
        <v>217</v>
      </c>
      <c r="J18" s="24">
        <v>2321</v>
      </c>
      <c r="K18" s="20">
        <f t="shared" si="1"/>
        <v>19270</v>
      </c>
      <c r="L18" s="20">
        <f t="shared" si="2"/>
        <v>17773.57</v>
      </c>
      <c r="M18" s="13">
        <f t="shared" si="3"/>
        <v>7.7655941878567774</v>
      </c>
      <c r="N18" s="4"/>
      <c r="O18" s="34">
        <f>600+4600+1850</f>
        <v>7050</v>
      </c>
      <c r="P18" s="34"/>
      <c r="Q18" s="34">
        <f>400+837.27+208+208+4335</f>
        <v>5988.27</v>
      </c>
    </row>
    <row r="19" spans="1:17" x14ac:dyDescent="0.25">
      <c r="A19" s="30">
        <v>131</v>
      </c>
      <c r="B19" s="8">
        <v>2515</v>
      </c>
      <c r="C19" s="4" t="s">
        <v>136</v>
      </c>
      <c r="D19" s="24">
        <v>3056.4</v>
      </c>
      <c r="E19" s="24">
        <v>3800</v>
      </c>
      <c r="F19" s="4" t="s">
        <v>146</v>
      </c>
      <c r="G19" s="24">
        <v>3484.76</v>
      </c>
      <c r="H19" s="24">
        <f>1700</f>
        <v>1700</v>
      </c>
      <c r="I19" s="37" t="s">
        <v>199</v>
      </c>
      <c r="J19" s="24">
        <v>1854</v>
      </c>
      <c r="K19" s="20">
        <f t="shared" si="1"/>
        <v>15065</v>
      </c>
      <c r="L19" s="20">
        <f t="shared" si="2"/>
        <v>14383.43</v>
      </c>
      <c r="M19" s="14">
        <f t="shared" ref="M19:M26" si="4">100-L19*100/K19</f>
        <v>4.5241951543312382</v>
      </c>
      <c r="N19" s="4"/>
      <c r="O19" s="34">
        <f>600+4600+1850</f>
        <v>7050</v>
      </c>
      <c r="P19" s="34"/>
      <c r="Q19" s="34">
        <f>400+837.27+208+208+4335</f>
        <v>5988.27</v>
      </c>
    </row>
    <row r="20" spans="1:17" x14ac:dyDescent="0.25">
      <c r="A20" s="30">
        <v>132</v>
      </c>
      <c r="B20" s="8">
        <v>1170</v>
      </c>
      <c r="C20" s="4" t="s">
        <v>136</v>
      </c>
      <c r="D20" s="24">
        <v>1386.8667</v>
      </c>
      <c r="E20" s="24">
        <v>2600</v>
      </c>
      <c r="F20" s="4" t="s">
        <v>146</v>
      </c>
      <c r="G20" s="24">
        <v>2667.2</v>
      </c>
      <c r="H20" s="24"/>
      <c r="I20" s="4"/>
      <c r="J20" s="24"/>
      <c r="K20" s="20">
        <f t="shared" si="1"/>
        <v>6220</v>
      </c>
      <c r="L20" s="20">
        <f t="shared" si="2"/>
        <v>5707.3366999999998</v>
      </c>
      <c r="M20" s="14">
        <f t="shared" si="4"/>
        <v>8.2421752411575682</v>
      </c>
      <c r="N20" s="4"/>
      <c r="O20" s="34">
        <f>600+1850</f>
        <v>2450</v>
      </c>
      <c r="P20" s="34"/>
      <c r="Q20" s="34">
        <f>400+837.27+208+208</f>
        <v>1653.27</v>
      </c>
    </row>
    <row r="21" spans="1:17" x14ac:dyDescent="0.25">
      <c r="A21" s="30">
        <v>133</v>
      </c>
      <c r="B21" s="8">
        <v>1170</v>
      </c>
      <c r="C21" s="4" t="s">
        <v>136</v>
      </c>
      <c r="D21" s="24">
        <v>1386.8667</v>
      </c>
      <c r="E21" s="24">
        <v>2600</v>
      </c>
      <c r="F21" s="4" t="s">
        <v>146</v>
      </c>
      <c r="G21" s="24">
        <v>2667.2</v>
      </c>
      <c r="H21" s="24">
        <f>900+950</f>
        <v>1850</v>
      </c>
      <c r="I21" s="28" t="s">
        <v>217</v>
      </c>
      <c r="J21" s="24">
        <f>941+1357</f>
        <v>2298</v>
      </c>
      <c r="K21" s="20">
        <f t="shared" si="1"/>
        <v>8070</v>
      </c>
      <c r="L21" s="20">
        <f>D21+G21+J21+Q21</f>
        <v>8005.3366999999998</v>
      </c>
      <c r="M21" s="14">
        <f t="shared" si="4"/>
        <v>0.8012800495663015</v>
      </c>
      <c r="N21" s="4"/>
      <c r="O21" s="34">
        <f>600+1850</f>
        <v>2450</v>
      </c>
      <c r="P21" s="34"/>
      <c r="Q21" s="34">
        <f>400+837.27+208+208</f>
        <v>1653.27</v>
      </c>
    </row>
    <row r="22" spans="1:17" x14ac:dyDescent="0.25">
      <c r="A22" s="30">
        <v>134</v>
      </c>
      <c r="B22" s="8">
        <v>1465</v>
      </c>
      <c r="C22" s="4" t="s">
        <v>136</v>
      </c>
      <c r="D22" s="24">
        <v>1749.4124999999999</v>
      </c>
      <c r="E22" s="24">
        <v>1800</v>
      </c>
      <c r="F22" s="4" t="s">
        <v>146</v>
      </c>
      <c r="G22" s="24">
        <v>1697</v>
      </c>
      <c r="H22" s="24">
        <f>1500</f>
        <v>1500</v>
      </c>
      <c r="I22" s="28" t="s">
        <v>217</v>
      </c>
      <c r="J22" s="24">
        <v>1057</v>
      </c>
      <c r="K22" s="20">
        <f t="shared" si="1"/>
        <v>6615</v>
      </c>
      <c r="L22" s="20">
        <f t="shared" si="2"/>
        <v>5756.6825000000008</v>
      </c>
      <c r="M22" s="14">
        <f t="shared" si="4"/>
        <v>12.975321239606942</v>
      </c>
      <c r="N22" s="4"/>
      <c r="O22" s="34">
        <f>1850</f>
        <v>1850</v>
      </c>
      <c r="P22" s="34"/>
      <c r="Q22" s="34">
        <f>837.27+208+208</f>
        <v>1253.27</v>
      </c>
    </row>
    <row r="23" spans="1:17" x14ac:dyDescent="0.25">
      <c r="A23" s="30">
        <v>135</v>
      </c>
      <c r="B23" s="8">
        <f>2710+545</f>
        <v>3255</v>
      </c>
      <c r="C23" s="4" t="s">
        <v>136</v>
      </c>
      <c r="D23" s="24">
        <f>820.25+2048.9625</f>
        <v>2869.2125000000001</v>
      </c>
      <c r="E23" s="24">
        <v>4000</v>
      </c>
      <c r="F23" s="4" t="s">
        <v>146</v>
      </c>
      <c r="G23" s="24">
        <v>4002</v>
      </c>
      <c r="H23" s="24">
        <v>1900</v>
      </c>
      <c r="I23" s="28" t="s">
        <v>217</v>
      </c>
      <c r="J23" s="24">
        <v>2056</v>
      </c>
      <c r="K23" s="20">
        <f t="shared" si="1"/>
        <v>11005</v>
      </c>
      <c r="L23" s="20">
        <f t="shared" si="2"/>
        <v>10180.4825</v>
      </c>
      <c r="M23" s="13">
        <f t="shared" si="4"/>
        <v>7.492208087233081</v>
      </c>
      <c r="N23" s="4"/>
      <c r="O23" s="34">
        <f>1850</f>
        <v>1850</v>
      </c>
      <c r="P23" s="34"/>
      <c r="Q23" s="34">
        <f>837.27+208+208</f>
        <v>1253.27</v>
      </c>
    </row>
    <row r="24" spans="1:17" x14ac:dyDescent="0.25">
      <c r="A24" s="30">
        <v>136</v>
      </c>
      <c r="B24" s="8">
        <f>2710+545</f>
        <v>3255</v>
      </c>
      <c r="C24" s="4" t="s">
        <v>136</v>
      </c>
      <c r="D24" s="24">
        <f>820.25+2048.9625</f>
        <v>2869.2125000000001</v>
      </c>
      <c r="E24" s="24">
        <v>4000</v>
      </c>
      <c r="F24" s="4" t="s">
        <v>146</v>
      </c>
      <c r="G24" s="24">
        <v>4002</v>
      </c>
      <c r="H24" s="24"/>
      <c r="I24" s="28"/>
      <c r="J24" s="24"/>
      <c r="K24" s="20">
        <f t="shared" si="1"/>
        <v>9105</v>
      </c>
      <c r="L24" s="20">
        <f t="shared" si="2"/>
        <v>8124.4825000000001</v>
      </c>
      <c r="M24" s="13">
        <f t="shared" si="4"/>
        <v>10.769000549148814</v>
      </c>
      <c r="N24" s="4"/>
      <c r="O24" s="34">
        <f>1850</f>
        <v>1850</v>
      </c>
      <c r="P24" s="34"/>
      <c r="Q24" s="34">
        <f>837.27+208+208</f>
        <v>1253.27</v>
      </c>
    </row>
    <row r="25" spans="1:17" x14ac:dyDescent="0.25">
      <c r="A25" s="30">
        <v>137</v>
      </c>
      <c r="B25" s="8">
        <f>4436+723+942+723</f>
        <v>6824</v>
      </c>
      <c r="C25" s="4" t="s">
        <v>192</v>
      </c>
      <c r="D25" s="24">
        <f>783.84+1019.56+4303.2+944.3</f>
        <v>7050.9000000000005</v>
      </c>
      <c r="E25" s="24"/>
      <c r="F25" s="4"/>
      <c r="G25" s="27"/>
      <c r="H25" s="24"/>
      <c r="I25" s="4"/>
      <c r="J25" s="24"/>
      <c r="K25" s="20">
        <f t="shared" si="1"/>
        <v>9699</v>
      </c>
      <c r="L25" s="20">
        <f t="shared" si="2"/>
        <v>9510.9000000000015</v>
      </c>
      <c r="M25" s="13">
        <f t="shared" si="4"/>
        <v>1.939375193318881</v>
      </c>
      <c r="N25" s="4"/>
      <c r="O25" s="34">
        <f>2875</f>
        <v>2875</v>
      </c>
      <c r="P25" s="34"/>
      <c r="Q25" s="34">
        <v>2460</v>
      </c>
    </row>
    <row r="26" spans="1:17" x14ac:dyDescent="0.25">
      <c r="A26" s="30">
        <v>138</v>
      </c>
      <c r="B26" s="8">
        <v>6770</v>
      </c>
      <c r="C26" s="4" t="s">
        <v>192</v>
      </c>
      <c r="D26" s="24">
        <v>7603.78</v>
      </c>
      <c r="E26" s="24"/>
      <c r="F26" s="4"/>
      <c r="G26" s="27"/>
      <c r="H26" s="24"/>
      <c r="I26" s="4"/>
      <c r="J26" s="24"/>
      <c r="K26" s="21">
        <f>B26+E26+H26</f>
        <v>6770</v>
      </c>
      <c r="L26" s="20">
        <f>D26+G26+J26</f>
        <v>7603.78</v>
      </c>
      <c r="M26" s="33">
        <f t="shared" si="4"/>
        <v>-12.315805022156567</v>
      </c>
      <c r="N26" s="4"/>
      <c r="O26" s="34"/>
      <c r="P26" s="34"/>
      <c r="Q26" s="34"/>
    </row>
    <row r="27" spans="1:17" x14ac:dyDescent="0.25">
      <c r="A27" s="23" t="s">
        <v>193</v>
      </c>
      <c r="B27" s="8">
        <v>2850</v>
      </c>
      <c r="C27" s="4" t="s">
        <v>136</v>
      </c>
      <c r="D27" s="24">
        <v>3278.58</v>
      </c>
      <c r="E27" s="24">
        <v>5350</v>
      </c>
      <c r="F27" s="4" t="s">
        <v>194</v>
      </c>
      <c r="G27" s="27">
        <v>5626</v>
      </c>
      <c r="H27" s="24">
        <v>4400</v>
      </c>
      <c r="I27" s="4" t="s">
        <v>195</v>
      </c>
      <c r="J27" s="24">
        <v>4393</v>
      </c>
      <c r="K27" s="21">
        <f t="shared" ref="K27:K44" si="5">B27+E27+H27</f>
        <v>12600</v>
      </c>
      <c r="L27" s="20">
        <f t="shared" ref="L27:L37" si="6">D27+G27+J27</f>
        <v>13297.58</v>
      </c>
      <c r="M27" s="33">
        <f t="shared" ref="M27:M44" si="7">100-L27*100/K27</f>
        <v>-5.5363492063492004</v>
      </c>
      <c r="N27" s="4"/>
      <c r="O27" s="34"/>
      <c r="P27" s="34"/>
      <c r="Q27" s="34"/>
    </row>
    <row r="28" spans="1:17" x14ac:dyDescent="0.25">
      <c r="A28" s="23" t="s">
        <v>19</v>
      </c>
      <c r="B28" s="8">
        <v>920</v>
      </c>
      <c r="C28" s="4" t="s">
        <v>136</v>
      </c>
      <c r="D28" s="24">
        <v>849.82</v>
      </c>
      <c r="E28" s="24">
        <v>660</v>
      </c>
      <c r="F28" s="4" t="s">
        <v>146</v>
      </c>
      <c r="G28" s="27">
        <v>702</v>
      </c>
      <c r="H28" s="24"/>
      <c r="I28" s="4"/>
      <c r="J28" s="24"/>
      <c r="K28" s="20">
        <f t="shared" si="5"/>
        <v>1580</v>
      </c>
      <c r="L28" s="20">
        <f t="shared" si="6"/>
        <v>1551.8200000000002</v>
      </c>
      <c r="M28" s="13">
        <f t="shared" si="7"/>
        <v>1.7835443037974557</v>
      </c>
      <c r="N28" s="4"/>
      <c r="O28" s="34"/>
      <c r="P28" s="34"/>
      <c r="Q28" s="34"/>
    </row>
    <row r="29" spans="1:17" x14ac:dyDescent="0.25">
      <c r="A29" s="23" t="s">
        <v>20</v>
      </c>
      <c r="B29" s="8">
        <v>920</v>
      </c>
      <c r="C29" s="4" t="s">
        <v>136</v>
      </c>
      <c r="D29" s="24">
        <v>849.82</v>
      </c>
      <c r="E29" s="24">
        <v>660</v>
      </c>
      <c r="F29" s="4" t="s">
        <v>146</v>
      </c>
      <c r="G29" s="27">
        <v>702</v>
      </c>
      <c r="H29" s="24"/>
      <c r="I29" s="4"/>
      <c r="J29" s="24"/>
      <c r="K29" s="20">
        <f t="shared" si="5"/>
        <v>1580</v>
      </c>
      <c r="L29" s="20">
        <f t="shared" si="6"/>
        <v>1551.8200000000002</v>
      </c>
      <c r="M29" s="14">
        <f t="shared" si="7"/>
        <v>1.7835443037974557</v>
      </c>
      <c r="N29" s="4"/>
      <c r="O29" s="34"/>
      <c r="P29" s="34"/>
      <c r="Q29" s="34"/>
    </row>
    <row r="30" spans="1:17" x14ac:dyDescent="0.25">
      <c r="A30" s="23" t="s">
        <v>21</v>
      </c>
      <c r="B30" s="8">
        <v>920</v>
      </c>
      <c r="C30" s="4" t="s">
        <v>136</v>
      </c>
      <c r="D30" s="24">
        <v>849.82</v>
      </c>
      <c r="E30" s="24">
        <v>660</v>
      </c>
      <c r="F30" s="4" t="s">
        <v>146</v>
      </c>
      <c r="G30" s="27">
        <v>702</v>
      </c>
      <c r="H30" s="24"/>
      <c r="I30" s="4"/>
      <c r="J30" s="24"/>
      <c r="K30" s="20">
        <f t="shared" si="5"/>
        <v>1580</v>
      </c>
      <c r="L30" s="20">
        <f t="shared" si="6"/>
        <v>1551.8200000000002</v>
      </c>
      <c r="M30" s="14">
        <f t="shared" si="7"/>
        <v>1.7835443037974557</v>
      </c>
      <c r="N30" s="4"/>
      <c r="O30" s="34"/>
      <c r="P30" s="34"/>
      <c r="Q30" s="34"/>
    </row>
    <row r="31" spans="1:17" x14ac:dyDescent="0.25">
      <c r="A31" s="23" t="s">
        <v>22</v>
      </c>
      <c r="B31" s="8">
        <v>920</v>
      </c>
      <c r="C31" s="4" t="s">
        <v>136</v>
      </c>
      <c r="D31" s="24">
        <v>849.82</v>
      </c>
      <c r="E31" s="24">
        <v>660</v>
      </c>
      <c r="F31" s="4" t="s">
        <v>146</v>
      </c>
      <c r="G31" s="27">
        <v>702</v>
      </c>
      <c r="H31" s="24"/>
      <c r="I31" s="4"/>
      <c r="J31" s="24"/>
      <c r="K31" s="20">
        <f t="shared" si="5"/>
        <v>1580</v>
      </c>
      <c r="L31" s="20">
        <f t="shared" si="6"/>
        <v>1551.8200000000002</v>
      </c>
      <c r="M31" s="13">
        <f t="shared" si="7"/>
        <v>1.7835443037974557</v>
      </c>
      <c r="N31" s="4"/>
      <c r="O31" s="34"/>
      <c r="P31" s="34"/>
      <c r="Q31" s="34"/>
    </row>
    <row r="32" spans="1:17" x14ac:dyDescent="0.25">
      <c r="A32" s="23" t="s">
        <v>23</v>
      </c>
      <c r="B32" s="8">
        <v>920</v>
      </c>
      <c r="C32" s="4" t="s">
        <v>136</v>
      </c>
      <c r="D32" s="24">
        <v>849.82</v>
      </c>
      <c r="E32" s="24">
        <v>660</v>
      </c>
      <c r="F32" s="4" t="s">
        <v>146</v>
      </c>
      <c r="G32" s="27">
        <v>702</v>
      </c>
      <c r="H32" s="24"/>
      <c r="I32" s="4"/>
      <c r="J32" s="24"/>
      <c r="K32" s="20">
        <f t="shared" si="5"/>
        <v>1580</v>
      </c>
      <c r="L32" s="20">
        <f t="shared" si="6"/>
        <v>1551.8200000000002</v>
      </c>
      <c r="M32" s="13">
        <f t="shared" si="7"/>
        <v>1.7835443037974557</v>
      </c>
      <c r="N32" s="4"/>
      <c r="O32" s="34"/>
      <c r="P32" s="34"/>
      <c r="Q32" s="34"/>
    </row>
    <row r="33" spans="1:17" x14ac:dyDescent="0.25">
      <c r="A33" s="23" t="s">
        <v>24</v>
      </c>
      <c r="B33" s="8">
        <f>1200+1600+4500</f>
        <v>7300</v>
      </c>
      <c r="C33" s="4" t="s">
        <v>192</v>
      </c>
      <c r="D33" s="24">
        <v>5945.61</v>
      </c>
      <c r="E33" s="24"/>
      <c r="F33" s="4"/>
      <c r="G33" s="27"/>
      <c r="H33" s="24"/>
      <c r="I33" s="4"/>
      <c r="J33" s="24"/>
      <c r="K33" s="20">
        <f t="shared" si="5"/>
        <v>7300</v>
      </c>
      <c r="L33" s="20">
        <f t="shared" si="6"/>
        <v>5945.61</v>
      </c>
      <c r="M33" s="13">
        <f t="shared" si="7"/>
        <v>18.55328767123288</v>
      </c>
      <c r="N33" s="4"/>
      <c r="O33" s="34"/>
      <c r="P33" s="34"/>
      <c r="Q33" s="34"/>
    </row>
    <row r="34" spans="1:17" x14ac:dyDescent="0.25">
      <c r="A34" s="23" t="s">
        <v>25</v>
      </c>
      <c r="B34" s="17"/>
      <c r="C34" s="4"/>
      <c r="D34" s="24"/>
      <c r="E34" s="24"/>
      <c r="F34" s="4"/>
      <c r="G34" s="27"/>
      <c r="H34" s="24"/>
      <c r="I34" s="4"/>
      <c r="J34" s="24"/>
      <c r="K34" s="20">
        <f t="shared" si="5"/>
        <v>0</v>
      </c>
      <c r="L34" s="20">
        <f t="shared" si="6"/>
        <v>0</v>
      </c>
      <c r="M34" s="13"/>
      <c r="N34" s="4"/>
      <c r="O34" s="34"/>
      <c r="P34" s="34"/>
      <c r="Q34" s="34"/>
    </row>
    <row r="35" spans="1:17" x14ac:dyDescent="0.25">
      <c r="A35" s="23" t="s">
        <v>26</v>
      </c>
      <c r="B35" s="17"/>
      <c r="C35" s="4"/>
      <c r="D35" s="24"/>
      <c r="E35" s="24"/>
      <c r="F35" s="4"/>
      <c r="G35" s="27"/>
      <c r="H35" s="24"/>
      <c r="I35" s="4"/>
      <c r="J35" s="24"/>
      <c r="K35" s="20">
        <f t="shared" si="5"/>
        <v>0</v>
      </c>
      <c r="L35" s="20">
        <f t="shared" si="6"/>
        <v>0</v>
      </c>
      <c r="M35" s="13"/>
      <c r="N35" s="4"/>
      <c r="O35" s="34"/>
      <c r="P35" s="34"/>
      <c r="Q35" s="34"/>
    </row>
    <row r="36" spans="1:17" x14ac:dyDescent="0.25">
      <c r="A36" s="23" t="s">
        <v>27</v>
      </c>
      <c r="B36" s="17"/>
      <c r="C36" s="4"/>
      <c r="D36" s="24"/>
      <c r="E36" s="24"/>
      <c r="F36" s="4"/>
      <c r="G36" s="27"/>
      <c r="H36" s="24"/>
      <c r="I36" s="4"/>
      <c r="J36" s="24"/>
      <c r="K36" s="20">
        <f t="shared" si="5"/>
        <v>0</v>
      </c>
      <c r="L36" s="20">
        <f t="shared" si="6"/>
        <v>0</v>
      </c>
      <c r="M36" s="13"/>
      <c r="N36" s="4"/>
      <c r="O36" s="34"/>
      <c r="P36" s="34"/>
      <c r="Q36" s="34"/>
    </row>
    <row r="37" spans="1:17" x14ac:dyDescent="0.25">
      <c r="A37" s="23" t="s">
        <v>28</v>
      </c>
      <c r="B37" s="17"/>
      <c r="C37" s="4"/>
      <c r="D37" s="24"/>
      <c r="E37" s="24"/>
      <c r="F37" s="4"/>
      <c r="G37" s="27"/>
      <c r="H37" s="24"/>
      <c r="I37" s="4"/>
      <c r="J37" s="24"/>
      <c r="K37" s="20">
        <f t="shared" si="5"/>
        <v>0</v>
      </c>
      <c r="L37" s="20">
        <f t="shared" si="6"/>
        <v>0</v>
      </c>
      <c r="M37" s="13"/>
      <c r="N37" s="4"/>
      <c r="O37" s="34"/>
      <c r="P37" s="34"/>
      <c r="Q37" s="34"/>
    </row>
    <row r="38" spans="1:17" x14ac:dyDescent="0.25">
      <c r="A38" s="23" t="s">
        <v>29</v>
      </c>
      <c r="B38" s="17"/>
      <c r="C38" s="4"/>
      <c r="D38" s="24"/>
      <c r="E38" s="24"/>
      <c r="F38" s="4"/>
      <c r="G38" s="27"/>
      <c r="H38" s="24"/>
      <c r="I38" s="4"/>
      <c r="J38" s="24"/>
      <c r="K38" s="20">
        <f>B38+E38+H38</f>
        <v>0</v>
      </c>
      <c r="L38" s="20">
        <f t="shared" ref="L38:L44" si="8">D38+G38+J38</f>
        <v>0</v>
      </c>
      <c r="M38" s="13"/>
      <c r="N38" s="4"/>
      <c r="O38" s="34"/>
      <c r="P38" s="34"/>
      <c r="Q38" s="34"/>
    </row>
    <row r="39" spans="1:17" x14ac:dyDescent="0.25">
      <c r="A39" s="23" t="s">
        <v>30</v>
      </c>
      <c r="B39" s="8">
        <f>13500+1200+3800+500*105%</f>
        <v>19025</v>
      </c>
      <c r="C39" s="4" t="s">
        <v>207</v>
      </c>
      <c r="D39" s="24">
        <v>17441</v>
      </c>
      <c r="E39" s="8">
        <f>6800+6300*105%</f>
        <v>13415</v>
      </c>
      <c r="F39" s="4" t="s">
        <v>146</v>
      </c>
      <c r="G39" s="27">
        <v>12580</v>
      </c>
      <c r="H39" s="8">
        <f>(2800+1500)*105%</f>
        <v>4515</v>
      </c>
      <c r="I39" s="4" t="s">
        <v>208</v>
      </c>
      <c r="J39" s="24">
        <v>4397</v>
      </c>
      <c r="K39" s="20">
        <f>B39+E39+H39</f>
        <v>36955</v>
      </c>
      <c r="L39" s="20">
        <f t="shared" si="8"/>
        <v>34418</v>
      </c>
      <c r="M39" s="13">
        <f>100-L39*100/K39</f>
        <v>6.8651062102557177</v>
      </c>
      <c r="N39" s="4"/>
      <c r="O39" s="34"/>
      <c r="P39" s="34"/>
      <c r="Q39" s="34"/>
    </row>
    <row r="40" spans="1:17" x14ac:dyDescent="0.25">
      <c r="A40" s="23" t="s">
        <v>35</v>
      </c>
      <c r="B40" s="8">
        <v>6495</v>
      </c>
      <c r="C40" s="4" t="s">
        <v>205</v>
      </c>
      <c r="D40" s="24">
        <v>4827</v>
      </c>
      <c r="E40" s="24"/>
      <c r="F40" s="4"/>
      <c r="G40" s="27"/>
      <c r="H40" s="24"/>
      <c r="I40" s="4"/>
      <c r="J40" s="24"/>
      <c r="K40" s="20">
        <f t="shared" si="5"/>
        <v>6495</v>
      </c>
      <c r="L40" s="20">
        <f t="shared" si="8"/>
        <v>4827</v>
      </c>
      <c r="M40" s="14">
        <f t="shared" si="7"/>
        <v>25.681293302540411</v>
      </c>
      <c r="N40" s="4"/>
      <c r="O40" s="34"/>
      <c r="P40" s="34"/>
      <c r="Q40" s="34"/>
    </row>
    <row r="41" spans="1:17" x14ac:dyDescent="0.25">
      <c r="A41" s="23" t="s">
        <v>36</v>
      </c>
      <c r="B41" s="8">
        <v>4500</v>
      </c>
      <c r="C41" s="4" t="s">
        <v>206</v>
      </c>
      <c r="D41" s="24">
        <v>2867</v>
      </c>
      <c r="E41" s="24"/>
      <c r="F41" s="4"/>
      <c r="G41" s="27"/>
      <c r="H41" s="24"/>
      <c r="I41" s="4"/>
      <c r="J41" s="24"/>
      <c r="K41" s="20">
        <f t="shared" si="5"/>
        <v>4500</v>
      </c>
      <c r="L41" s="20">
        <f t="shared" si="8"/>
        <v>2867</v>
      </c>
      <c r="M41" s="14">
        <f t="shared" si="7"/>
        <v>36.288888888888891</v>
      </c>
      <c r="N41" s="4"/>
      <c r="O41" s="34"/>
      <c r="P41" s="34"/>
      <c r="Q41" s="34"/>
    </row>
    <row r="42" spans="1:17" x14ac:dyDescent="0.25">
      <c r="A42" s="23" t="s">
        <v>37</v>
      </c>
      <c r="B42" s="8">
        <f>17300+ 1600+800</f>
        <v>19700</v>
      </c>
      <c r="C42" s="4" t="s">
        <v>136</v>
      </c>
      <c r="D42" s="24">
        <v>18028</v>
      </c>
      <c r="E42" s="24">
        <v>6835</v>
      </c>
      <c r="F42" s="4" t="s">
        <v>66</v>
      </c>
      <c r="G42" s="27">
        <v>6876.1</v>
      </c>
      <c r="H42" s="24">
        <v>250</v>
      </c>
      <c r="I42" s="4" t="s">
        <v>209</v>
      </c>
      <c r="J42" s="24">
        <v>223</v>
      </c>
      <c r="K42" s="20">
        <f t="shared" si="5"/>
        <v>26785</v>
      </c>
      <c r="L42" s="20">
        <f t="shared" si="8"/>
        <v>25127.1</v>
      </c>
      <c r="M42" s="14">
        <f t="shared" si="7"/>
        <v>6.189658390890429</v>
      </c>
      <c r="N42" s="4"/>
      <c r="O42" s="34"/>
      <c r="P42" s="34"/>
      <c r="Q42" s="34"/>
    </row>
    <row r="43" spans="1:17" x14ac:dyDescent="0.25">
      <c r="A43" s="23" t="s">
        <v>38</v>
      </c>
      <c r="B43" s="8">
        <f>17300+ 1600+800</f>
        <v>19700</v>
      </c>
      <c r="C43" s="4" t="s">
        <v>136</v>
      </c>
      <c r="D43" s="24">
        <v>18028</v>
      </c>
      <c r="E43" s="24">
        <v>6835</v>
      </c>
      <c r="F43" s="4" t="s">
        <v>66</v>
      </c>
      <c r="G43" s="27">
        <v>6876.1</v>
      </c>
      <c r="H43" s="24">
        <v>250</v>
      </c>
      <c r="I43" s="4" t="s">
        <v>209</v>
      </c>
      <c r="J43" s="24">
        <v>223</v>
      </c>
      <c r="K43" s="20">
        <f t="shared" si="5"/>
        <v>26785</v>
      </c>
      <c r="L43" s="20">
        <f t="shared" si="8"/>
        <v>25127.1</v>
      </c>
      <c r="M43" s="14">
        <f t="shared" si="7"/>
        <v>6.189658390890429</v>
      </c>
      <c r="N43" s="4"/>
      <c r="O43" s="34"/>
      <c r="P43" s="34"/>
      <c r="Q43" s="34"/>
    </row>
    <row r="44" spans="1:17" x14ac:dyDescent="0.25">
      <c r="A44" s="23" t="s">
        <v>39</v>
      </c>
      <c r="B44" s="8">
        <v>530</v>
      </c>
      <c r="C44" s="4" t="s">
        <v>136</v>
      </c>
      <c r="D44" s="24">
        <v>526</v>
      </c>
      <c r="E44" s="24">
        <v>850</v>
      </c>
      <c r="F44" s="4" t="s">
        <v>146</v>
      </c>
      <c r="G44" s="27">
        <v>832</v>
      </c>
      <c r="H44" s="24"/>
      <c r="I44" s="4"/>
      <c r="J44" s="24"/>
      <c r="K44" s="20">
        <f t="shared" si="5"/>
        <v>1380</v>
      </c>
      <c r="L44" s="20">
        <f t="shared" si="8"/>
        <v>1358</v>
      </c>
      <c r="M44" s="13">
        <f t="shared" si="7"/>
        <v>1.5942028985507193</v>
      </c>
      <c r="N44" s="4"/>
      <c r="O44" s="34"/>
      <c r="P44" s="34"/>
      <c r="Q44" s="34"/>
    </row>
    <row r="45" spans="1:17" x14ac:dyDescent="0.25">
      <c r="A45" s="23" t="s">
        <v>40</v>
      </c>
      <c r="B45" s="8">
        <v>79</v>
      </c>
      <c r="C45" s="4" t="s">
        <v>136</v>
      </c>
      <c r="D45" s="24">
        <v>84</v>
      </c>
      <c r="E45" s="24">
        <v>130</v>
      </c>
      <c r="F45" s="4" t="s">
        <v>212</v>
      </c>
      <c r="G45" s="27">
        <v>122</v>
      </c>
      <c r="H45" s="24"/>
      <c r="I45" s="4"/>
      <c r="J45" s="24"/>
      <c r="K45" s="20">
        <f t="shared" ref="K45:K56" si="9">B45+E45+H45</f>
        <v>209</v>
      </c>
      <c r="L45" s="20">
        <f t="shared" ref="L45:L56" si="10">D45+G45+J45</f>
        <v>206</v>
      </c>
      <c r="M45" s="13">
        <f t="shared" ref="M45:M56" si="11">100-L45*100/K45</f>
        <v>1.4354066985645915</v>
      </c>
      <c r="N45" s="4"/>
      <c r="O45" s="34"/>
      <c r="P45" s="34"/>
      <c r="Q45" s="34"/>
    </row>
    <row r="46" spans="1:17" ht="30" x14ac:dyDescent="0.25">
      <c r="A46" s="23" t="s">
        <v>60</v>
      </c>
      <c r="B46" s="8">
        <v>79</v>
      </c>
      <c r="C46" s="4" t="s">
        <v>136</v>
      </c>
      <c r="D46" s="24">
        <v>84</v>
      </c>
      <c r="E46" s="24">
        <f>45+130</f>
        <v>175</v>
      </c>
      <c r="F46" s="4" t="s">
        <v>211</v>
      </c>
      <c r="G46" s="27">
        <f>122+122</f>
        <v>244</v>
      </c>
      <c r="H46" s="24"/>
      <c r="I46" s="4"/>
      <c r="J46" s="24"/>
      <c r="K46" s="20">
        <f t="shared" si="9"/>
        <v>254</v>
      </c>
      <c r="L46" s="20">
        <f t="shared" si="10"/>
        <v>328</v>
      </c>
      <c r="M46" s="33">
        <f t="shared" si="11"/>
        <v>-29.133858267716533</v>
      </c>
      <c r="N46" s="4"/>
      <c r="O46" s="34"/>
      <c r="P46" s="34"/>
      <c r="Q46" s="34"/>
    </row>
    <row r="47" spans="1:17" ht="15.75" customHeight="1" x14ac:dyDescent="0.25">
      <c r="A47" s="23" t="s">
        <v>41</v>
      </c>
      <c r="B47" s="8">
        <v>79</v>
      </c>
      <c r="C47" s="4" t="s">
        <v>136</v>
      </c>
      <c r="D47" s="24">
        <v>84</v>
      </c>
      <c r="E47" s="24">
        <v>125</v>
      </c>
      <c r="F47" s="4" t="s">
        <v>212</v>
      </c>
      <c r="G47" s="27">
        <f>122</f>
        <v>122</v>
      </c>
      <c r="H47" s="24">
        <v>450</v>
      </c>
      <c r="I47" s="4" t="s">
        <v>217</v>
      </c>
      <c r="J47" s="24">
        <v>327</v>
      </c>
      <c r="K47" s="20">
        <f t="shared" si="9"/>
        <v>654</v>
      </c>
      <c r="L47" s="20">
        <f t="shared" si="10"/>
        <v>533</v>
      </c>
      <c r="M47" s="14">
        <f t="shared" si="11"/>
        <v>18.501529051987774</v>
      </c>
      <c r="N47" s="4"/>
      <c r="O47" s="34"/>
      <c r="P47" s="34"/>
      <c r="Q47" s="34"/>
    </row>
    <row r="48" spans="1:17" x14ac:dyDescent="0.25">
      <c r="A48" s="23" t="s">
        <v>42</v>
      </c>
      <c r="B48" s="8">
        <v>58</v>
      </c>
      <c r="C48" s="4" t="s">
        <v>136</v>
      </c>
      <c r="D48" s="24">
        <v>55.8</v>
      </c>
      <c r="E48" s="24">
        <v>190</v>
      </c>
      <c r="F48" s="4" t="s">
        <v>146</v>
      </c>
      <c r="G48" s="27">
        <v>184</v>
      </c>
      <c r="H48" s="24"/>
      <c r="I48" s="4"/>
      <c r="J48" s="24"/>
      <c r="K48" s="20">
        <f t="shared" si="9"/>
        <v>248</v>
      </c>
      <c r="L48" s="20">
        <f t="shared" si="10"/>
        <v>239.8</v>
      </c>
      <c r="M48" s="13">
        <f t="shared" si="11"/>
        <v>3.3064516129032313</v>
      </c>
      <c r="N48" s="4"/>
      <c r="O48" s="34"/>
      <c r="P48" s="34"/>
      <c r="Q48" s="34"/>
    </row>
    <row r="49" spans="1:17" x14ac:dyDescent="0.25">
      <c r="A49" s="23" t="s">
        <v>43</v>
      </c>
      <c r="B49" s="8">
        <v>58</v>
      </c>
      <c r="C49" s="4" t="s">
        <v>136</v>
      </c>
      <c r="D49" s="24">
        <v>55.8</v>
      </c>
      <c r="E49" s="24">
        <v>200</v>
      </c>
      <c r="F49" s="4" t="s">
        <v>146</v>
      </c>
      <c r="G49" s="27">
        <v>184</v>
      </c>
      <c r="H49" s="24"/>
      <c r="I49" s="4"/>
      <c r="J49" s="24"/>
      <c r="K49" s="20">
        <f t="shared" si="9"/>
        <v>258</v>
      </c>
      <c r="L49" s="20">
        <f t="shared" si="10"/>
        <v>239.8</v>
      </c>
      <c r="M49" s="13">
        <f t="shared" si="11"/>
        <v>7.0542635658914747</v>
      </c>
      <c r="N49" s="4"/>
      <c r="O49" s="34"/>
      <c r="P49" s="34"/>
      <c r="Q49" s="34"/>
    </row>
    <row r="50" spans="1:17" x14ac:dyDescent="0.25">
      <c r="A50" s="23" t="s">
        <v>44</v>
      </c>
      <c r="B50" s="8">
        <v>58</v>
      </c>
      <c r="C50" s="4" t="s">
        <v>136</v>
      </c>
      <c r="D50" s="24">
        <v>55.8</v>
      </c>
      <c r="E50" s="24">
        <v>200</v>
      </c>
      <c r="F50" s="4" t="s">
        <v>146</v>
      </c>
      <c r="G50" s="27">
        <v>184</v>
      </c>
      <c r="H50" s="24"/>
      <c r="I50" s="4"/>
      <c r="J50" s="24"/>
      <c r="K50" s="20">
        <f t="shared" si="9"/>
        <v>258</v>
      </c>
      <c r="L50" s="20">
        <f t="shared" si="10"/>
        <v>239.8</v>
      </c>
      <c r="M50" s="13">
        <f t="shared" si="11"/>
        <v>7.0542635658914747</v>
      </c>
      <c r="N50" s="4"/>
      <c r="O50" s="34"/>
      <c r="P50" s="34"/>
      <c r="Q50" s="34"/>
    </row>
    <row r="51" spans="1:17" x14ac:dyDescent="0.25">
      <c r="A51" s="23" t="s">
        <v>45</v>
      </c>
      <c r="B51" s="8">
        <v>165</v>
      </c>
      <c r="C51" s="4" t="s">
        <v>136</v>
      </c>
      <c r="D51" s="24">
        <v>139.5</v>
      </c>
      <c r="E51" s="24">
        <v>360</v>
      </c>
      <c r="F51" s="4" t="s">
        <v>146</v>
      </c>
      <c r="G51" s="27">
        <v>358</v>
      </c>
      <c r="H51" s="24"/>
      <c r="I51" s="4"/>
      <c r="J51" s="24"/>
      <c r="K51" s="20">
        <f t="shared" si="9"/>
        <v>525</v>
      </c>
      <c r="L51" s="20">
        <f t="shared" si="10"/>
        <v>497.5</v>
      </c>
      <c r="M51" s="13">
        <f t="shared" si="11"/>
        <v>5.2380952380952408</v>
      </c>
      <c r="N51" s="4"/>
      <c r="O51" s="34"/>
      <c r="P51" s="34"/>
      <c r="Q51" s="34"/>
    </row>
    <row r="52" spans="1:17" x14ac:dyDescent="0.25">
      <c r="A52" s="23" t="s">
        <v>46</v>
      </c>
      <c r="B52" s="8">
        <v>7150</v>
      </c>
      <c r="C52" s="4" t="s">
        <v>210</v>
      </c>
      <c r="D52" s="24">
        <v>6397</v>
      </c>
      <c r="E52" s="24"/>
      <c r="F52" s="4"/>
      <c r="G52" s="27"/>
      <c r="H52" s="24"/>
      <c r="I52" s="4"/>
      <c r="J52" s="24"/>
      <c r="K52" s="20">
        <f t="shared" si="9"/>
        <v>7150</v>
      </c>
      <c r="L52" s="20">
        <f t="shared" si="10"/>
        <v>6397</v>
      </c>
      <c r="M52" s="13">
        <f t="shared" si="11"/>
        <v>10.531468531468533</v>
      </c>
      <c r="N52" s="4"/>
      <c r="O52" s="34"/>
      <c r="P52" s="34"/>
      <c r="Q52" s="34"/>
    </row>
    <row r="53" spans="1:17" x14ac:dyDescent="0.25">
      <c r="A53" s="23" t="s">
        <v>47</v>
      </c>
      <c r="B53" s="17"/>
      <c r="C53" s="4"/>
      <c r="D53" s="24"/>
      <c r="E53" s="24"/>
      <c r="F53" s="4"/>
      <c r="G53" s="27"/>
      <c r="H53" s="24"/>
      <c r="I53" s="4"/>
      <c r="J53" s="24"/>
      <c r="K53" s="20">
        <f t="shared" si="9"/>
        <v>0</v>
      </c>
      <c r="L53" s="20">
        <f t="shared" si="10"/>
        <v>0</v>
      </c>
      <c r="M53" s="13"/>
      <c r="N53" s="4"/>
      <c r="O53" s="34"/>
      <c r="P53" s="34"/>
      <c r="Q53" s="34"/>
    </row>
    <row r="54" spans="1:17" x14ac:dyDescent="0.25">
      <c r="A54" s="23" t="s">
        <v>48</v>
      </c>
      <c r="B54" s="36">
        <v>15000</v>
      </c>
      <c r="C54" s="4" t="s">
        <v>136</v>
      </c>
      <c r="D54" s="24">
        <v>14632.14</v>
      </c>
      <c r="E54" s="24">
        <v>10000</v>
      </c>
      <c r="F54" s="4" t="s">
        <v>146</v>
      </c>
      <c r="G54" s="27">
        <v>11349.64</v>
      </c>
      <c r="H54" s="24">
        <v>1550</v>
      </c>
      <c r="I54" s="4" t="s">
        <v>213</v>
      </c>
      <c r="J54" s="24">
        <v>1557</v>
      </c>
      <c r="K54" s="20">
        <f t="shared" si="9"/>
        <v>26550</v>
      </c>
      <c r="L54" s="20">
        <f t="shared" si="10"/>
        <v>27538.78</v>
      </c>
      <c r="M54" s="33">
        <f t="shared" si="11"/>
        <v>-3.7242184557438804</v>
      </c>
      <c r="N54" s="4"/>
      <c r="O54" s="34"/>
      <c r="P54" s="34"/>
      <c r="Q54" s="34"/>
    </row>
    <row r="55" spans="1:17" x14ac:dyDescent="0.25">
      <c r="A55" s="23" t="s">
        <v>49</v>
      </c>
      <c r="B55" s="17"/>
      <c r="C55" s="16"/>
      <c r="D55" s="24"/>
      <c r="E55" s="24"/>
      <c r="F55" s="4"/>
      <c r="G55" s="27"/>
      <c r="H55" s="24"/>
      <c r="I55" s="4"/>
      <c r="J55" s="24"/>
      <c r="K55" s="20">
        <f t="shared" si="9"/>
        <v>0</v>
      </c>
      <c r="L55" s="20">
        <f t="shared" si="10"/>
        <v>0</v>
      </c>
      <c r="M55" s="13"/>
      <c r="N55" s="4"/>
      <c r="O55" s="34"/>
      <c r="P55" s="34"/>
      <c r="Q55" s="34"/>
    </row>
    <row r="56" spans="1:17" x14ac:dyDescent="0.25">
      <c r="A56" s="23" t="s">
        <v>50</v>
      </c>
      <c r="B56" s="8">
        <f>8620*105/100</f>
        <v>9051</v>
      </c>
      <c r="C56" s="4" t="s">
        <v>214</v>
      </c>
      <c r="D56" s="24">
        <v>6976</v>
      </c>
      <c r="E56" s="24">
        <f>11000*105/100</f>
        <v>11550</v>
      </c>
      <c r="F56" s="4" t="s">
        <v>146</v>
      </c>
      <c r="G56" s="27">
        <v>10578</v>
      </c>
      <c r="H56" s="24">
        <v>2000</v>
      </c>
      <c r="I56" s="4" t="s">
        <v>215</v>
      </c>
      <c r="J56" s="24"/>
      <c r="K56" s="20">
        <f t="shared" si="9"/>
        <v>22601</v>
      </c>
      <c r="L56" s="20">
        <f t="shared" si="10"/>
        <v>17554</v>
      </c>
      <c r="M56" s="13">
        <f t="shared" si="11"/>
        <v>22.330870315472765</v>
      </c>
      <c r="N56" s="4"/>
      <c r="O56" s="34"/>
      <c r="P56" s="34"/>
      <c r="Q56" s="34"/>
    </row>
    <row r="57" spans="1:17" x14ac:dyDescent="0.25">
      <c r="A57" s="23" t="s">
        <v>51</v>
      </c>
      <c r="B57" s="8">
        <f>8620*105/100</f>
        <v>9051</v>
      </c>
      <c r="C57" s="4" t="s">
        <v>214</v>
      </c>
      <c r="D57" s="24">
        <v>6976</v>
      </c>
      <c r="E57" s="24">
        <f>11000*105/100</f>
        <v>11550</v>
      </c>
      <c r="F57" s="4" t="s">
        <v>146</v>
      </c>
      <c r="G57" s="27">
        <v>10578</v>
      </c>
      <c r="H57" s="24"/>
      <c r="I57" s="4"/>
      <c r="J57" s="24"/>
      <c r="K57" s="20">
        <f t="shared" ref="K57:K62" si="12">B57+E57+H57</f>
        <v>20601</v>
      </c>
      <c r="L57" s="20">
        <f t="shared" ref="L57:L71" si="13">D57+G57+J57</f>
        <v>17554</v>
      </c>
      <c r="M57" s="13">
        <f t="shared" ref="M57:M71" si="14">100-L57*100/K57</f>
        <v>14.79054414834232</v>
      </c>
      <c r="N57" s="4"/>
      <c r="O57" s="34"/>
      <c r="P57" s="34"/>
      <c r="Q57" s="34"/>
    </row>
    <row r="58" spans="1:17" x14ac:dyDescent="0.25">
      <c r="A58" s="23" t="s">
        <v>52</v>
      </c>
      <c r="B58" s="8">
        <f>4040</f>
        <v>4040</v>
      </c>
      <c r="C58" s="4" t="s">
        <v>136</v>
      </c>
      <c r="D58" s="24">
        <v>3344.22</v>
      </c>
      <c r="E58" s="24">
        <f>2065+2640</f>
        <v>4705</v>
      </c>
      <c r="F58" s="4" t="s">
        <v>219</v>
      </c>
      <c r="G58" s="24">
        <f>1835.56+2396.91</f>
        <v>4232.4699999999993</v>
      </c>
      <c r="H58" s="24"/>
      <c r="I58" s="4"/>
      <c r="J58" s="24"/>
      <c r="K58" s="20">
        <f t="shared" si="12"/>
        <v>8745</v>
      </c>
      <c r="L58" s="20">
        <f t="shared" si="13"/>
        <v>7576.6899999999987</v>
      </c>
      <c r="M58" s="13">
        <f t="shared" si="14"/>
        <v>13.359748427672969</v>
      </c>
      <c r="N58" s="4"/>
      <c r="O58" s="34"/>
      <c r="P58" s="34"/>
      <c r="Q58" s="34"/>
    </row>
    <row r="59" spans="1:17" x14ac:dyDescent="0.25">
      <c r="A59" s="23" t="s">
        <v>53</v>
      </c>
      <c r="B59" s="17"/>
      <c r="C59" s="4"/>
      <c r="D59" s="24"/>
      <c r="E59" s="24"/>
      <c r="F59" s="4"/>
      <c r="G59" s="27"/>
      <c r="H59" s="24"/>
      <c r="I59" s="4"/>
      <c r="J59" s="24"/>
      <c r="K59" s="20">
        <f t="shared" si="12"/>
        <v>0</v>
      </c>
      <c r="L59" s="20">
        <f t="shared" si="13"/>
        <v>0</v>
      </c>
      <c r="M59" s="13"/>
      <c r="N59" s="4"/>
      <c r="O59" s="34"/>
      <c r="P59" s="34"/>
      <c r="Q59" s="34"/>
    </row>
    <row r="60" spans="1:17" x14ac:dyDescent="0.25">
      <c r="A60" s="23" t="s">
        <v>54</v>
      </c>
      <c r="B60" s="17"/>
      <c r="C60" s="4"/>
      <c r="D60" s="24"/>
      <c r="E60" s="24"/>
      <c r="F60" s="4"/>
      <c r="G60" s="27"/>
      <c r="H60" s="24"/>
      <c r="I60" s="4"/>
      <c r="J60" s="24"/>
      <c r="K60" s="20">
        <f t="shared" si="12"/>
        <v>0</v>
      </c>
      <c r="L60" s="20">
        <f t="shared" si="13"/>
        <v>0</v>
      </c>
      <c r="M60" s="13"/>
      <c r="N60" s="4"/>
      <c r="O60" s="34"/>
      <c r="P60" s="34"/>
      <c r="Q60" s="34"/>
    </row>
    <row r="61" spans="1:17" x14ac:dyDescent="0.25">
      <c r="A61" s="23" t="s">
        <v>55</v>
      </c>
      <c r="B61" s="8">
        <f>5290+2345</f>
        <v>7635</v>
      </c>
      <c r="C61" s="38" t="s">
        <v>221</v>
      </c>
      <c r="D61" s="24">
        <v>7638</v>
      </c>
      <c r="E61" s="24">
        <v>7800</v>
      </c>
      <c r="F61" s="4" t="s">
        <v>146</v>
      </c>
      <c r="G61" s="27">
        <v>6574</v>
      </c>
      <c r="H61" s="24"/>
      <c r="I61" s="4"/>
      <c r="J61" s="24"/>
      <c r="K61" s="20">
        <f t="shared" si="12"/>
        <v>15435</v>
      </c>
      <c r="L61" s="20">
        <f t="shared" si="13"/>
        <v>14212</v>
      </c>
      <c r="M61" s="13">
        <f t="shared" si="14"/>
        <v>7.9235503725299594</v>
      </c>
      <c r="N61" s="4"/>
      <c r="O61" s="34"/>
      <c r="P61" s="34"/>
      <c r="Q61" s="34"/>
    </row>
    <row r="62" spans="1:17" ht="15" customHeight="1" x14ac:dyDescent="0.25">
      <c r="A62" s="23" t="s">
        <v>56</v>
      </c>
      <c r="B62" s="8">
        <f>(2000+2600+1550)*1.026</f>
        <v>6309.9000000000005</v>
      </c>
      <c r="C62" s="4" t="s">
        <v>214</v>
      </c>
      <c r="D62" s="24">
        <f>2955.6+3634.2</f>
        <v>6589.7999999999993</v>
      </c>
      <c r="E62" s="24">
        <f>(3700+1730)*1.026</f>
        <v>5571.18</v>
      </c>
      <c r="F62" s="16" t="s">
        <v>216</v>
      </c>
      <c r="G62" s="27">
        <f>3813+2008.8</f>
        <v>5821.8</v>
      </c>
      <c r="H62" s="24">
        <f>1000+530</f>
        <v>1530</v>
      </c>
      <c r="I62" s="4" t="s">
        <v>223</v>
      </c>
      <c r="J62" s="24">
        <v>1373.5</v>
      </c>
      <c r="K62" s="20">
        <f t="shared" si="12"/>
        <v>13411.080000000002</v>
      </c>
      <c r="L62" s="20">
        <f>D62+G62+J62</f>
        <v>13785.099999999999</v>
      </c>
      <c r="M62" s="33">
        <f t="shared" si="14"/>
        <v>-2.7888879941063323</v>
      </c>
      <c r="N62" s="74" t="s">
        <v>222</v>
      </c>
      <c r="O62" s="75"/>
      <c r="P62" s="34"/>
      <c r="Q62" s="34"/>
    </row>
    <row r="63" spans="1:17" x14ac:dyDescent="0.25">
      <c r="A63" s="23" t="s">
        <v>57</v>
      </c>
      <c r="B63" s="8"/>
      <c r="C63" s="4"/>
      <c r="D63" s="24"/>
      <c r="E63" s="24">
        <v>12100</v>
      </c>
      <c r="F63" s="4" t="s">
        <v>220</v>
      </c>
      <c r="G63" s="27">
        <v>12007</v>
      </c>
      <c r="H63" s="24">
        <v>1170</v>
      </c>
      <c r="I63" s="4" t="s">
        <v>195</v>
      </c>
      <c r="J63" s="24">
        <v>1569</v>
      </c>
      <c r="K63" s="20">
        <f>B63+E63+H63</f>
        <v>13270</v>
      </c>
      <c r="L63" s="20">
        <f>D63+G63+J63</f>
        <v>13576</v>
      </c>
      <c r="M63" s="13">
        <f t="shared" si="14"/>
        <v>-2.3059532780708309</v>
      </c>
      <c r="N63" s="4"/>
      <c r="O63" s="34"/>
      <c r="P63" s="34"/>
      <c r="Q63" s="34"/>
    </row>
    <row r="64" spans="1:17" x14ac:dyDescent="0.25">
      <c r="A64" s="23" t="s">
        <v>58</v>
      </c>
      <c r="B64" s="8">
        <f>5660+6250</f>
        <v>11910</v>
      </c>
      <c r="C64" s="4" t="s">
        <v>136</v>
      </c>
      <c r="D64" s="24">
        <v>11280.7</v>
      </c>
      <c r="E64" s="8">
        <f>1405+2085</f>
        <v>3490</v>
      </c>
      <c r="F64" s="16" t="s">
        <v>224</v>
      </c>
      <c r="G64" s="27">
        <v>3290.81</v>
      </c>
      <c r="H64" s="24"/>
      <c r="I64" s="4"/>
      <c r="J64" s="24"/>
      <c r="K64" s="20">
        <f t="shared" ref="K64:K80" si="15">B64+E64+H64</f>
        <v>15400</v>
      </c>
      <c r="L64" s="20">
        <f>D64+G64+J64</f>
        <v>14571.51</v>
      </c>
      <c r="M64" s="13">
        <f t="shared" si="14"/>
        <v>5.3798051948052006</v>
      </c>
      <c r="N64" s="4"/>
      <c r="O64" s="34"/>
      <c r="P64" s="34"/>
      <c r="Q64" s="34"/>
    </row>
    <row r="65" spans="1:17" x14ac:dyDescent="0.25">
      <c r="A65" s="23" t="s">
        <v>59</v>
      </c>
      <c r="B65" s="8">
        <f>5520+3460+690+655+550</f>
        <v>10875</v>
      </c>
      <c r="C65" s="4" t="s">
        <v>214</v>
      </c>
      <c r="D65" s="8">
        <f>5364.74+464.6+3095.87+542.33+348.56</f>
        <v>9816.0999999999985</v>
      </c>
      <c r="E65" s="24">
        <f>820+1965+205</f>
        <v>2990</v>
      </c>
      <c r="F65" s="16" t="s">
        <v>218</v>
      </c>
      <c r="G65" s="24">
        <f>724+2242.12</f>
        <v>2966.12</v>
      </c>
      <c r="H65" s="24"/>
      <c r="I65" s="4"/>
      <c r="J65" s="24"/>
      <c r="K65" s="20">
        <f t="shared" si="15"/>
        <v>13865</v>
      </c>
      <c r="L65" s="20">
        <f>D65+G65+J65</f>
        <v>12782.219999999998</v>
      </c>
      <c r="M65" s="13">
        <f t="shared" si="14"/>
        <v>7.8094482509917214</v>
      </c>
      <c r="N65" s="4"/>
      <c r="O65" s="34"/>
      <c r="P65" s="34"/>
      <c r="Q65" s="34"/>
    </row>
    <row r="66" spans="1:17" x14ac:dyDescent="0.25">
      <c r="A66" s="23" t="s">
        <v>64</v>
      </c>
      <c r="B66" s="8">
        <v>9845</v>
      </c>
      <c r="C66" s="4" t="s">
        <v>136</v>
      </c>
      <c r="D66" s="24">
        <f>3771.44+3017.16</f>
        <v>6788.6</v>
      </c>
      <c r="E66" s="24">
        <f>1850+1850</f>
        <v>3700</v>
      </c>
      <c r="F66" s="4" t="s">
        <v>66</v>
      </c>
      <c r="G66" s="24">
        <v>4086.44</v>
      </c>
      <c r="H66" s="24"/>
      <c r="I66" s="4"/>
      <c r="J66" s="24"/>
      <c r="K66" s="20">
        <f t="shared" si="15"/>
        <v>13545</v>
      </c>
      <c r="L66" s="20">
        <f t="shared" si="13"/>
        <v>10875.04</v>
      </c>
      <c r="M66" s="13">
        <f t="shared" si="14"/>
        <v>19.711775562938357</v>
      </c>
      <c r="N66" s="4"/>
      <c r="O66" s="34"/>
      <c r="P66" s="34"/>
      <c r="Q66" s="34"/>
    </row>
    <row r="67" spans="1:17" x14ac:dyDescent="0.25">
      <c r="A67" s="23" t="s">
        <v>65</v>
      </c>
      <c r="B67" s="8">
        <v>14025</v>
      </c>
      <c r="C67" s="4" t="s">
        <v>136</v>
      </c>
      <c r="D67" s="24">
        <v>13200</v>
      </c>
      <c r="E67" s="24">
        <f>2000+2000</f>
        <v>4000</v>
      </c>
      <c r="F67" s="4" t="s">
        <v>66</v>
      </c>
      <c r="G67" s="24">
        <v>4086.44</v>
      </c>
      <c r="H67" s="24"/>
      <c r="I67" s="4"/>
      <c r="J67" s="24"/>
      <c r="K67" s="20">
        <f t="shared" si="15"/>
        <v>18025</v>
      </c>
      <c r="L67" s="20">
        <f t="shared" si="13"/>
        <v>17286.439999999999</v>
      </c>
      <c r="M67" s="13">
        <f t="shared" si="14"/>
        <v>4.0974202496532683</v>
      </c>
      <c r="N67" s="4"/>
      <c r="O67" s="34"/>
      <c r="P67" s="34"/>
      <c r="Q67" s="34"/>
    </row>
    <row r="68" spans="1:17" x14ac:dyDescent="0.25">
      <c r="A68" s="23" t="s">
        <v>70</v>
      </c>
      <c r="B68" s="36">
        <v>950</v>
      </c>
      <c r="C68" s="4" t="s">
        <v>136</v>
      </c>
      <c r="D68" s="24">
        <v>555</v>
      </c>
      <c r="E68" s="24">
        <v>1050</v>
      </c>
      <c r="F68" s="4" t="s">
        <v>146</v>
      </c>
      <c r="G68" s="27">
        <v>913</v>
      </c>
      <c r="H68" s="24"/>
      <c r="I68" s="4"/>
      <c r="J68" s="24"/>
      <c r="K68" s="20">
        <f t="shared" si="15"/>
        <v>2000</v>
      </c>
      <c r="L68" s="20">
        <f t="shared" si="13"/>
        <v>1468</v>
      </c>
      <c r="M68" s="13">
        <f t="shared" si="14"/>
        <v>26.599999999999994</v>
      </c>
      <c r="N68" s="4"/>
      <c r="O68" s="34"/>
      <c r="P68" s="34"/>
      <c r="Q68" s="34"/>
    </row>
    <row r="69" spans="1:17" x14ac:dyDescent="0.25">
      <c r="A69" s="23" t="s">
        <v>71</v>
      </c>
      <c r="B69" s="8">
        <f>(3080+2465)*1.03</f>
        <v>5711.35</v>
      </c>
      <c r="C69" s="4" t="s">
        <v>136</v>
      </c>
      <c r="D69" s="24">
        <v>4743.3599999999997</v>
      </c>
      <c r="E69" s="24">
        <f>(965+1250)*1.03</f>
        <v>2281.4500000000003</v>
      </c>
      <c r="F69" s="4" t="s">
        <v>66</v>
      </c>
      <c r="G69" s="24">
        <v>2187.7600000000002</v>
      </c>
      <c r="H69" s="24"/>
      <c r="I69" s="4"/>
      <c r="J69" s="24"/>
      <c r="K69" s="20">
        <f t="shared" si="15"/>
        <v>7992.8000000000011</v>
      </c>
      <c r="L69" s="20">
        <f t="shared" si="13"/>
        <v>6931.12</v>
      </c>
      <c r="M69" s="13">
        <f t="shared" si="14"/>
        <v>13.28295465919328</v>
      </c>
      <c r="N69" s="4"/>
      <c r="O69" s="34"/>
      <c r="P69" s="34"/>
      <c r="Q69" s="34"/>
    </row>
    <row r="70" spans="1:17" x14ac:dyDescent="0.25">
      <c r="A70" s="23" t="s">
        <v>73</v>
      </c>
      <c r="B70" s="36">
        <f>7645*1.03</f>
        <v>7874.35</v>
      </c>
      <c r="C70" s="4" t="s">
        <v>136</v>
      </c>
      <c r="D70" s="24">
        <v>7363.43</v>
      </c>
      <c r="E70" s="24">
        <f>2600*1.03</f>
        <v>2678</v>
      </c>
      <c r="F70" s="4" t="s">
        <v>146</v>
      </c>
      <c r="G70" s="27">
        <v>2394</v>
      </c>
      <c r="H70" s="24"/>
      <c r="I70" s="4"/>
      <c r="J70" s="24"/>
      <c r="K70" s="20">
        <f t="shared" si="15"/>
        <v>10552.35</v>
      </c>
      <c r="L70" s="20">
        <f t="shared" si="13"/>
        <v>9757.43</v>
      </c>
      <c r="M70" s="13">
        <f t="shared" si="14"/>
        <v>7.5331087388117339</v>
      </c>
      <c r="N70" s="4"/>
      <c r="O70" s="34"/>
      <c r="P70" s="34"/>
      <c r="Q70" s="34"/>
    </row>
    <row r="71" spans="1:17" x14ac:dyDescent="0.25">
      <c r="A71" s="23" t="s">
        <v>74</v>
      </c>
      <c r="B71" s="36">
        <f>6585*1.03</f>
        <v>6782.55</v>
      </c>
      <c r="C71" s="4" t="s">
        <v>136</v>
      </c>
      <c r="D71" s="24">
        <v>6579</v>
      </c>
      <c r="E71" s="36">
        <f>7645*1.03</f>
        <v>7874.35</v>
      </c>
      <c r="F71" s="4" t="s">
        <v>146</v>
      </c>
      <c r="G71" s="27">
        <v>7529</v>
      </c>
      <c r="H71" s="36">
        <f>10145*1.03</f>
        <v>10449.35</v>
      </c>
      <c r="I71" s="4" t="s">
        <v>231</v>
      </c>
      <c r="J71" s="24">
        <v>8618.4500000000007</v>
      </c>
      <c r="K71" s="20">
        <f t="shared" si="15"/>
        <v>25106.25</v>
      </c>
      <c r="L71" s="20">
        <f t="shared" si="13"/>
        <v>22726.45</v>
      </c>
      <c r="M71" s="13">
        <f t="shared" si="14"/>
        <v>9.4789146128951955</v>
      </c>
      <c r="N71" s="4"/>
      <c r="O71" s="34"/>
      <c r="P71" s="34"/>
      <c r="Q71" s="34"/>
    </row>
    <row r="72" spans="1:17" x14ac:dyDescent="0.25">
      <c r="A72" s="23" t="s">
        <v>75</v>
      </c>
      <c r="B72" s="36"/>
      <c r="C72" s="4" t="s">
        <v>136</v>
      </c>
      <c r="D72" s="24">
        <v>1451</v>
      </c>
      <c r="E72" s="24"/>
      <c r="F72" s="4" t="s">
        <v>146</v>
      </c>
      <c r="G72" s="27">
        <v>2759</v>
      </c>
      <c r="H72" s="24"/>
      <c r="I72" s="28" t="s">
        <v>217</v>
      </c>
      <c r="J72" s="24">
        <v>2702</v>
      </c>
      <c r="K72" s="20"/>
      <c r="L72" s="20"/>
      <c r="M72" s="13"/>
      <c r="N72" s="4"/>
      <c r="O72" s="34"/>
      <c r="P72" s="34"/>
      <c r="Q72" s="34"/>
    </row>
    <row r="73" spans="1:17" x14ac:dyDescent="0.25">
      <c r="A73" s="23" t="s">
        <v>76</v>
      </c>
      <c r="B73" s="8">
        <f>3065+4015+21840</f>
        <v>28920</v>
      </c>
      <c r="C73" s="4" t="s">
        <v>228</v>
      </c>
      <c r="D73" s="24">
        <v>26311</v>
      </c>
      <c r="E73" s="24"/>
      <c r="F73" s="4"/>
      <c r="G73" s="27"/>
      <c r="H73" s="24">
        <f>8685+1830</f>
        <v>10515</v>
      </c>
      <c r="I73" s="4" t="s">
        <v>229</v>
      </c>
      <c r="J73" s="24">
        <v>5333</v>
      </c>
      <c r="K73" s="20">
        <f t="shared" si="15"/>
        <v>39435</v>
      </c>
      <c r="L73" s="20">
        <f t="shared" ref="L73:L80" si="16">D73+G73+J73</f>
        <v>31644</v>
      </c>
      <c r="M73" s="13">
        <f t="shared" ref="M73:M80" si="17">100-L73*100/K73</f>
        <v>19.7565614302016</v>
      </c>
      <c r="N73" s="4"/>
      <c r="O73" s="34"/>
      <c r="P73" s="34"/>
      <c r="Q73" s="34"/>
    </row>
    <row r="74" spans="1:17" x14ac:dyDescent="0.25">
      <c r="A74" s="23" t="s">
        <v>77</v>
      </c>
      <c r="B74" s="8">
        <f>3065+4015+21840</f>
        <v>28920</v>
      </c>
      <c r="C74" s="4" t="s">
        <v>228</v>
      </c>
      <c r="D74" s="24">
        <v>26311</v>
      </c>
      <c r="E74" s="24"/>
      <c r="F74" s="4"/>
      <c r="G74" s="27"/>
      <c r="H74" s="24">
        <f>8685+1830</f>
        <v>10515</v>
      </c>
      <c r="I74" s="4" t="s">
        <v>229</v>
      </c>
      <c r="J74" s="24">
        <v>5333</v>
      </c>
      <c r="K74" s="20">
        <f>B74+E74+H74</f>
        <v>39435</v>
      </c>
      <c r="L74" s="20">
        <f t="shared" si="16"/>
        <v>31644</v>
      </c>
      <c r="M74" s="13">
        <f t="shared" si="17"/>
        <v>19.7565614302016</v>
      </c>
      <c r="N74" s="4"/>
      <c r="O74" s="34"/>
      <c r="P74" s="34"/>
      <c r="Q74" s="34"/>
    </row>
    <row r="75" spans="1:17" x14ac:dyDescent="0.25">
      <c r="A75" s="23" t="s">
        <v>78</v>
      </c>
      <c r="B75" s="8">
        <f>820+770+625</f>
        <v>2215</v>
      </c>
      <c r="C75" s="4" t="s">
        <v>230</v>
      </c>
      <c r="D75" s="24">
        <f>576+972.14</f>
        <v>1548.1399999999999</v>
      </c>
      <c r="E75" s="24"/>
      <c r="F75" s="4"/>
      <c r="G75" s="27"/>
      <c r="H75" s="24"/>
      <c r="I75" s="4"/>
      <c r="J75" s="24"/>
      <c r="K75" s="20">
        <f t="shared" si="15"/>
        <v>2215</v>
      </c>
      <c r="L75" s="20">
        <f t="shared" si="16"/>
        <v>1548.1399999999999</v>
      </c>
      <c r="M75" s="13">
        <f t="shared" si="17"/>
        <v>30.106546275395033</v>
      </c>
      <c r="N75" s="4"/>
      <c r="O75" s="34"/>
      <c r="P75" s="34"/>
      <c r="Q75" s="34"/>
    </row>
    <row r="76" spans="1:17" x14ac:dyDescent="0.25">
      <c r="A76" s="23" t="s">
        <v>225</v>
      </c>
      <c r="B76" s="8">
        <v>7150</v>
      </c>
      <c r="C76" s="4" t="s">
        <v>210</v>
      </c>
      <c r="D76" s="24">
        <v>6110.49</v>
      </c>
      <c r="E76" s="24"/>
      <c r="F76" s="4"/>
      <c r="G76" s="27"/>
      <c r="H76" s="24"/>
      <c r="I76" s="4"/>
      <c r="J76" s="24"/>
      <c r="K76" s="20">
        <f t="shared" si="15"/>
        <v>7150</v>
      </c>
      <c r="L76" s="20">
        <f t="shared" si="16"/>
        <v>6110.49</v>
      </c>
      <c r="M76" s="13">
        <f t="shared" si="17"/>
        <v>14.538601398601401</v>
      </c>
      <c r="N76" s="4"/>
      <c r="O76" s="34"/>
      <c r="P76" s="34"/>
      <c r="Q76" s="34"/>
    </row>
    <row r="77" spans="1:17" x14ac:dyDescent="0.25">
      <c r="A77" s="23" t="s">
        <v>226</v>
      </c>
      <c r="B77" s="8">
        <v>4067</v>
      </c>
      <c r="C77" s="4" t="s">
        <v>230</v>
      </c>
      <c r="D77" s="24">
        <v>2916.04</v>
      </c>
      <c r="E77" s="24"/>
      <c r="F77" s="4"/>
      <c r="G77" s="27"/>
      <c r="H77" s="24"/>
      <c r="I77" s="4"/>
      <c r="J77" s="24"/>
      <c r="K77" s="20">
        <f t="shared" si="15"/>
        <v>4067</v>
      </c>
      <c r="L77" s="20">
        <f t="shared" si="16"/>
        <v>2916.04</v>
      </c>
      <c r="M77" s="13">
        <f t="shared" si="17"/>
        <v>28.299975411851491</v>
      </c>
      <c r="N77" s="4"/>
      <c r="O77" s="34"/>
      <c r="P77" s="34"/>
      <c r="Q77" s="34"/>
    </row>
    <row r="78" spans="1:17" x14ac:dyDescent="0.25">
      <c r="A78" s="23" t="s">
        <v>227</v>
      </c>
      <c r="B78" s="17"/>
      <c r="C78" s="4"/>
      <c r="D78" s="24"/>
      <c r="E78" s="24"/>
      <c r="F78" s="4"/>
      <c r="G78" s="27"/>
      <c r="H78" s="24"/>
      <c r="I78" s="4"/>
      <c r="J78" s="24"/>
      <c r="K78" s="20">
        <f t="shared" si="15"/>
        <v>0</v>
      </c>
      <c r="L78" s="20">
        <f t="shared" si="16"/>
        <v>0</v>
      </c>
      <c r="M78" s="13"/>
      <c r="N78" s="4"/>
      <c r="O78" s="34"/>
      <c r="P78" s="34"/>
      <c r="Q78" s="34"/>
    </row>
    <row r="79" spans="1:17" x14ac:dyDescent="0.25">
      <c r="A79" s="23" t="s">
        <v>176</v>
      </c>
      <c r="B79" s="17"/>
      <c r="C79" s="4"/>
      <c r="D79" s="24"/>
      <c r="E79" s="24"/>
      <c r="F79" s="4"/>
      <c r="G79" s="27"/>
      <c r="H79" s="24"/>
      <c r="I79" s="4"/>
      <c r="J79" s="24"/>
      <c r="K79" s="20">
        <f t="shared" si="15"/>
        <v>0</v>
      </c>
      <c r="L79" s="20">
        <f t="shared" si="16"/>
        <v>0</v>
      </c>
      <c r="M79" s="13"/>
      <c r="N79" s="4"/>
      <c r="O79" s="34"/>
      <c r="P79" s="34"/>
      <c r="Q79" s="34"/>
    </row>
    <row r="80" spans="1:17" x14ac:dyDescent="0.25">
      <c r="A80" s="23" t="s">
        <v>177</v>
      </c>
      <c r="B80" s="8">
        <v>2185</v>
      </c>
      <c r="C80" s="4" t="s">
        <v>232</v>
      </c>
      <c r="D80" s="24">
        <v>2316</v>
      </c>
      <c r="E80" s="24"/>
      <c r="F80" s="4"/>
      <c r="G80" s="27"/>
      <c r="H80" s="24"/>
      <c r="I80" s="4"/>
      <c r="J80" s="24"/>
      <c r="K80" s="20">
        <f t="shared" si="15"/>
        <v>2185</v>
      </c>
      <c r="L80" s="20">
        <f t="shared" si="16"/>
        <v>2316</v>
      </c>
      <c r="M80" s="33">
        <f t="shared" si="17"/>
        <v>-5.9954233409610964</v>
      </c>
      <c r="N80" s="4"/>
      <c r="O80" s="34"/>
      <c r="P80" s="34"/>
      <c r="Q80" s="34"/>
    </row>
    <row r="81" spans="1:17" x14ac:dyDescent="0.25">
      <c r="A81" s="23" t="s">
        <v>86</v>
      </c>
      <c r="B81" s="8">
        <f>1485*1.08</f>
        <v>1603.8000000000002</v>
      </c>
      <c r="C81" s="4" t="s">
        <v>233</v>
      </c>
      <c r="D81" s="24">
        <v>1717</v>
      </c>
      <c r="E81" s="24"/>
      <c r="F81" s="4"/>
      <c r="G81" s="27"/>
      <c r="H81" s="24"/>
      <c r="I81" s="4"/>
      <c r="J81" s="24"/>
      <c r="K81" s="20">
        <f t="shared" ref="K81:K87" si="18">B81+E81+H81</f>
        <v>1603.8000000000002</v>
      </c>
      <c r="L81" s="20">
        <f t="shared" ref="L81:L86" si="19">D81+G81+J81</f>
        <v>1717</v>
      </c>
      <c r="M81" s="33">
        <f t="shared" ref="M81:M86" si="20">100-L81*100/K81</f>
        <v>-7.0582366878663123</v>
      </c>
      <c r="N81" s="4"/>
      <c r="O81" s="34"/>
      <c r="P81" s="34"/>
      <c r="Q81" s="34"/>
    </row>
    <row r="82" spans="1:17" x14ac:dyDescent="0.25">
      <c r="A82" s="23" t="s">
        <v>87</v>
      </c>
      <c r="B82" s="8">
        <f>1720+840+1120</f>
        <v>3680</v>
      </c>
      <c r="C82" s="4" t="s">
        <v>228</v>
      </c>
      <c r="D82" s="24">
        <v>3414.68</v>
      </c>
      <c r="E82" s="24"/>
      <c r="F82" s="4"/>
      <c r="G82" s="27"/>
      <c r="H82" s="24"/>
      <c r="I82" s="4"/>
      <c r="J82" s="24"/>
      <c r="K82" s="20">
        <f t="shared" si="18"/>
        <v>3680</v>
      </c>
      <c r="L82" s="20">
        <f t="shared" si="19"/>
        <v>3414.68</v>
      </c>
      <c r="M82" s="13">
        <f t="shared" si="20"/>
        <v>7.2097826086956474</v>
      </c>
      <c r="N82" s="4"/>
      <c r="O82" s="34"/>
      <c r="P82" s="34"/>
      <c r="Q82" s="34"/>
    </row>
    <row r="83" spans="1:17" x14ac:dyDescent="0.25">
      <c r="A83" s="23" t="s">
        <v>88</v>
      </c>
      <c r="B83" s="36">
        <v>7104</v>
      </c>
      <c r="C83" s="4" t="s">
        <v>136</v>
      </c>
      <c r="D83" s="24">
        <v>6996.46</v>
      </c>
      <c r="E83" s="24"/>
      <c r="F83" s="4"/>
      <c r="G83" s="27"/>
      <c r="H83" s="24"/>
      <c r="I83" s="4"/>
      <c r="J83" s="24"/>
      <c r="K83" s="20">
        <f t="shared" si="18"/>
        <v>7104</v>
      </c>
      <c r="L83" s="20">
        <f t="shared" si="19"/>
        <v>6996.46</v>
      </c>
      <c r="M83" s="13">
        <f t="shared" si="20"/>
        <v>1.5137950450450433</v>
      </c>
      <c r="N83" s="4"/>
      <c r="O83" s="34"/>
      <c r="P83" s="34"/>
      <c r="Q83" s="34"/>
    </row>
    <row r="84" spans="1:17" x14ac:dyDescent="0.25">
      <c r="A84" s="23" t="s">
        <v>89</v>
      </c>
      <c r="B84" s="17"/>
      <c r="C84" s="4"/>
      <c r="D84" s="24"/>
      <c r="E84" s="24"/>
      <c r="F84" s="4"/>
      <c r="G84" s="27"/>
      <c r="H84" s="24"/>
      <c r="I84" s="4"/>
      <c r="J84" s="24"/>
      <c r="K84" s="20">
        <f t="shared" si="18"/>
        <v>0</v>
      </c>
      <c r="L84" s="20">
        <f t="shared" si="19"/>
        <v>0</v>
      </c>
      <c r="M84" s="13"/>
      <c r="N84" s="4"/>
      <c r="O84" s="34"/>
      <c r="P84" s="34"/>
      <c r="Q84" s="34"/>
    </row>
    <row r="85" spans="1:17" ht="17.25" customHeight="1" x14ac:dyDescent="0.25">
      <c r="A85" s="23" t="s">
        <v>90</v>
      </c>
      <c r="B85" s="8">
        <v>2841</v>
      </c>
      <c r="C85" s="4" t="s">
        <v>234</v>
      </c>
      <c r="D85" s="24">
        <v>2604</v>
      </c>
      <c r="E85" s="24"/>
      <c r="F85" s="4"/>
      <c r="G85" s="27"/>
      <c r="H85" s="24"/>
      <c r="I85" s="4"/>
      <c r="J85" s="24"/>
      <c r="K85" s="20">
        <f t="shared" si="18"/>
        <v>2841</v>
      </c>
      <c r="L85" s="20">
        <f t="shared" si="19"/>
        <v>2604</v>
      </c>
      <c r="M85" s="13">
        <f t="shared" si="20"/>
        <v>8.3421330517423513</v>
      </c>
      <c r="N85" s="4"/>
      <c r="O85" s="34"/>
      <c r="P85" s="34"/>
      <c r="Q85" s="34"/>
    </row>
    <row r="86" spans="1:17" x14ac:dyDescent="0.25">
      <c r="A86" s="23" t="s">
        <v>96</v>
      </c>
      <c r="B86" s="8">
        <v>825</v>
      </c>
      <c r="C86" s="4" t="s">
        <v>136</v>
      </c>
      <c r="D86" s="24">
        <v>698</v>
      </c>
      <c r="E86" s="24"/>
      <c r="F86" s="4"/>
      <c r="G86" s="27"/>
      <c r="H86" s="24"/>
      <c r="I86" s="4"/>
      <c r="J86" s="24"/>
      <c r="K86" s="20">
        <f t="shared" si="18"/>
        <v>825</v>
      </c>
      <c r="L86" s="20">
        <f t="shared" si="19"/>
        <v>698</v>
      </c>
      <c r="M86" s="13">
        <f t="shared" si="20"/>
        <v>15.393939393939391</v>
      </c>
      <c r="N86" s="4"/>
      <c r="O86" s="34"/>
      <c r="P86" s="34"/>
      <c r="Q86" s="34"/>
    </row>
    <row r="87" spans="1:17" x14ac:dyDescent="0.25">
      <c r="A87" s="23" t="s">
        <v>97</v>
      </c>
      <c r="B87" s="8">
        <v>6555</v>
      </c>
      <c r="C87" s="4" t="s">
        <v>136</v>
      </c>
      <c r="D87" s="24">
        <v>6085</v>
      </c>
      <c r="E87" s="24">
        <v>3600</v>
      </c>
      <c r="F87" s="4" t="s">
        <v>146</v>
      </c>
      <c r="G87" s="27">
        <v>2896</v>
      </c>
      <c r="H87" s="24"/>
      <c r="I87" s="4"/>
      <c r="J87" s="24"/>
      <c r="K87" s="20">
        <f t="shared" si="18"/>
        <v>10155</v>
      </c>
      <c r="L87" s="20">
        <f t="shared" ref="L87:L92" si="21">D87+G87+J87</f>
        <v>8981</v>
      </c>
      <c r="M87" s="13">
        <f t="shared" ref="M87:M92" si="22">100-L87*100/K87</f>
        <v>11.560807483998033</v>
      </c>
      <c r="N87" s="4"/>
      <c r="O87" s="34"/>
      <c r="P87" s="34"/>
      <c r="Q87" s="34"/>
    </row>
    <row r="88" spans="1:17" x14ac:dyDescent="0.25">
      <c r="A88" s="23" t="s">
        <v>98</v>
      </c>
      <c r="B88" s="8">
        <v>1050</v>
      </c>
      <c r="C88" s="4" t="s">
        <v>171</v>
      </c>
      <c r="D88" s="24">
        <v>759</v>
      </c>
      <c r="E88" s="24">
        <v>565</v>
      </c>
      <c r="F88" s="4" t="s">
        <v>237</v>
      </c>
      <c r="G88" s="27">
        <v>423</v>
      </c>
      <c r="H88" s="24">
        <v>1200</v>
      </c>
      <c r="I88" s="28" t="s">
        <v>236</v>
      </c>
      <c r="J88" s="24">
        <v>1350</v>
      </c>
      <c r="K88" s="20">
        <f>B88+E88+H88</f>
        <v>2815</v>
      </c>
      <c r="L88" s="20">
        <f t="shared" si="21"/>
        <v>2532</v>
      </c>
      <c r="M88" s="13">
        <f t="shared" si="22"/>
        <v>10.053285968028419</v>
      </c>
      <c r="N88" s="4"/>
      <c r="O88" s="34"/>
      <c r="P88" s="34"/>
      <c r="Q88" s="34"/>
    </row>
    <row r="89" spans="1:17" x14ac:dyDescent="0.25">
      <c r="A89" s="23" t="s">
        <v>99</v>
      </c>
      <c r="B89" s="8">
        <f>16190*1.05</f>
        <v>16999.5</v>
      </c>
      <c r="C89" s="4" t="s">
        <v>235</v>
      </c>
      <c r="D89" s="24">
        <v>13206</v>
      </c>
      <c r="E89" s="24"/>
      <c r="F89" s="4"/>
      <c r="G89" s="27"/>
      <c r="H89" s="24"/>
      <c r="I89" s="4"/>
      <c r="J89" s="24"/>
      <c r="K89" s="20">
        <f>B89+E89+H89</f>
        <v>16999.5</v>
      </c>
      <c r="L89" s="20">
        <f t="shared" si="21"/>
        <v>13206</v>
      </c>
      <c r="M89" s="13">
        <f t="shared" si="22"/>
        <v>22.315362216535775</v>
      </c>
      <c r="N89" s="4"/>
      <c r="O89" s="34"/>
      <c r="P89" s="34"/>
      <c r="Q89" s="34"/>
    </row>
    <row r="90" spans="1:17" x14ac:dyDescent="0.25">
      <c r="A90" s="23" t="s">
        <v>99</v>
      </c>
      <c r="B90" s="8">
        <f>(5850+2040+560+1390+2080)*1.05</f>
        <v>12516</v>
      </c>
      <c r="C90" s="4" t="s">
        <v>238</v>
      </c>
      <c r="D90" s="24">
        <f>1142.64+1778.76+5113.56+1800.68+479.6</f>
        <v>10315.240000000002</v>
      </c>
      <c r="E90" s="24"/>
      <c r="F90" s="4"/>
      <c r="G90" s="27"/>
      <c r="H90" s="24">
        <f>2900*1.05</f>
        <v>3045</v>
      </c>
      <c r="I90" s="4" t="s">
        <v>240</v>
      </c>
      <c r="J90" s="24">
        <v>1918</v>
      </c>
      <c r="K90" s="20">
        <f>B90+E90+H90</f>
        <v>15561</v>
      </c>
      <c r="L90" s="20">
        <f t="shared" si="21"/>
        <v>12233.240000000002</v>
      </c>
      <c r="M90" s="13">
        <f t="shared" si="22"/>
        <v>21.385258016836943</v>
      </c>
      <c r="N90" s="4"/>
      <c r="O90" s="34"/>
      <c r="P90" s="34"/>
      <c r="Q90" s="34"/>
    </row>
    <row r="91" spans="1:17" x14ac:dyDescent="0.25">
      <c r="A91" s="23" t="s">
        <v>100</v>
      </c>
      <c r="B91" s="8">
        <v>389</v>
      </c>
      <c r="C91" s="4" t="s">
        <v>238</v>
      </c>
      <c r="D91" s="24">
        <v>100</v>
      </c>
      <c r="E91" s="24"/>
      <c r="F91" s="4"/>
      <c r="G91" s="27"/>
      <c r="H91" s="24"/>
      <c r="I91" s="4"/>
      <c r="J91" s="24"/>
      <c r="K91" s="20">
        <f>B91+E91+H91</f>
        <v>389</v>
      </c>
      <c r="L91" s="20">
        <f t="shared" si="21"/>
        <v>100</v>
      </c>
      <c r="M91" s="13">
        <f t="shared" si="22"/>
        <v>74.293059125964007</v>
      </c>
      <c r="N91" s="4"/>
      <c r="O91" s="34"/>
      <c r="P91" s="34"/>
      <c r="Q91" s="34"/>
    </row>
    <row r="92" spans="1:17" x14ac:dyDescent="0.25">
      <c r="A92" s="23" t="s">
        <v>102</v>
      </c>
      <c r="B92" s="8">
        <f>3990*1.03</f>
        <v>4109.7</v>
      </c>
      <c r="C92" s="4" t="s">
        <v>239</v>
      </c>
      <c r="D92" s="24">
        <v>2525</v>
      </c>
      <c r="E92" s="24">
        <f>4200*1.03</f>
        <v>4326</v>
      </c>
      <c r="F92" s="4" t="s">
        <v>239</v>
      </c>
      <c r="G92" s="27">
        <v>3464</v>
      </c>
      <c r="H92" s="24">
        <f>(990+3450+3450)*1.03</f>
        <v>8126.7</v>
      </c>
      <c r="I92" s="4" t="s">
        <v>241</v>
      </c>
      <c r="J92" s="24">
        <f>6218+1064+200</f>
        <v>7482</v>
      </c>
      <c r="K92" s="20">
        <f>B92+E92+H92</f>
        <v>16562.400000000001</v>
      </c>
      <c r="L92" s="20">
        <f t="shared" si="21"/>
        <v>13471</v>
      </c>
      <c r="M92" s="13">
        <f t="shared" si="22"/>
        <v>18.6651692991354</v>
      </c>
      <c r="N92" s="4"/>
      <c r="O92" s="34"/>
      <c r="P92" s="34"/>
      <c r="Q92" s="34"/>
    </row>
    <row r="93" spans="1:17" x14ac:dyDescent="0.25">
      <c r="A93" s="23" t="s">
        <v>103</v>
      </c>
      <c r="C93" s="4"/>
      <c r="D93" s="24"/>
      <c r="E93" s="24"/>
      <c r="F93" s="4"/>
      <c r="G93" s="27"/>
      <c r="H93" s="24"/>
      <c r="I93" s="4"/>
      <c r="J93" s="24"/>
      <c r="K93" s="20"/>
      <c r="L93" s="20"/>
      <c r="M93" s="13"/>
      <c r="N93" s="4"/>
      <c r="O93" s="34"/>
      <c r="P93" s="34"/>
      <c r="Q93" s="34"/>
    </row>
    <row r="94" spans="1:17" x14ac:dyDescent="0.25">
      <c r="A94" s="23" t="s">
        <v>104</v>
      </c>
      <c r="B94" s="36">
        <f>6400+1500*1.03+1027</f>
        <v>8972</v>
      </c>
      <c r="C94" s="4" t="s">
        <v>136</v>
      </c>
      <c r="D94" s="24">
        <v>7491.07</v>
      </c>
      <c r="E94" s="24">
        <f>2900*1.03+377</f>
        <v>3364</v>
      </c>
      <c r="F94" s="4" t="s">
        <v>146</v>
      </c>
      <c r="G94" s="27">
        <v>2866.53</v>
      </c>
      <c r="H94" s="24"/>
      <c r="I94" s="4"/>
      <c r="J94" s="24"/>
      <c r="K94" s="20">
        <f t="shared" ref="K94:K102" si="23">B94+E94+H94</f>
        <v>12336</v>
      </c>
      <c r="L94" s="20">
        <f t="shared" ref="L94:L102" si="24">D94+G94+J94</f>
        <v>10357.6</v>
      </c>
      <c r="M94" s="13">
        <f t="shared" ref="M94:M102" si="25">100-L94*100/K94</f>
        <v>16.037613488975353</v>
      </c>
      <c r="N94" s="4"/>
      <c r="O94" s="34"/>
      <c r="P94" s="34"/>
      <c r="Q94" s="34"/>
    </row>
    <row r="95" spans="1:17" x14ac:dyDescent="0.25">
      <c r="A95" s="23" t="s">
        <v>106</v>
      </c>
      <c r="B95" s="8">
        <v>600</v>
      </c>
      <c r="C95" s="4" t="s">
        <v>136</v>
      </c>
      <c r="D95" s="24">
        <v>390</v>
      </c>
      <c r="E95" s="24">
        <f>450+920+1100+30+600+200</f>
        <v>3300</v>
      </c>
      <c r="F95" s="4" t="s">
        <v>242</v>
      </c>
      <c r="G95" s="27">
        <v>3317</v>
      </c>
      <c r="H95" s="24"/>
      <c r="I95" s="4"/>
      <c r="J95" s="24"/>
      <c r="K95" s="20">
        <f t="shared" si="23"/>
        <v>3900</v>
      </c>
      <c r="L95" s="20">
        <f t="shared" si="24"/>
        <v>3707</v>
      </c>
      <c r="M95" s="13">
        <f t="shared" si="25"/>
        <v>4.9487179487179418</v>
      </c>
      <c r="N95" s="4"/>
      <c r="O95" s="34"/>
      <c r="P95" s="34"/>
      <c r="Q95" s="34"/>
    </row>
    <row r="96" spans="1:17" x14ac:dyDescent="0.25">
      <c r="A96" s="23" t="s">
        <v>107</v>
      </c>
      <c r="B96" s="36">
        <f>4317+3454*1.03</f>
        <v>7874.62</v>
      </c>
      <c r="C96" s="4" t="s">
        <v>136</v>
      </c>
      <c r="D96" s="24">
        <v>7414.81</v>
      </c>
      <c r="E96" s="24">
        <f>12700*1.03</f>
        <v>13081</v>
      </c>
      <c r="F96" s="4" t="s">
        <v>146</v>
      </c>
      <c r="G96" s="27">
        <v>12291</v>
      </c>
      <c r="H96" s="24"/>
      <c r="I96" s="4"/>
      <c r="J96" s="24"/>
      <c r="K96" s="20">
        <f t="shared" si="23"/>
        <v>20955.62</v>
      </c>
      <c r="L96" s="20">
        <f t="shared" si="24"/>
        <v>19705.810000000001</v>
      </c>
      <c r="M96" s="13">
        <f t="shared" si="25"/>
        <v>5.9640802801348656</v>
      </c>
      <c r="N96" s="76" t="s">
        <v>243</v>
      </c>
      <c r="O96" s="76"/>
      <c r="P96" s="34"/>
      <c r="Q96" s="34"/>
    </row>
    <row r="97" spans="1:17" x14ac:dyDescent="0.25">
      <c r="A97" s="23" t="s">
        <v>108</v>
      </c>
      <c r="B97" s="8">
        <f>(332+630+1045+105+35+60+17+115+47+10)*1.03</f>
        <v>2467.88</v>
      </c>
      <c r="C97" s="4" t="s">
        <v>244</v>
      </c>
      <c r="D97" s="24">
        <f>369+2034.29</f>
        <v>2403.29</v>
      </c>
      <c r="E97" s="24"/>
      <c r="F97" s="4"/>
      <c r="G97" s="27"/>
      <c r="H97" s="24"/>
      <c r="I97" s="4"/>
      <c r="J97" s="24"/>
      <c r="K97" s="20">
        <f t="shared" si="23"/>
        <v>2467.88</v>
      </c>
      <c r="L97" s="20">
        <f t="shared" si="24"/>
        <v>2403.29</v>
      </c>
      <c r="M97" s="13">
        <f t="shared" si="25"/>
        <v>2.617226121205249</v>
      </c>
      <c r="N97" s="4"/>
      <c r="O97" s="34"/>
      <c r="P97" s="34"/>
      <c r="Q97" s="34"/>
    </row>
    <row r="98" spans="1:17" x14ac:dyDescent="0.25">
      <c r="A98" s="23" t="s">
        <v>109</v>
      </c>
      <c r="B98" s="8">
        <v>280</v>
      </c>
      <c r="C98" s="4" t="s">
        <v>245</v>
      </c>
      <c r="D98" s="24">
        <v>92.38</v>
      </c>
      <c r="E98" s="24"/>
      <c r="F98" s="4"/>
      <c r="G98" s="27"/>
      <c r="H98" s="24"/>
      <c r="I98" s="4"/>
      <c r="J98" s="24"/>
      <c r="K98" s="20">
        <f t="shared" si="23"/>
        <v>280</v>
      </c>
      <c r="L98" s="20">
        <f t="shared" si="24"/>
        <v>92.38</v>
      </c>
      <c r="M98" s="13">
        <f t="shared" si="25"/>
        <v>67.007142857142867</v>
      </c>
      <c r="N98" s="4"/>
      <c r="O98" s="34"/>
      <c r="P98" s="34"/>
      <c r="Q98" s="34"/>
    </row>
    <row r="99" spans="1:17" x14ac:dyDescent="0.25">
      <c r="A99" s="23" t="s">
        <v>111</v>
      </c>
      <c r="B99" s="8">
        <f>(1116+932+780)*1.0277</f>
        <v>2906.3356000000003</v>
      </c>
      <c r="C99" s="4" t="s">
        <v>246</v>
      </c>
      <c r="D99" s="24">
        <f>1200+690+340</f>
        <v>2230</v>
      </c>
      <c r="E99" s="26">
        <f>(820)*1.0277</f>
        <v>842.71400000000006</v>
      </c>
      <c r="F99" s="4" t="s">
        <v>212</v>
      </c>
      <c r="G99" s="27">
        <v>755</v>
      </c>
      <c r="H99" s="24"/>
      <c r="I99" s="4"/>
      <c r="J99" s="24"/>
      <c r="K99" s="20">
        <f t="shared" si="23"/>
        <v>3749.0496000000003</v>
      </c>
      <c r="L99" s="20">
        <f t="shared" si="24"/>
        <v>2985</v>
      </c>
      <c r="M99" s="13">
        <f t="shared" si="25"/>
        <v>20.379821061849924</v>
      </c>
      <c r="N99" s="4"/>
      <c r="O99" s="34"/>
      <c r="P99" s="34"/>
      <c r="Q99" s="34"/>
    </row>
    <row r="100" spans="1:17" x14ac:dyDescent="0.25">
      <c r="A100" s="23" t="s">
        <v>117</v>
      </c>
      <c r="B100" s="8">
        <f>(1283+2053+1579+1471)*1.03</f>
        <v>6577.58</v>
      </c>
      <c r="C100" s="4" t="s">
        <v>235</v>
      </c>
      <c r="D100" s="24">
        <v>4931.24</v>
      </c>
      <c r="E100" s="24"/>
      <c r="F100" s="4"/>
      <c r="G100" s="27"/>
      <c r="H100" s="24">
        <f>2750*1.03</f>
        <v>2832.5</v>
      </c>
      <c r="I100" s="4" t="s">
        <v>236</v>
      </c>
      <c r="J100" s="24">
        <v>1768</v>
      </c>
      <c r="K100" s="20">
        <f>B100+E100+H100</f>
        <v>9410.08</v>
      </c>
      <c r="L100" s="20">
        <f>D100+G100+J100</f>
        <v>6699.24</v>
      </c>
      <c r="M100" s="13">
        <f>100-L100*100/K100</f>
        <v>28.807831601856734</v>
      </c>
      <c r="N100" s="4"/>
      <c r="O100" s="34"/>
      <c r="P100" s="34"/>
      <c r="Q100" s="34"/>
    </row>
    <row r="101" spans="1:17" x14ac:dyDescent="0.25">
      <c r="A101" s="23" t="s">
        <v>118</v>
      </c>
      <c r="B101" s="8">
        <f>(1283+2053+1579+1471)*1.03</f>
        <v>6577.58</v>
      </c>
      <c r="C101" s="4" t="s">
        <v>235</v>
      </c>
      <c r="D101" s="24">
        <v>4931.24</v>
      </c>
      <c r="E101" s="24"/>
      <c r="F101" s="4"/>
      <c r="G101" s="27"/>
      <c r="H101" s="24">
        <f>2750*1.03</f>
        <v>2832.5</v>
      </c>
      <c r="I101" s="4" t="s">
        <v>236</v>
      </c>
      <c r="J101" s="24">
        <v>1768</v>
      </c>
      <c r="K101" s="20">
        <f t="shared" si="23"/>
        <v>9410.08</v>
      </c>
      <c r="L101" s="20">
        <f t="shared" si="24"/>
        <v>6699.24</v>
      </c>
      <c r="M101" s="13">
        <f t="shared" si="25"/>
        <v>28.807831601856734</v>
      </c>
      <c r="N101" s="4"/>
      <c r="O101" s="34"/>
      <c r="P101" s="34"/>
      <c r="Q101" s="34"/>
    </row>
    <row r="102" spans="1:17" x14ac:dyDescent="0.25">
      <c r="A102" s="23" t="s">
        <v>119</v>
      </c>
      <c r="B102" s="8">
        <f>(1283+2053+1579+1471)*1.03</f>
        <v>6577.58</v>
      </c>
      <c r="C102" s="4" t="s">
        <v>235</v>
      </c>
      <c r="D102" s="24">
        <v>4931.24</v>
      </c>
      <c r="E102" s="24"/>
      <c r="F102" s="4"/>
      <c r="G102" s="27"/>
      <c r="H102" s="24">
        <f>2750*1.03</f>
        <v>2832.5</v>
      </c>
      <c r="I102" s="4" t="s">
        <v>236</v>
      </c>
      <c r="J102" s="24">
        <v>1768</v>
      </c>
      <c r="K102" s="20">
        <f t="shared" si="23"/>
        <v>9410.08</v>
      </c>
      <c r="L102" s="20">
        <f t="shared" si="24"/>
        <v>6699.24</v>
      </c>
      <c r="M102" s="13">
        <f t="shared" si="25"/>
        <v>28.807831601856734</v>
      </c>
      <c r="N102" s="4"/>
      <c r="O102" s="34"/>
      <c r="P102" s="34"/>
      <c r="Q102" s="34"/>
    </row>
    <row r="103" spans="1:17" x14ac:dyDescent="0.25">
      <c r="A103" s="23" t="s">
        <v>120</v>
      </c>
      <c r="B103" s="8"/>
      <c r="C103" s="4" t="s">
        <v>235</v>
      </c>
      <c r="D103" s="24"/>
      <c r="E103" s="24"/>
      <c r="F103" s="4"/>
      <c r="G103" s="27"/>
      <c r="H103" s="24"/>
      <c r="I103" s="4"/>
      <c r="J103" s="24"/>
      <c r="K103" s="20">
        <f t="shared" ref="K103:K117" si="26">B103+E103+H103</f>
        <v>0</v>
      </c>
      <c r="L103" s="20">
        <f t="shared" ref="L103:L117" si="27">D103+G103+J103</f>
        <v>0</v>
      </c>
      <c r="M103" s="13"/>
      <c r="N103" s="4"/>
      <c r="O103" s="34"/>
      <c r="P103" s="34"/>
      <c r="Q103" s="34"/>
    </row>
    <row r="104" spans="1:17" x14ac:dyDescent="0.25">
      <c r="A104" s="23" t="s">
        <v>121</v>
      </c>
      <c r="B104" s="8">
        <f>(4405+1995+1750+850+1345)*1.02</f>
        <v>10551.9</v>
      </c>
      <c r="C104" s="4" t="s">
        <v>235</v>
      </c>
      <c r="D104" s="24">
        <v>9098</v>
      </c>
      <c r="E104" s="24"/>
      <c r="F104" s="4"/>
      <c r="G104" s="27"/>
      <c r="H104" s="24">
        <f>5800*1.02</f>
        <v>5916</v>
      </c>
      <c r="I104" s="4" t="s">
        <v>247</v>
      </c>
      <c r="J104" s="24">
        <f>4737+78.16</f>
        <v>4815.16</v>
      </c>
      <c r="K104" s="20">
        <f t="shared" si="26"/>
        <v>16467.900000000001</v>
      </c>
      <c r="L104" s="20">
        <f t="shared" si="27"/>
        <v>13913.16</v>
      </c>
      <c r="M104" s="13">
        <f t="shared" ref="M104:M117" si="28">100-L104*100/K104</f>
        <v>15.513453445794553</v>
      </c>
      <c r="N104" s="4"/>
      <c r="O104" s="34"/>
      <c r="P104" s="34"/>
      <c r="Q104" s="34"/>
    </row>
    <row r="105" spans="1:17" x14ac:dyDescent="0.25">
      <c r="A105" s="23" t="s">
        <v>122</v>
      </c>
      <c r="B105" s="8">
        <f>(4405+1995+1750+850+1345)*1.02</f>
        <v>10551.9</v>
      </c>
      <c r="C105" s="4" t="s">
        <v>235</v>
      </c>
      <c r="D105" s="24">
        <v>9098</v>
      </c>
      <c r="E105" s="24"/>
      <c r="F105" s="4"/>
      <c r="G105" s="27"/>
      <c r="H105" s="24">
        <f>5800*1.02</f>
        <v>5916</v>
      </c>
      <c r="I105" s="4" t="s">
        <v>247</v>
      </c>
      <c r="J105" s="24">
        <f>4737+78.16</f>
        <v>4815.16</v>
      </c>
      <c r="K105" s="20">
        <f t="shared" si="26"/>
        <v>16467.900000000001</v>
      </c>
      <c r="L105" s="20">
        <f t="shared" si="27"/>
        <v>13913.16</v>
      </c>
      <c r="M105" s="13">
        <f t="shared" si="28"/>
        <v>15.513453445794553</v>
      </c>
      <c r="N105" s="4"/>
      <c r="O105" s="34"/>
      <c r="P105" s="34"/>
      <c r="Q105" s="34"/>
    </row>
    <row r="106" spans="1:17" x14ac:dyDescent="0.25">
      <c r="A106" s="23" t="s">
        <v>123</v>
      </c>
      <c r="B106" s="8">
        <f>(6315+1390+675+1070+520)/1.15*1.04*1.02</f>
        <v>9196.6747826086976</v>
      </c>
      <c r="C106" s="4" t="s">
        <v>235</v>
      </c>
      <c r="D106" s="24">
        <v>8062.95</v>
      </c>
      <c r="E106" s="24"/>
      <c r="F106" s="4"/>
      <c r="G106" s="27"/>
      <c r="H106" s="24">
        <f>4300*1.02</f>
        <v>4386</v>
      </c>
      <c r="I106" s="4" t="s">
        <v>247</v>
      </c>
      <c r="J106" s="24">
        <f>4194+78.16</f>
        <v>4272.16</v>
      </c>
      <c r="K106" s="20">
        <f t="shared" si="26"/>
        <v>13582.674782608698</v>
      </c>
      <c r="L106" s="20">
        <f t="shared" si="27"/>
        <v>12335.11</v>
      </c>
      <c r="M106" s="13">
        <f t="shared" si="28"/>
        <v>9.1849713151203787</v>
      </c>
      <c r="N106" s="4"/>
      <c r="O106" s="34"/>
      <c r="P106" s="34"/>
      <c r="Q106" s="34"/>
    </row>
    <row r="107" spans="1:17" x14ac:dyDescent="0.25">
      <c r="A107" s="23" t="s">
        <v>124</v>
      </c>
      <c r="B107" s="8">
        <f>(6315+1390+675+1070+520)/1.15*1.04*1.02</f>
        <v>9196.6747826086976</v>
      </c>
      <c r="C107" s="4" t="s">
        <v>235</v>
      </c>
      <c r="D107" s="24">
        <v>8062.95</v>
      </c>
      <c r="E107" s="24"/>
      <c r="F107" s="4"/>
      <c r="G107" s="27"/>
      <c r="H107" s="24">
        <f>4300*1.02</f>
        <v>4386</v>
      </c>
      <c r="I107" s="4" t="s">
        <v>247</v>
      </c>
      <c r="J107" s="24">
        <f>4194+78.16</f>
        <v>4272.16</v>
      </c>
      <c r="K107" s="20">
        <f t="shared" si="26"/>
        <v>13582.674782608698</v>
      </c>
      <c r="L107" s="20">
        <f t="shared" si="27"/>
        <v>12335.11</v>
      </c>
      <c r="M107" s="13">
        <f t="shared" si="28"/>
        <v>9.1849713151203787</v>
      </c>
      <c r="N107" s="4"/>
      <c r="O107" s="34"/>
      <c r="P107" s="34"/>
      <c r="Q107" s="34"/>
    </row>
    <row r="108" spans="1:17" x14ac:dyDescent="0.25">
      <c r="A108" s="23" t="s">
        <v>125</v>
      </c>
      <c r="B108" s="8">
        <f>(6315+1390+675+1070+520)/1.15*1.04*1.02</f>
        <v>9196.6747826086976</v>
      </c>
      <c r="C108" s="4" t="s">
        <v>235</v>
      </c>
      <c r="D108" s="24">
        <v>8062.95</v>
      </c>
      <c r="E108" s="24"/>
      <c r="F108" s="4"/>
      <c r="G108" s="27"/>
      <c r="H108" s="24">
        <f>4300*1.02</f>
        <v>4386</v>
      </c>
      <c r="I108" s="4" t="s">
        <v>247</v>
      </c>
      <c r="J108" s="24">
        <f>4194+78.16</f>
        <v>4272.16</v>
      </c>
      <c r="K108" s="20">
        <f t="shared" si="26"/>
        <v>13582.674782608698</v>
      </c>
      <c r="L108" s="20">
        <f t="shared" si="27"/>
        <v>12335.11</v>
      </c>
      <c r="M108" s="13">
        <f t="shared" si="28"/>
        <v>9.1849713151203787</v>
      </c>
      <c r="N108" s="4"/>
      <c r="O108" s="34"/>
      <c r="P108" s="34"/>
      <c r="Q108" s="34"/>
    </row>
    <row r="109" spans="1:17" x14ac:dyDescent="0.25">
      <c r="A109" s="23" t="s">
        <v>126</v>
      </c>
      <c r="B109" s="8">
        <f>(3790+1415+1090)/1.15*1.04*1.02</f>
        <v>5806.7269565217402</v>
      </c>
      <c r="C109" s="4" t="s">
        <v>235</v>
      </c>
      <c r="D109" s="24">
        <v>5367.85</v>
      </c>
      <c r="E109" s="24"/>
      <c r="F109" s="4"/>
      <c r="G109" s="27"/>
      <c r="H109" s="24">
        <f>4300*1.02</f>
        <v>4386</v>
      </c>
      <c r="I109" s="4" t="s">
        <v>247</v>
      </c>
      <c r="J109" s="24">
        <f>4194+78.16</f>
        <v>4272.16</v>
      </c>
      <c r="K109" s="20">
        <f t="shared" si="26"/>
        <v>10192.726956521739</v>
      </c>
      <c r="L109" s="20">
        <f t="shared" si="27"/>
        <v>9640.01</v>
      </c>
      <c r="M109" s="13">
        <f t="shared" si="28"/>
        <v>5.4226602839398907</v>
      </c>
      <c r="N109" s="4"/>
      <c r="O109" s="34"/>
      <c r="P109" s="34"/>
      <c r="Q109" s="34"/>
    </row>
    <row r="110" spans="1:17" x14ac:dyDescent="0.25">
      <c r="A110" s="23" t="s">
        <v>127</v>
      </c>
      <c r="B110" s="8">
        <f>(7895+1415+1090)/1.15*1.04*1.02</f>
        <v>9593.3217391304352</v>
      </c>
      <c r="C110" s="4" t="s">
        <v>235</v>
      </c>
      <c r="D110" s="24">
        <v>7465</v>
      </c>
      <c r="E110" s="24"/>
      <c r="F110" s="4"/>
      <c r="G110" s="27"/>
      <c r="H110" s="24">
        <f>4300*1.02</f>
        <v>4386</v>
      </c>
      <c r="I110" s="4" t="s">
        <v>247</v>
      </c>
      <c r="J110" s="24">
        <f>4194+78.16</f>
        <v>4272.16</v>
      </c>
      <c r="K110" s="20">
        <f t="shared" si="26"/>
        <v>13979.321739130435</v>
      </c>
      <c r="L110" s="20">
        <f t="shared" si="27"/>
        <v>11737.16</v>
      </c>
      <c r="M110" s="13">
        <f t="shared" si="28"/>
        <v>16.039131089273482</v>
      </c>
      <c r="N110" s="4"/>
      <c r="O110" s="34"/>
      <c r="P110" s="34"/>
      <c r="Q110" s="34"/>
    </row>
    <row r="111" spans="1:17" x14ac:dyDescent="0.25">
      <c r="A111" s="23" t="s">
        <v>128</v>
      </c>
      <c r="B111" s="8">
        <f>(9955+1995+1750+850+1345)*1.02</f>
        <v>16212.9</v>
      </c>
      <c r="C111" s="4" t="s">
        <v>235</v>
      </c>
      <c r="D111" s="24">
        <v>14659.74</v>
      </c>
      <c r="E111" s="24"/>
      <c r="F111" s="4"/>
      <c r="G111" s="27"/>
      <c r="H111" s="24">
        <f>5800*1.02</f>
        <v>5916</v>
      </c>
      <c r="I111" s="4" t="s">
        <v>247</v>
      </c>
      <c r="J111" s="24">
        <f>4737+78.16</f>
        <v>4815.16</v>
      </c>
      <c r="K111" s="20">
        <f t="shared" si="26"/>
        <v>22128.9</v>
      </c>
      <c r="L111" s="20">
        <f t="shared" si="27"/>
        <v>19474.900000000001</v>
      </c>
      <c r="M111" s="13">
        <f t="shared" si="28"/>
        <v>11.99336614110959</v>
      </c>
      <c r="N111" s="4"/>
      <c r="O111" s="34"/>
      <c r="P111" s="34"/>
      <c r="Q111" s="34"/>
    </row>
    <row r="112" spans="1:17" x14ac:dyDescent="0.25">
      <c r="A112" s="23" t="s">
        <v>129</v>
      </c>
      <c r="B112" s="8">
        <f>(9955+1995+1750+850+1345)*1.02</f>
        <v>16212.9</v>
      </c>
      <c r="C112" s="4" t="s">
        <v>235</v>
      </c>
      <c r="D112" s="24">
        <v>14659.74</v>
      </c>
      <c r="E112" s="24"/>
      <c r="F112" s="4"/>
      <c r="G112" s="27"/>
      <c r="H112" s="24">
        <f>5800*1.02</f>
        <v>5916</v>
      </c>
      <c r="I112" s="4" t="s">
        <v>247</v>
      </c>
      <c r="J112" s="24">
        <f>4737+78.16</f>
        <v>4815.16</v>
      </c>
      <c r="K112" s="20">
        <f t="shared" si="26"/>
        <v>22128.9</v>
      </c>
      <c r="L112" s="20">
        <f t="shared" si="27"/>
        <v>19474.900000000001</v>
      </c>
      <c r="M112" s="13">
        <f t="shared" si="28"/>
        <v>11.99336614110959</v>
      </c>
      <c r="N112" s="4"/>
      <c r="O112" s="34"/>
      <c r="P112" s="34"/>
      <c r="Q112" s="34"/>
    </row>
    <row r="113" spans="1:17" x14ac:dyDescent="0.25">
      <c r="A113" s="23" t="s">
        <v>130</v>
      </c>
      <c r="B113" s="8">
        <f>(7895+1390+675+1070+520)/1.15*1.04*1.02</f>
        <v>10654.121739130436</v>
      </c>
      <c r="C113" s="4" t="s">
        <v>235</v>
      </c>
      <c r="D113" s="24">
        <v>9313</v>
      </c>
      <c r="E113" s="24"/>
      <c r="F113" s="4"/>
      <c r="G113" s="27"/>
      <c r="H113" s="24">
        <f>4300*1.02</f>
        <v>4386</v>
      </c>
      <c r="I113" s="4" t="s">
        <v>247</v>
      </c>
      <c r="J113" s="24">
        <f>4194+78.16</f>
        <v>4272.16</v>
      </c>
      <c r="K113" s="20">
        <f t="shared" si="26"/>
        <v>15040.121739130436</v>
      </c>
      <c r="L113" s="20">
        <f t="shared" si="27"/>
        <v>13585.16</v>
      </c>
      <c r="M113" s="13">
        <f t="shared" si="28"/>
        <v>9.6738694298265528</v>
      </c>
      <c r="N113" s="4"/>
      <c r="O113" s="34"/>
      <c r="P113" s="34"/>
      <c r="Q113" s="34"/>
    </row>
    <row r="114" spans="1:17" x14ac:dyDescent="0.25">
      <c r="A114" s="23" t="s">
        <v>131</v>
      </c>
      <c r="B114" s="8">
        <f>(3790+1415+1090)/1.15*1.04*1.02</f>
        <v>5806.7269565217402</v>
      </c>
      <c r="C114" s="4" t="s">
        <v>235</v>
      </c>
      <c r="D114" s="24">
        <v>5367.85</v>
      </c>
      <c r="E114" s="24"/>
      <c r="F114" s="4"/>
      <c r="G114" s="27"/>
      <c r="H114" s="24">
        <f>4300*1.02</f>
        <v>4386</v>
      </c>
      <c r="I114" s="4" t="s">
        <v>247</v>
      </c>
      <c r="J114" s="24">
        <f>4194+78.16</f>
        <v>4272.16</v>
      </c>
      <c r="K114" s="20">
        <f t="shared" si="26"/>
        <v>10192.726956521739</v>
      </c>
      <c r="L114" s="20">
        <f t="shared" si="27"/>
        <v>9640.01</v>
      </c>
      <c r="M114" s="13">
        <f t="shared" si="28"/>
        <v>5.4226602839398907</v>
      </c>
      <c r="N114" s="4"/>
      <c r="O114" s="34"/>
      <c r="P114" s="34"/>
      <c r="Q114" s="34"/>
    </row>
    <row r="115" spans="1:17" x14ac:dyDescent="0.25">
      <c r="A115" s="23" t="s">
        <v>132</v>
      </c>
      <c r="B115" s="8">
        <f>(3020)/1.15*1.04*1.02</f>
        <v>2785.7530434782611</v>
      </c>
      <c r="C115" s="4" t="s">
        <v>136</v>
      </c>
      <c r="D115" s="24">
        <v>2695.51</v>
      </c>
      <c r="E115" s="24">
        <f>(2500+2500)*1.02</f>
        <v>5100</v>
      </c>
      <c r="F115" s="16" t="s">
        <v>249</v>
      </c>
      <c r="G115" s="27">
        <v>5617.66</v>
      </c>
      <c r="H115" s="24">
        <f>4300*1.02</f>
        <v>4386</v>
      </c>
      <c r="I115" s="4" t="s">
        <v>247</v>
      </c>
      <c r="J115" s="24">
        <f>4194+78.16</f>
        <v>4272.16</v>
      </c>
      <c r="K115" s="20">
        <f t="shared" si="26"/>
        <v>12271.75304347826</v>
      </c>
      <c r="L115" s="20">
        <f t="shared" si="27"/>
        <v>12585.33</v>
      </c>
      <c r="M115" s="33">
        <f t="shared" si="28"/>
        <v>-2.555274339458677</v>
      </c>
      <c r="N115" s="4"/>
      <c r="O115" s="34"/>
      <c r="P115" s="34"/>
      <c r="Q115" s="34"/>
    </row>
    <row r="116" spans="1:17" x14ac:dyDescent="0.25">
      <c r="A116" s="23" t="s">
        <v>133</v>
      </c>
      <c r="B116" s="26">
        <f>(595+160)/1.15*1.04*1.02</f>
        <v>696.43826086956528</v>
      </c>
      <c r="C116" s="4" t="s">
        <v>248</v>
      </c>
      <c r="D116" s="24">
        <v>643</v>
      </c>
      <c r="E116" s="24"/>
      <c r="F116" s="4"/>
      <c r="G116" s="27"/>
      <c r="H116" s="24"/>
      <c r="I116" s="4"/>
      <c r="J116" s="24"/>
      <c r="K116" s="20">
        <f t="shared" si="26"/>
        <v>696.43826086956528</v>
      </c>
      <c r="L116" s="20">
        <f t="shared" si="27"/>
        <v>643</v>
      </c>
      <c r="M116" s="13">
        <f t="shared" si="28"/>
        <v>7.6730794202551209</v>
      </c>
      <c r="N116" s="4"/>
      <c r="O116" s="34"/>
      <c r="P116" s="34"/>
      <c r="Q116" s="34"/>
    </row>
    <row r="117" spans="1:17" x14ac:dyDescent="0.25">
      <c r="A117" s="23" t="s">
        <v>134</v>
      </c>
      <c r="B117" s="26">
        <f>(1495+475)/1.15*1.04*1.02</f>
        <v>1817.1965217391305</v>
      </c>
      <c r="C117" s="4" t="s">
        <v>248</v>
      </c>
      <c r="D117" s="24">
        <v>1423.46</v>
      </c>
      <c r="E117" s="24"/>
      <c r="F117" s="4"/>
      <c r="G117" s="27"/>
      <c r="H117" s="24"/>
      <c r="I117" s="4"/>
      <c r="J117" s="24"/>
      <c r="K117" s="20">
        <f t="shared" si="26"/>
        <v>1817.1965217391305</v>
      </c>
      <c r="L117" s="20">
        <f t="shared" si="27"/>
        <v>1423.46</v>
      </c>
      <c r="M117" s="13">
        <f t="shared" si="28"/>
        <v>21.667250461293463</v>
      </c>
      <c r="N117" s="4"/>
      <c r="O117" s="34"/>
      <c r="P117" s="34"/>
      <c r="Q117" s="34"/>
    </row>
    <row r="118" spans="1:17" x14ac:dyDescent="0.25">
      <c r="A118" s="23" t="s">
        <v>135</v>
      </c>
      <c r="B118" s="17"/>
      <c r="C118" s="4"/>
      <c r="D118" s="24"/>
      <c r="E118" s="24"/>
      <c r="F118" s="4"/>
      <c r="G118" s="27"/>
      <c r="H118" s="24"/>
      <c r="I118" s="4"/>
      <c r="J118" s="24"/>
      <c r="K118" s="20"/>
      <c r="L118" s="20"/>
      <c r="M118" s="13"/>
      <c r="N118" s="4"/>
      <c r="O118" s="34"/>
      <c r="P118" s="34"/>
      <c r="Q118" s="34"/>
    </row>
    <row r="119" spans="1:17" x14ac:dyDescent="0.25">
      <c r="A119" s="23" t="s">
        <v>140</v>
      </c>
      <c r="B119" s="17"/>
      <c r="C119" s="4"/>
      <c r="D119" s="24"/>
      <c r="E119" s="24"/>
      <c r="F119" s="4"/>
      <c r="G119" s="27"/>
      <c r="H119" s="24"/>
      <c r="I119" s="4"/>
      <c r="J119" s="24"/>
      <c r="K119" s="20"/>
      <c r="L119" s="20"/>
      <c r="M119" s="13"/>
      <c r="N119" s="4"/>
      <c r="O119" s="34"/>
      <c r="P119" s="34"/>
      <c r="Q119" s="34"/>
    </row>
    <row r="120" spans="1:17" x14ac:dyDescent="0.25">
      <c r="A120" s="23"/>
      <c r="B120" s="8"/>
      <c r="C120" s="4"/>
      <c r="D120" s="9"/>
      <c r="E120" s="9"/>
      <c r="F120" s="4"/>
      <c r="G120" s="15"/>
      <c r="H120" s="9"/>
      <c r="I120" s="4"/>
      <c r="J120" s="43"/>
      <c r="K120" s="39">
        <f>SUM(K2:K119)</f>
        <v>1043902.8791652177</v>
      </c>
      <c r="L120" s="39">
        <f>SUM(L2:L119)</f>
        <v>935357.33259999997</v>
      </c>
      <c r="M120" s="35">
        <f>100-L120*100/K120</f>
        <v>10.398050310199253</v>
      </c>
      <c r="N120" s="39">
        <f>K120-L120</f>
        <v>108545.54656521778</v>
      </c>
      <c r="O120" s="44">
        <f>SUM(O2:O119)</f>
        <v>98975</v>
      </c>
      <c r="P120" s="35"/>
      <c r="Q120" s="39">
        <f>SUM(Q2:Q119)</f>
        <v>83137.790000000023</v>
      </c>
    </row>
    <row r="121" spans="1:17" x14ac:dyDescent="0.25">
      <c r="K121" s="45">
        <f>O120</f>
        <v>98975</v>
      </c>
      <c r="L121" s="45">
        <f>Q120</f>
        <v>83137.790000000023</v>
      </c>
      <c r="M121" s="35">
        <f>100-L121*100/K121</f>
        <v>16.001222530942144</v>
      </c>
      <c r="N121" s="45">
        <f>K121-L121</f>
        <v>15837.209999999977</v>
      </c>
    </row>
    <row r="122" spans="1:17" x14ac:dyDescent="0.25">
      <c r="K122" s="45">
        <f>SUM(K120:K121)</f>
        <v>1142877.8791652177</v>
      </c>
      <c r="L122" s="45">
        <f>SUM(L120:L121)</f>
        <v>1018495.1226</v>
      </c>
      <c r="M122" s="48">
        <f>SUM(M120:M121)/2</f>
        <v>13.199636420570698</v>
      </c>
      <c r="N122" s="48">
        <f>SUM(N120:N121)</f>
        <v>124382.75656521776</v>
      </c>
    </row>
    <row r="123" spans="1:17" x14ac:dyDescent="0.25">
      <c r="K123" s="46"/>
      <c r="L123" s="77" t="s">
        <v>251</v>
      </c>
      <c r="M123" s="78"/>
      <c r="N123" s="45">
        <f>SUM(N120:N121)</f>
        <v>124382.75656521776</v>
      </c>
    </row>
  </sheetData>
  <mergeCells count="3">
    <mergeCell ref="N62:O62"/>
    <mergeCell ref="N96:O96"/>
    <mergeCell ref="L123:M123"/>
  </mergeCells>
  <printOptions horizontalCentered="1"/>
  <pageMargins left="0.2" right="0.2" top="0.25" bottom="0.25" header="0.05" footer="0.05"/>
  <pageSetup scale="92" fitToHeight="0" orientation="landscape" r:id="rId1"/>
  <headerFooter>
    <oddFooter>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6"/>
  <sheetViews>
    <sheetView topLeftCell="A72" workbookViewId="0">
      <selection activeCell="O1" sqref="O1:R1048576"/>
    </sheetView>
  </sheetViews>
  <sheetFormatPr defaultRowHeight="15" x14ac:dyDescent="0.25"/>
  <cols>
    <col min="1" max="1" width="4" bestFit="1" customWidth="1"/>
    <col min="2" max="2" width="8.5703125" bestFit="1" customWidth="1"/>
    <col min="3" max="3" width="14.5703125" customWidth="1"/>
    <col min="4" max="4" width="7" bestFit="1" customWidth="1"/>
    <col min="5" max="5" width="6" bestFit="1" customWidth="1"/>
    <col min="6" max="6" width="8.42578125" customWidth="1"/>
    <col min="7" max="7" width="6" bestFit="1" customWidth="1"/>
    <col min="8" max="8" width="6.85546875" bestFit="1" customWidth="1"/>
    <col min="9" max="9" width="10" bestFit="1" customWidth="1"/>
    <col min="10" max="10" width="6.85546875" bestFit="1" customWidth="1"/>
    <col min="11" max="12" width="9.140625" bestFit="1" customWidth="1"/>
    <col min="13" max="13" width="7.7109375" bestFit="1" customWidth="1"/>
    <col min="14" max="14" width="24.85546875" bestFit="1" customWidth="1"/>
  </cols>
  <sheetData>
    <row r="1" spans="1:14" ht="30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252</v>
      </c>
      <c r="I1" s="7" t="s">
        <v>9</v>
      </c>
      <c r="J1" s="3" t="s">
        <v>253</v>
      </c>
      <c r="K1" s="5" t="s">
        <v>10</v>
      </c>
      <c r="L1" s="5" t="s">
        <v>11</v>
      </c>
      <c r="M1" s="12" t="s">
        <v>61</v>
      </c>
      <c r="N1" s="7" t="s">
        <v>1</v>
      </c>
    </row>
    <row r="2" spans="1:14" x14ac:dyDescent="0.25">
      <c r="A2" s="23" t="s">
        <v>141</v>
      </c>
      <c r="B2" s="26">
        <f>7390+11800+7600+1875+2175+750</f>
        <v>31590</v>
      </c>
      <c r="C2" s="16" t="s">
        <v>250</v>
      </c>
      <c r="D2" s="24">
        <v>30941.919999999998</v>
      </c>
      <c r="E2" s="24"/>
      <c r="F2" s="4"/>
      <c r="G2" s="27"/>
      <c r="H2" s="24"/>
      <c r="I2" s="4"/>
      <c r="J2" s="24"/>
      <c r="K2" s="20">
        <f>B2+E2+H2</f>
        <v>31590</v>
      </c>
      <c r="L2" s="20">
        <f>D2+G2+J2</f>
        <v>30941.919999999998</v>
      </c>
      <c r="M2" s="13">
        <f>100-L2*100/K2</f>
        <v>2.0515352959797468</v>
      </c>
      <c r="N2" s="4"/>
    </row>
    <row r="3" spans="1:14" x14ac:dyDescent="0.25">
      <c r="A3" s="23" t="s">
        <v>19</v>
      </c>
      <c r="B3" s="26">
        <f>16392+7868+3356</f>
        <v>27616</v>
      </c>
      <c r="C3" s="4" t="s">
        <v>258</v>
      </c>
      <c r="D3" s="24">
        <f>15833.8+7392.36+1017.89+1922.67</f>
        <v>26166.720000000001</v>
      </c>
      <c r="E3" s="26">
        <f>1550+11200</f>
        <v>12750</v>
      </c>
      <c r="F3" s="4" t="s">
        <v>146</v>
      </c>
      <c r="G3" s="27">
        <f>2919.89+10623.21</f>
        <v>13543.099999999999</v>
      </c>
      <c r="H3" s="24">
        <f>7549+1473+4200</f>
        <v>13222</v>
      </c>
      <c r="I3" s="4" t="s">
        <v>255</v>
      </c>
      <c r="J3" s="24">
        <f>1761.88+1761.88+4803.98</f>
        <v>8327.74</v>
      </c>
      <c r="K3" s="20">
        <f t="shared" ref="K3:K8" si="0">B3+E3+H3</f>
        <v>53588</v>
      </c>
      <c r="L3" s="20">
        <f t="shared" ref="L3:L8" si="1">D3+G3+J3</f>
        <v>48037.56</v>
      </c>
      <c r="M3" s="13">
        <f t="shared" ref="M3:M8" si="2">100-L3*100/K3</f>
        <v>10.35761737702471</v>
      </c>
      <c r="N3" s="4"/>
    </row>
    <row r="4" spans="1:14" x14ac:dyDescent="0.25">
      <c r="A4" s="23" t="s">
        <v>20</v>
      </c>
      <c r="B4" s="26">
        <f>11148+5351+2970</f>
        <v>19469</v>
      </c>
      <c r="C4" s="4" t="s">
        <v>258</v>
      </c>
      <c r="D4" s="24">
        <f>10819.75+5051.46+2646.56</f>
        <v>18517.77</v>
      </c>
      <c r="E4" s="26">
        <f>455+3200</f>
        <v>3655</v>
      </c>
      <c r="F4" s="4" t="s">
        <v>146</v>
      </c>
      <c r="G4" s="27">
        <f>610.82+3121.57</f>
        <v>3732.3900000000003</v>
      </c>
      <c r="H4" s="24">
        <f>4200</f>
        <v>4200</v>
      </c>
      <c r="I4" s="4" t="s">
        <v>254</v>
      </c>
      <c r="J4" s="24">
        <f>1761.88+1761.88</f>
        <v>3523.76</v>
      </c>
      <c r="K4" s="20">
        <f t="shared" si="0"/>
        <v>27324</v>
      </c>
      <c r="L4" s="20">
        <f t="shared" si="1"/>
        <v>25773.919999999998</v>
      </c>
      <c r="M4" s="14">
        <f t="shared" si="2"/>
        <v>5.6729614990484549</v>
      </c>
      <c r="N4" s="4"/>
    </row>
    <row r="5" spans="1:14" x14ac:dyDescent="0.25">
      <c r="A5" s="23" t="s">
        <v>21</v>
      </c>
      <c r="B5" s="26">
        <f>11886+5705+3564</f>
        <v>21155</v>
      </c>
      <c r="C5" s="4" t="s">
        <v>258</v>
      </c>
      <c r="D5" s="24">
        <f>11498.35+5368.26+2867.11</f>
        <v>19733.72</v>
      </c>
      <c r="E5" s="26">
        <f>455+3990</f>
        <v>4445</v>
      </c>
      <c r="F5" s="4" t="s">
        <v>146</v>
      </c>
      <c r="G5" s="27">
        <f>610.82+3781.76</f>
        <v>4392.58</v>
      </c>
      <c r="H5" s="24">
        <f>4200</f>
        <v>4200</v>
      </c>
      <c r="I5" s="4" t="s">
        <v>254</v>
      </c>
      <c r="J5" s="24">
        <f>1761.88+1761.88</f>
        <v>3523.76</v>
      </c>
      <c r="K5" s="20">
        <f t="shared" si="0"/>
        <v>29800</v>
      </c>
      <c r="L5" s="20">
        <f t="shared" si="1"/>
        <v>27650.060000000005</v>
      </c>
      <c r="M5" s="14">
        <f t="shared" si="2"/>
        <v>7.2145637583892466</v>
      </c>
      <c r="N5" s="4"/>
    </row>
    <row r="6" spans="1:14" x14ac:dyDescent="0.25">
      <c r="A6" s="23" t="s">
        <v>22</v>
      </c>
      <c r="B6" s="26">
        <f>14217+6824+3911</f>
        <v>24952</v>
      </c>
      <c r="C6" s="4" t="s">
        <v>258</v>
      </c>
      <c r="D6" s="24">
        <f>13345+6230.7+3277.4</f>
        <v>22853.100000000002</v>
      </c>
      <c r="E6" s="26">
        <f>1550+5530</f>
        <v>7080</v>
      </c>
      <c r="F6" s="4" t="s">
        <v>146</v>
      </c>
      <c r="G6" s="27">
        <f>1345.84+5174.19</f>
        <v>6520.03</v>
      </c>
      <c r="H6" s="24">
        <f>9766+1786+4200</f>
        <v>15752</v>
      </c>
      <c r="I6" s="4" t="s">
        <v>255</v>
      </c>
      <c r="J6" s="24">
        <f>1761.88+1761.88+4003.32</f>
        <v>7527.08</v>
      </c>
      <c r="K6" s="20">
        <f t="shared" si="0"/>
        <v>47784</v>
      </c>
      <c r="L6" s="20">
        <f t="shared" si="1"/>
        <v>36900.21</v>
      </c>
      <c r="M6" s="13">
        <f t="shared" si="2"/>
        <v>22.777059266700149</v>
      </c>
      <c r="N6" s="4"/>
    </row>
    <row r="7" spans="1:14" x14ac:dyDescent="0.25">
      <c r="A7" s="23" t="s">
        <v>23</v>
      </c>
      <c r="B7" s="47"/>
      <c r="C7" s="4"/>
      <c r="D7" s="24"/>
      <c r="E7" s="24"/>
      <c r="F7" s="4"/>
      <c r="G7" s="27"/>
      <c r="H7" s="24"/>
      <c r="I7" s="4"/>
      <c r="J7" s="24"/>
      <c r="K7" s="20">
        <f t="shared" si="0"/>
        <v>0</v>
      </c>
      <c r="L7" s="20">
        <f t="shared" si="1"/>
        <v>0</v>
      </c>
      <c r="M7" s="13">
        <v>0</v>
      </c>
      <c r="N7" s="4"/>
    </row>
    <row r="8" spans="1:14" x14ac:dyDescent="0.25">
      <c r="A8" s="23" t="s">
        <v>24</v>
      </c>
      <c r="B8" s="26">
        <f>(5300)*1.05</f>
        <v>5565</v>
      </c>
      <c r="C8" s="4" t="s">
        <v>256</v>
      </c>
      <c r="D8" s="24">
        <v>4700</v>
      </c>
      <c r="E8" s="24">
        <f>(5700+550)*1.05</f>
        <v>6562.5</v>
      </c>
      <c r="F8" s="4" t="s">
        <v>212</v>
      </c>
      <c r="G8" s="27">
        <f>2598*2+423</f>
        <v>5619</v>
      </c>
      <c r="H8" s="24"/>
      <c r="I8" s="4"/>
      <c r="J8" s="24"/>
      <c r="K8" s="20">
        <f t="shared" si="0"/>
        <v>12127.5</v>
      </c>
      <c r="L8" s="20">
        <f t="shared" si="1"/>
        <v>10319</v>
      </c>
      <c r="M8" s="13">
        <f t="shared" si="2"/>
        <v>14.912389198103483</v>
      </c>
      <c r="N8" s="4"/>
    </row>
    <row r="9" spans="1:14" x14ac:dyDescent="0.25">
      <c r="A9" s="23" t="s">
        <v>25</v>
      </c>
      <c r="B9" s="26">
        <f>(5300)*1.05</f>
        <v>5565</v>
      </c>
      <c r="C9" s="4" t="s">
        <v>256</v>
      </c>
      <c r="D9" s="24">
        <v>4700</v>
      </c>
      <c r="E9" s="24">
        <f>(5700+550)*1.05</f>
        <v>6562.5</v>
      </c>
      <c r="F9" s="4" t="s">
        <v>212</v>
      </c>
      <c r="G9" s="27">
        <f>2598*2+423</f>
        <v>5619</v>
      </c>
      <c r="H9" s="24"/>
      <c r="I9" s="4"/>
      <c r="J9" s="24"/>
      <c r="K9" s="20">
        <f t="shared" ref="K9:K32" si="3">B9+E9+H9</f>
        <v>12127.5</v>
      </c>
      <c r="L9" s="20">
        <f t="shared" ref="L9:L18" si="4">D9+G9+J9</f>
        <v>10319</v>
      </c>
      <c r="M9" s="13">
        <f t="shared" ref="M9:M16" si="5">100-L9*100/K9</f>
        <v>14.912389198103483</v>
      </c>
      <c r="N9" s="4"/>
    </row>
    <row r="10" spans="1:14" x14ac:dyDescent="0.25">
      <c r="A10" s="23" t="s">
        <v>26</v>
      </c>
      <c r="B10" s="26">
        <f>(319)*1.03</f>
        <v>328.57</v>
      </c>
      <c r="C10" s="4" t="s">
        <v>256</v>
      </c>
      <c r="D10" s="24">
        <v>300</v>
      </c>
      <c r="E10" s="24">
        <f>(700)*1.03</f>
        <v>721</v>
      </c>
      <c r="F10" s="4" t="s">
        <v>212</v>
      </c>
      <c r="G10" s="27">
        <f>2*257</f>
        <v>514</v>
      </c>
      <c r="H10" s="24"/>
      <c r="I10" s="4"/>
      <c r="J10" s="24"/>
      <c r="K10" s="20">
        <f t="shared" si="3"/>
        <v>1049.57</v>
      </c>
      <c r="L10" s="20">
        <f t="shared" si="4"/>
        <v>814</v>
      </c>
      <c r="M10" s="13">
        <f t="shared" si="5"/>
        <v>22.444429623560126</v>
      </c>
      <c r="N10" s="4"/>
    </row>
    <row r="11" spans="1:14" x14ac:dyDescent="0.25">
      <c r="A11" s="23" t="s">
        <v>27</v>
      </c>
      <c r="B11" s="26">
        <f>(708+826+826+87+135+74+49+113)*1.03</f>
        <v>2902.54</v>
      </c>
      <c r="C11" s="4" t="s">
        <v>257</v>
      </c>
      <c r="D11" s="24">
        <v>2866.05</v>
      </c>
      <c r="E11" s="24"/>
      <c r="F11" s="4"/>
      <c r="G11" s="27"/>
      <c r="H11" s="24"/>
      <c r="I11" s="4"/>
      <c r="J11" s="24"/>
      <c r="K11" s="20">
        <f t="shared" si="3"/>
        <v>2902.54</v>
      </c>
      <c r="L11" s="20">
        <f t="shared" si="4"/>
        <v>2866.05</v>
      </c>
      <c r="M11" s="13">
        <f t="shared" si="5"/>
        <v>1.2571747503910302</v>
      </c>
      <c r="N11" s="4"/>
    </row>
    <row r="12" spans="1:14" x14ac:dyDescent="0.25">
      <c r="A12" s="23" t="s">
        <v>28</v>
      </c>
      <c r="B12" s="26">
        <f>(5540+2640+320+288+1031+840+30+40)</f>
        <v>10729</v>
      </c>
      <c r="C12" s="4" t="s">
        <v>259</v>
      </c>
      <c r="D12" s="24">
        <f>(975+2032+4800+57.4+961+243+21.8)</f>
        <v>9090.1999999999989</v>
      </c>
      <c r="E12" s="24"/>
      <c r="F12" s="4"/>
      <c r="G12" s="27"/>
      <c r="H12" s="24"/>
      <c r="I12" s="4"/>
      <c r="J12" s="24"/>
      <c r="K12" s="20">
        <f t="shared" si="3"/>
        <v>10729</v>
      </c>
      <c r="L12" s="20">
        <f t="shared" si="4"/>
        <v>9090.1999999999989</v>
      </c>
      <c r="M12" s="13">
        <f t="shared" si="5"/>
        <v>15.274489700810904</v>
      </c>
      <c r="N12" s="4"/>
    </row>
    <row r="13" spans="1:14" x14ac:dyDescent="0.25">
      <c r="A13" s="23" t="s">
        <v>29</v>
      </c>
      <c r="B13" s="26">
        <f>(5540+2640+320+288+1031+840+30+40)</f>
        <v>10729</v>
      </c>
      <c r="C13" s="4" t="s">
        <v>259</v>
      </c>
      <c r="D13" s="24">
        <f>(975+2032+4800+57.4+961+243+21.8)</f>
        <v>9090.1999999999989</v>
      </c>
      <c r="E13" s="24"/>
      <c r="F13" s="4"/>
      <c r="G13" s="27"/>
      <c r="H13" s="24"/>
      <c r="I13" s="4"/>
      <c r="J13" s="24"/>
      <c r="K13" s="20">
        <f t="shared" si="3"/>
        <v>10729</v>
      </c>
      <c r="L13" s="20">
        <f t="shared" si="4"/>
        <v>9090.1999999999989</v>
      </c>
      <c r="M13" s="13">
        <f t="shared" si="5"/>
        <v>15.274489700810904</v>
      </c>
      <c r="N13" s="4"/>
    </row>
    <row r="14" spans="1:14" x14ac:dyDescent="0.25">
      <c r="A14" s="23" t="s">
        <v>30</v>
      </c>
      <c r="B14" s="47"/>
      <c r="C14" s="4"/>
      <c r="D14" s="24"/>
      <c r="E14" s="26"/>
      <c r="F14" s="4"/>
      <c r="G14" s="27"/>
      <c r="H14" s="26"/>
      <c r="I14" s="4"/>
      <c r="J14" s="24"/>
      <c r="K14" s="20">
        <f t="shared" si="3"/>
        <v>0</v>
      </c>
      <c r="L14" s="20">
        <f t="shared" si="4"/>
        <v>0</v>
      </c>
      <c r="M14" s="13">
        <v>0</v>
      </c>
      <c r="N14" s="4"/>
    </row>
    <row r="15" spans="1:14" x14ac:dyDescent="0.25">
      <c r="A15" s="23" t="s">
        <v>35</v>
      </c>
      <c r="B15" s="26">
        <f>(383+510+2450+1838+459+613)*1.03</f>
        <v>6440.59</v>
      </c>
      <c r="C15" s="16" t="s">
        <v>260</v>
      </c>
      <c r="D15" s="24">
        <f>(1200+3359.098+1464.97)</f>
        <v>6024.0680000000002</v>
      </c>
      <c r="E15" s="24"/>
      <c r="F15" s="4"/>
      <c r="G15" s="27"/>
      <c r="H15" s="24"/>
      <c r="I15" s="4"/>
      <c r="J15" s="24"/>
      <c r="K15" s="20">
        <f t="shared" si="3"/>
        <v>6440.59</v>
      </c>
      <c r="L15" s="20">
        <f t="shared" si="4"/>
        <v>6024.0680000000002</v>
      </c>
      <c r="M15" s="13">
        <f t="shared" si="5"/>
        <v>6.4671404327864366</v>
      </c>
      <c r="N15" s="4"/>
    </row>
    <row r="16" spans="1:14" x14ac:dyDescent="0.25">
      <c r="A16" s="23" t="s">
        <v>36</v>
      </c>
      <c r="B16" s="26">
        <f>(1327)*1.03</f>
        <v>1366.81</v>
      </c>
      <c r="C16" s="4" t="s">
        <v>256</v>
      </c>
      <c r="D16" s="24">
        <v>1305</v>
      </c>
      <c r="E16" s="26">
        <f>(1060)*1.03</f>
        <v>1091.8</v>
      </c>
      <c r="F16" s="4" t="s">
        <v>146</v>
      </c>
      <c r="G16" s="27">
        <v>1078</v>
      </c>
      <c r="H16" s="24"/>
      <c r="I16" s="4"/>
      <c r="J16" s="24"/>
      <c r="K16" s="20">
        <f t="shared" si="3"/>
        <v>2458.6099999999997</v>
      </c>
      <c r="L16" s="20">
        <f t="shared" si="4"/>
        <v>2383</v>
      </c>
      <c r="M16" s="13">
        <f t="shared" si="5"/>
        <v>3.0753149137113951</v>
      </c>
      <c r="N16" s="4"/>
    </row>
    <row r="17" spans="1:14" x14ac:dyDescent="0.25">
      <c r="A17" s="23" t="s">
        <v>37</v>
      </c>
      <c r="B17" s="47"/>
      <c r="C17" s="4"/>
      <c r="D17" s="24"/>
      <c r="E17" s="24"/>
      <c r="F17" s="4"/>
      <c r="G17" s="27"/>
      <c r="H17" s="24"/>
      <c r="I17" s="4"/>
      <c r="J17" s="24"/>
      <c r="K17" s="20">
        <f t="shared" si="3"/>
        <v>0</v>
      </c>
      <c r="L17" s="20">
        <f t="shared" si="4"/>
        <v>0</v>
      </c>
      <c r="M17" s="13">
        <v>0</v>
      </c>
      <c r="N17" s="4"/>
    </row>
    <row r="18" spans="1:14" x14ac:dyDescent="0.25">
      <c r="A18" s="23" t="s">
        <v>38</v>
      </c>
      <c r="B18" s="47"/>
      <c r="C18" s="4"/>
      <c r="D18" s="24"/>
      <c r="E18" s="24"/>
      <c r="F18" s="4"/>
      <c r="G18" s="27"/>
      <c r="H18" s="24"/>
      <c r="I18" s="4"/>
      <c r="J18" s="24"/>
      <c r="K18" s="20">
        <f t="shared" si="3"/>
        <v>0</v>
      </c>
      <c r="L18" s="20">
        <f t="shared" si="4"/>
        <v>0</v>
      </c>
      <c r="M18" s="13">
        <v>0</v>
      </c>
      <c r="N18" s="4"/>
    </row>
    <row r="19" spans="1:14" x14ac:dyDescent="0.25">
      <c r="A19" s="23" t="s">
        <v>39</v>
      </c>
      <c r="B19" s="47"/>
      <c r="C19" s="4"/>
      <c r="D19" s="24"/>
      <c r="E19" s="24"/>
      <c r="F19" s="4"/>
      <c r="G19" s="27"/>
      <c r="H19" s="24"/>
      <c r="I19" s="4"/>
      <c r="J19" s="24"/>
      <c r="K19" s="20">
        <f t="shared" si="3"/>
        <v>0</v>
      </c>
      <c r="L19" s="20">
        <f t="shared" ref="L19:L24" si="6">D19+G19+J19</f>
        <v>0</v>
      </c>
      <c r="M19" s="13">
        <v>0</v>
      </c>
      <c r="N19" s="4"/>
    </row>
    <row r="20" spans="1:14" x14ac:dyDescent="0.25">
      <c r="A20" s="23" t="s">
        <v>40</v>
      </c>
      <c r="B20" s="47"/>
      <c r="C20" s="4"/>
      <c r="D20" s="24"/>
      <c r="E20" s="24"/>
      <c r="F20" s="4"/>
      <c r="G20" s="27"/>
      <c r="H20" s="24"/>
      <c r="I20" s="4"/>
      <c r="J20" s="24"/>
      <c r="K20" s="20">
        <f t="shared" si="3"/>
        <v>0</v>
      </c>
      <c r="L20" s="20">
        <f t="shared" si="6"/>
        <v>0</v>
      </c>
      <c r="M20" s="13">
        <v>0</v>
      </c>
      <c r="N20" s="4"/>
    </row>
    <row r="21" spans="1:14" x14ac:dyDescent="0.25">
      <c r="A21" s="23" t="s">
        <v>60</v>
      </c>
      <c r="B21" s="26">
        <f>(7640+20125+16100+8335+3820+2290+1910+225)*1.02</f>
        <v>61653.9</v>
      </c>
      <c r="C21" s="4" t="s">
        <v>260</v>
      </c>
      <c r="D21" s="24">
        <v>58760.23</v>
      </c>
      <c r="E21" s="26">
        <f>(810)*1.02</f>
        <v>826.2</v>
      </c>
      <c r="F21" s="4" t="s">
        <v>262</v>
      </c>
      <c r="G21" s="27">
        <v>832</v>
      </c>
      <c r="H21" s="26">
        <f>(2065)*1.02</f>
        <v>2106.3000000000002</v>
      </c>
      <c r="I21" s="4" t="s">
        <v>261</v>
      </c>
      <c r="J21" s="24">
        <v>1405</v>
      </c>
      <c r="K21" s="20">
        <f t="shared" si="3"/>
        <v>64586.400000000001</v>
      </c>
      <c r="L21" s="20">
        <f t="shared" si="6"/>
        <v>60997.23</v>
      </c>
      <c r="M21" s="13">
        <f>100-L21*100/K21</f>
        <v>5.5571606406302294</v>
      </c>
      <c r="N21" s="4"/>
    </row>
    <row r="22" spans="1:14" x14ac:dyDescent="0.25">
      <c r="A22" s="23" t="s">
        <v>41</v>
      </c>
      <c r="B22" s="26">
        <f>(7640+20125+16100+8335+3820+2290+1910+225)*1.02</f>
        <v>61653.9</v>
      </c>
      <c r="C22" s="4" t="s">
        <v>260</v>
      </c>
      <c r="D22" s="24">
        <v>58760.23</v>
      </c>
      <c r="E22" s="26">
        <f>(810)*1.02</f>
        <v>826.2</v>
      </c>
      <c r="F22" s="4" t="s">
        <v>262</v>
      </c>
      <c r="G22" s="27">
        <v>832</v>
      </c>
      <c r="H22" s="26">
        <f>(2065)*1.02</f>
        <v>2106.3000000000002</v>
      </c>
      <c r="I22" s="4" t="s">
        <v>261</v>
      </c>
      <c r="J22" s="24">
        <v>1405</v>
      </c>
      <c r="K22" s="20">
        <f t="shared" si="3"/>
        <v>64586.400000000001</v>
      </c>
      <c r="L22" s="20">
        <f t="shared" si="6"/>
        <v>60997.23</v>
      </c>
      <c r="M22" s="13">
        <f>100-L22*100/K22</f>
        <v>5.5571606406302294</v>
      </c>
      <c r="N22" s="4"/>
    </row>
    <row r="23" spans="1:14" x14ac:dyDescent="0.25">
      <c r="A23" s="23" t="s">
        <v>42</v>
      </c>
      <c r="B23" s="26">
        <f>(7640+20125+16100+8335+3820+2290+1910+225)*1.02</f>
        <v>61653.9</v>
      </c>
      <c r="C23" s="4" t="s">
        <v>260</v>
      </c>
      <c r="D23" s="24">
        <v>58760.23</v>
      </c>
      <c r="E23" s="26">
        <f>(810)*1.02</f>
        <v>826.2</v>
      </c>
      <c r="F23" s="4" t="s">
        <v>262</v>
      </c>
      <c r="G23" s="27">
        <v>832</v>
      </c>
      <c r="H23" s="26">
        <f>(2065)*1.02</f>
        <v>2106.3000000000002</v>
      </c>
      <c r="I23" s="4" t="s">
        <v>261</v>
      </c>
      <c r="J23" s="24">
        <v>1405</v>
      </c>
      <c r="K23" s="20">
        <f t="shared" si="3"/>
        <v>64586.400000000001</v>
      </c>
      <c r="L23" s="20">
        <f t="shared" si="6"/>
        <v>60997.23</v>
      </c>
      <c r="M23" s="13">
        <f>100-L23*100/K23</f>
        <v>5.5571606406302294</v>
      </c>
      <c r="N23" s="4"/>
    </row>
    <row r="24" spans="1:14" x14ac:dyDescent="0.25">
      <c r="A24" s="23" t="s">
        <v>43</v>
      </c>
      <c r="B24" s="26">
        <f>(1716+515)*1.03</f>
        <v>2297.9299999999998</v>
      </c>
      <c r="C24" s="4" t="s">
        <v>235</v>
      </c>
      <c r="D24" s="24">
        <f>1563.44+490.24</f>
        <v>2053.6800000000003</v>
      </c>
      <c r="E24" s="24"/>
      <c r="F24" s="4"/>
      <c r="G24" s="27"/>
      <c r="H24" s="24"/>
      <c r="I24" s="4"/>
      <c r="J24" s="24"/>
      <c r="K24" s="20">
        <f t="shared" si="3"/>
        <v>2297.9299999999998</v>
      </c>
      <c r="L24" s="20">
        <f t="shared" si="6"/>
        <v>2053.6800000000003</v>
      </c>
      <c r="M24" s="13">
        <f>100-L24*100/K24</f>
        <v>10.629131435683405</v>
      </c>
      <c r="N24" s="4"/>
    </row>
    <row r="25" spans="1:14" x14ac:dyDescent="0.25">
      <c r="A25" s="23" t="s">
        <v>44</v>
      </c>
      <c r="B25" s="26">
        <f>(2384+10620+1791)*1.03</f>
        <v>15238.85</v>
      </c>
      <c r="C25" s="4" t="s">
        <v>235</v>
      </c>
      <c r="D25" s="24">
        <f>2308.53+6642.34+4981.65</f>
        <v>13932.52</v>
      </c>
      <c r="E25" s="24"/>
      <c r="F25" s="4"/>
      <c r="G25" s="27"/>
      <c r="H25" s="24"/>
      <c r="I25" s="4"/>
      <c r="J25" s="24"/>
      <c r="K25" s="20">
        <f t="shared" si="3"/>
        <v>15238.85</v>
      </c>
      <c r="L25" s="20">
        <f t="shared" ref="L25:L32" si="7">D25+G25+J25</f>
        <v>13932.52</v>
      </c>
      <c r="M25" s="13">
        <f t="shared" ref="M25:M32" si="8">100-L25*100/K25</f>
        <v>8.5723660249953326</v>
      </c>
      <c r="N25" s="4"/>
    </row>
    <row r="26" spans="1:14" x14ac:dyDescent="0.25">
      <c r="A26" s="23" t="s">
        <v>45</v>
      </c>
      <c r="B26" s="26">
        <f>(1707+1981+4952+1553)*1.02</f>
        <v>10396.86</v>
      </c>
      <c r="C26" s="4" t="s">
        <v>235</v>
      </c>
      <c r="D26" s="24">
        <v>9828.08</v>
      </c>
      <c r="E26" s="24"/>
      <c r="F26" s="4"/>
      <c r="G26" s="27"/>
      <c r="H26" s="24"/>
      <c r="I26" s="4"/>
      <c r="J26" s="24"/>
      <c r="K26" s="20">
        <f t="shared" si="3"/>
        <v>10396.86</v>
      </c>
      <c r="L26" s="20">
        <f t="shared" si="7"/>
        <v>9828.08</v>
      </c>
      <c r="M26" s="13">
        <f t="shared" si="8"/>
        <v>5.4706901891532738</v>
      </c>
      <c r="N26" s="4"/>
    </row>
    <row r="27" spans="1:14" x14ac:dyDescent="0.25">
      <c r="A27" s="23" t="s">
        <v>46</v>
      </c>
      <c r="B27" s="26">
        <f>(19962+7897+9871+14488)*1.02</f>
        <v>53262.36</v>
      </c>
      <c r="C27" s="4" t="s">
        <v>235</v>
      </c>
      <c r="D27" s="24">
        <f>(10156.46+8125.168+1498.23+3245.27+7182)</f>
        <v>30207.127999999997</v>
      </c>
      <c r="E27" s="24"/>
      <c r="F27" s="4"/>
      <c r="G27" s="27"/>
      <c r="H27" s="24"/>
      <c r="I27" s="4"/>
      <c r="J27" s="24"/>
      <c r="K27" s="20">
        <f t="shared" si="3"/>
        <v>53262.36</v>
      </c>
      <c r="L27" s="20">
        <f t="shared" si="7"/>
        <v>30207.127999999997</v>
      </c>
      <c r="M27" s="13">
        <f t="shared" si="8"/>
        <v>43.286163061494086</v>
      </c>
      <c r="N27" s="4"/>
    </row>
    <row r="28" spans="1:14" x14ac:dyDescent="0.25">
      <c r="A28" s="23" t="s">
        <v>47</v>
      </c>
      <c r="B28" s="26">
        <f>(1792+2389+6026+7767+1165+1553)*1.02</f>
        <v>21105.84</v>
      </c>
      <c r="C28" s="4" t="s">
        <v>235</v>
      </c>
      <c r="D28" s="24">
        <f>(4020.9+7992.35+5759.85+2876.53)</f>
        <v>20649.629999999997</v>
      </c>
      <c r="E28" s="24"/>
      <c r="F28" s="4"/>
      <c r="G28" s="27"/>
      <c r="H28" s="24"/>
      <c r="I28" s="4"/>
      <c r="J28" s="24"/>
      <c r="K28" s="20">
        <f t="shared" si="3"/>
        <v>21105.84</v>
      </c>
      <c r="L28" s="20">
        <f t="shared" si="7"/>
        <v>20649.629999999997</v>
      </c>
      <c r="M28" s="13">
        <f t="shared" si="8"/>
        <v>2.1615344378617607</v>
      </c>
      <c r="N28" s="4"/>
    </row>
    <row r="29" spans="1:14" x14ac:dyDescent="0.25">
      <c r="A29" s="23" t="s">
        <v>48</v>
      </c>
      <c r="B29" s="47"/>
      <c r="C29" s="4"/>
      <c r="D29" s="24"/>
      <c r="E29" s="24"/>
      <c r="F29" s="4"/>
      <c r="G29" s="27"/>
      <c r="H29" s="24"/>
      <c r="I29" s="4"/>
      <c r="J29" s="24"/>
      <c r="K29" s="20">
        <f t="shared" si="3"/>
        <v>0</v>
      </c>
      <c r="L29" s="20">
        <f t="shared" si="7"/>
        <v>0</v>
      </c>
      <c r="M29" s="13">
        <v>0</v>
      </c>
      <c r="N29" s="4"/>
    </row>
    <row r="30" spans="1:14" x14ac:dyDescent="0.25">
      <c r="A30" s="23" t="s">
        <v>49</v>
      </c>
      <c r="B30" s="26">
        <f>17646+7058</f>
        <v>24704</v>
      </c>
      <c r="C30" s="4" t="s">
        <v>136</v>
      </c>
      <c r="D30" s="26">
        <f>(4051.33*2+3241.215+3106.6375*2+2485.31)</f>
        <v>20042.460000000003</v>
      </c>
      <c r="E30" s="26">
        <f>23115</f>
        <v>23115</v>
      </c>
      <c r="F30" s="4" t="s">
        <v>146</v>
      </c>
      <c r="G30" s="26">
        <v>23317.82</v>
      </c>
      <c r="H30" s="24">
        <v>1250</v>
      </c>
      <c r="I30" s="4" t="s">
        <v>263</v>
      </c>
      <c r="J30" s="24">
        <v>714</v>
      </c>
      <c r="K30" s="20">
        <f t="shared" si="3"/>
        <v>49069</v>
      </c>
      <c r="L30" s="20">
        <f t="shared" si="7"/>
        <v>44074.28</v>
      </c>
      <c r="M30" s="13">
        <f t="shared" si="8"/>
        <v>10.178972467341907</v>
      </c>
      <c r="N30" s="4"/>
    </row>
    <row r="31" spans="1:14" x14ac:dyDescent="0.25">
      <c r="A31" s="23" t="s">
        <v>50</v>
      </c>
      <c r="B31" s="26">
        <f>17646+7058</f>
        <v>24704</v>
      </c>
      <c r="C31" s="4" t="s">
        <v>136</v>
      </c>
      <c r="D31" s="26">
        <f>(4051.33*2+3241.215+3106.6375*2+2485.31)</f>
        <v>20042.460000000003</v>
      </c>
      <c r="E31" s="26">
        <f>23115</f>
        <v>23115</v>
      </c>
      <c r="F31" s="4" t="s">
        <v>146</v>
      </c>
      <c r="G31" s="26">
        <v>23317.82</v>
      </c>
      <c r="H31" s="24">
        <v>1250</v>
      </c>
      <c r="I31" s="4" t="s">
        <v>263</v>
      </c>
      <c r="J31" s="24">
        <v>714</v>
      </c>
      <c r="K31" s="20">
        <f t="shared" si="3"/>
        <v>49069</v>
      </c>
      <c r="L31" s="20">
        <f t="shared" si="7"/>
        <v>44074.28</v>
      </c>
      <c r="M31" s="13">
        <f t="shared" si="8"/>
        <v>10.178972467341907</v>
      </c>
      <c r="N31" s="4"/>
    </row>
    <row r="32" spans="1:14" x14ac:dyDescent="0.25">
      <c r="A32" s="23" t="s">
        <v>51</v>
      </c>
      <c r="B32" s="26">
        <v>3655</v>
      </c>
      <c r="C32" s="4" t="s">
        <v>136</v>
      </c>
      <c r="D32" s="26">
        <v>3792.7</v>
      </c>
      <c r="E32" s="26">
        <v>5250</v>
      </c>
      <c r="F32" s="4" t="s">
        <v>146</v>
      </c>
      <c r="G32" s="26">
        <v>4938.74</v>
      </c>
      <c r="H32" s="24"/>
      <c r="I32" s="4"/>
      <c r="J32" s="24"/>
      <c r="K32" s="20">
        <f t="shared" si="3"/>
        <v>8905</v>
      </c>
      <c r="L32" s="20">
        <f t="shared" si="7"/>
        <v>8731.4399999999987</v>
      </c>
      <c r="M32" s="13">
        <f t="shared" si="8"/>
        <v>1.9490174059517216</v>
      </c>
      <c r="N32" s="4"/>
    </row>
    <row r="33" spans="1:14" x14ac:dyDescent="0.25">
      <c r="A33" s="23" t="s">
        <v>52</v>
      </c>
      <c r="B33" s="26">
        <f>(1275+55+240+85+215+825)*1.03</f>
        <v>2775.85</v>
      </c>
      <c r="C33" s="4" t="s">
        <v>265</v>
      </c>
      <c r="D33" s="24">
        <f>975+120+35+70+188+373.1</f>
        <v>1761.1</v>
      </c>
      <c r="E33" s="24"/>
      <c r="F33" s="4"/>
      <c r="G33" s="24"/>
      <c r="H33" s="24"/>
      <c r="I33" s="4"/>
      <c r="J33" s="24"/>
      <c r="K33" s="20">
        <f t="shared" ref="K33:K41" si="9">B33+E33+H33</f>
        <v>2775.85</v>
      </c>
      <c r="L33" s="20">
        <f t="shared" ref="L33:L41" si="10">D33+G33+J33</f>
        <v>1761.1</v>
      </c>
      <c r="M33" s="13">
        <f t="shared" ref="M33:M41" si="11">100-L33*100/K33</f>
        <v>36.556370120863875</v>
      </c>
      <c r="N33" s="4"/>
    </row>
    <row r="34" spans="1:14" x14ac:dyDescent="0.25">
      <c r="A34" s="23" t="s">
        <v>53</v>
      </c>
      <c r="B34" s="26">
        <f>(8625/32*26)*1.03+1890*1.03</f>
        <v>9164.7468750000007</v>
      </c>
      <c r="C34" s="4" t="s">
        <v>264</v>
      </c>
      <c r="D34" s="24">
        <v>8624</v>
      </c>
      <c r="E34" s="24"/>
      <c r="F34" s="4"/>
      <c r="G34" s="27"/>
      <c r="H34" s="24"/>
      <c r="I34" s="4"/>
      <c r="J34" s="24"/>
      <c r="K34" s="20">
        <f t="shared" si="9"/>
        <v>9164.7468750000007</v>
      </c>
      <c r="L34" s="20">
        <f t="shared" si="10"/>
        <v>8624</v>
      </c>
      <c r="M34" s="13">
        <f t="shared" si="11"/>
        <v>5.9002925271735904</v>
      </c>
      <c r="N34" s="4"/>
    </row>
    <row r="35" spans="1:14" x14ac:dyDescent="0.25">
      <c r="A35" s="23" t="s">
        <v>54</v>
      </c>
      <c r="B35" s="26">
        <f>(1721)*1.05</f>
        <v>1807.0500000000002</v>
      </c>
      <c r="C35" s="4" t="s">
        <v>136</v>
      </c>
      <c r="D35" s="24">
        <v>1628</v>
      </c>
      <c r="E35" s="26">
        <f>(1744)*1.05</f>
        <v>1831.2</v>
      </c>
      <c r="F35" s="4" t="s">
        <v>267</v>
      </c>
      <c r="G35" s="27">
        <v>1576</v>
      </c>
      <c r="H35" s="24"/>
      <c r="I35" s="4"/>
      <c r="J35" s="24"/>
      <c r="K35" s="20">
        <f t="shared" si="9"/>
        <v>3638.25</v>
      </c>
      <c r="L35" s="20">
        <f t="shared" si="10"/>
        <v>3204</v>
      </c>
      <c r="M35" s="13">
        <f t="shared" si="11"/>
        <v>11.9356833642548</v>
      </c>
      <c r="N35" s="4"/>
    </row>
    <row r="36" spans="1:14" x14ac:dyDescent="0.25">
      <c r="A36" s="23" t="s">
        <v>55</v>
      </c>
      <c r="B36" s="26">
        <f>140+4</f>
        <v>144</v>
      </c>
      <c r="C36" s="38" t="s">
        <v>266</v>
      </c>
      <c r="D36" s="24">
        <v>107.52</v>
      </c>
      <c r="E36" s="24"/>
      <c r="F36" s="4"/>
      <c r="G36" s="27"/>
      <c r="H36" s="24"/>
      <c r="I36" s="4"/>
      <c r="J36" s="24"/>
      <c r="K36" s="20">
        <f t="shared" si="9"/>
        <v>144</v>
      </c>
      <c r="L36" s="20">
        <f t="shared" si="10"/>
        <v>107.52</v>
      </c>
      <c r="M36" s="13">
        <f t="shared" si="11"/>
        <v>25.333333333333329</v>
      </c>
      <c r="N36" s="4"/>
    </row>
    <row r="37" spans="1:14" x14ac:dyDescent="0.25">
      <c r="A37" s="23" t="s">
        <v>56</v>
      </c>
      <c r="B37" s="26">
        <v>888</v>
      </c>
      <c r="C37" s="4" t="s">
        <v>238</v>
      </c>
      <c r="D37" s="24">
        <v>888</v>
      </c>
      <c r="E37" s="24"/>
      <c r="F37" s="16"/>
      <c r="G37" s="27"/>
      <c r="H37" s="24"/>
      <c r="I37" s="4"/>
      <c r="J37" s="24"/>
      <c r="K37" s="20">
        <f t="shared" si="9"/>
        <v>888</v>
      </c>
      <c r="L37" s="20">
        <f t="shared" si="10"/>
        <v>888</v>
      </c>
      <c r="M37" s="13">
        <f t="shared" si="11"/>
        <v>0</v>
      </c>
      <c r="N37" s="42"/>
    </row>
    <row r="38" spans="1:14" x14ac:dyDescent="0.25">
      <c r="A38" s="23" t="s">
        <v>57</v>
      </c>
      <c r="B38" s="47"/>
      <c r="C38" s="4"/>
      <c r="D38" s="24"/>
      <c r="E38" s="24"/>
      <c r="F38" s="4"/>
      <c r="G38" s="27"/>
      <c r="H38" s="24"/>
      <c r="I38" s="4"/>
      <c r="J38" s="24"/>
      <c r="K38" s="20">
        <f t="shared" si="9"/>
        <v>0</v>
      </c>
      <c r="L38" s="20">
        <f t="shared" si="10"/>
        <v>0</v>
      </c>
      <c r="M38" s="13">
        <v>0</v>
      </c>
      <c r="N38" s="4"/>
    </row>
    <row r="39" spans="1:14" x14ac:dyDescent="0.25">
      <c r="A39" s="23" t="s">
        <v>58</v>
      </c>
      <c r="B39" s="26">
        <f>(897+1196+301+9571+897+1196+93+86)*1.03</f>
        <v>14664.11</v>
      </c>
      <c r="C39" s="4" t="s">
        <v>235</v>
      </c>
      <c r="D39" s="24">
        <v>12790.44</v>
      </c>
      <c r="E39" s="4"/>
      <c r="F39" s="16"/>
      <c r="G39" s="27"/>
      <c r="H39" s="24"/>
      <c r="I39" s="4"/>
      <c r="J39" s="24"/>
      <c r="K39" s="20">
        <f t="shared" si="9"/>
        <v>14664.11</v>
      </c>
      <c r="L39" s="20">
        <f t="shared" si="10"/>
        <v>12790.44</v>
      </c>
      <c r="M39" s="13">
        <f t="shared" si="11"/>
        <v>12.77725003426734</v>
      </c>
      <c r="N39" s="4" t="s">
        <v>269</v>
      </c>
    </row>
    <row r="40" spans="1:14" x14ac:dyDescent="0.25">
      <c r="A40" s="23" t="s">
        <v>59</v>
      </c>
      <c r="B40" s="26">
        <f>(22613+7538+3015+8794+6805+60301+6030+22613+7538+3015+8794+6805+11307+2513+10050+4020+18844+1884+15075+6281+2513+2866+2010+1112+5190+1386+470)*1.015</f>
        <v>253122.72999999998</v>
      </c>
      <c r="C40" s="4" t="s">
        <v>268</v>
      </c>
      <c r="D40" s="26">
        <v>221177</v>
      </c>
      <c r="E40" s="24"/>
      <c r="F40" s="16"/>
      <c r="G40" s="24"/>
      <c r="H40" s="24"/>
      <c r="I40" s="4"/>
      <c r="J40" s="24"/>
      <c r="K40" s="20">
        <f t="shared" si="9"/>
        <v>253122.72999999998</v>
      </c>
      <c r="L40" s="20">
        <f t="shared" si="10"/>
        <v>221177</v>
      </c>
      <c r="M40" s="13">
        <f t="shared" si="11"/>
        <v>12.620648489371135</v>
      </c>
      <c r="N40" s="4"/>
    </row>
    <row r="41" spans="1:14" x14ac:dyDescent="0.25">
      <c r="A41" s="23" t="s">
        <v>64</v>
      </c>
      <c r="B41" s="26">
        <f>9542*1.03</f>
        <v>9828.26</v>
      </c>
      <c r="C41" s="4" t="s">
        <v>230</v>
      </c>
      <c r="D41" s="24">
        <v>7957.6</v>
      </c>
      <c r="E41" s="24"/>
      <c r="F41" s="4"/>
      <c r="G41" s="24"/>
      <c r="H41" s="24"/>
      <c r="I41" s="4"/>
      <c r="J41" s="24"/>
      <c r="K41" s="20">
        <f t="shared" si="9"/>
        <v>9828.26</v>
      </c>
      <c r="L41" s="20">
        <f t="shared" si="10"/>
        <v>7957.6</v>
      </c>
      <c r="M41" s="13">
        <f t="shared" si="11"/>
        <v>19.033481002741084</v>
      </c>
      <c r="N41" s="4"/>
    </row>
    <row r="42" spans="1:14" x14ac:dyDescent="0.25">
      <c r="A42" s="23" t="s">
        <v>65</v>
      </c>
      <c r="B42" s="26">
        <f>(4104+5129)*1.03</f>
        <v>9509.99</v>
      </c>
      <c r="C42" s="4" t="s">
        <v>270</v>
      </c>
      <c r="D42" s="24">
        <v>8002</v>
      </c>
      <c r="E42" s="24">
        <f>4834*1.03</f>
        <v>4979.0200000000004</v>
      </c>
      <c r="F42" s="4" t="s">
        <v>146</v>
      </c>
      <c r="G42" s="24">
        <v>4322.82</v>
      </c>
      <c r="H42" s="24"/>
      <c r="I42" s="4"/>
      <c r="J42" s="24"/>
      <c r="K42" s="20">
        <f t="shared" ref="K42:K47" si="12">B42+E42+H42</f>
        <v>14489.01</v>
      </c>
      <c r="L42" s="20">
        <f t="shared" ref="L42:L47" si="13">D42+G42+J42</f>
        <v>12324.82</v>
      </c>
      <c r="M42" s="13">
        <f t="shared" ref="M42:M47" si="14">100-L42*100/K42</f>
        <v>14.936769316882248</v>
      </c>
      <c r="N42" s="4"/>
    </row>
    <row r="43" spans="1:14" x14ac:dyDescent="0.25">
      <c r="A43" s="23" t="s">
        <v>70</v>
      </c>
      <c r="B43" s="26">
        <f>(2623+7106+2147+285+214+82+446)*1.03</f>
        <v>13290.09</v>
      </c>
      <c r="C43" s="4" t="s">
        <v>270</v>
      </c>
      <c r="D43" s="24">
        <v>7581.49</v>
      </c>
      <c r="E43" s="24"/>
      <c r="F43" s="4"/>
      <c r="G43" s="27"/>
      <c r="H43" s="24">
        <f>(896+920+2500)*1.03</f>
        <v>4445.4800000000005</v>
      </c>
      <c r="I43" s="4" t="s">
        <v>271</v>
      </c>
      <c r="J43" s="24">
        <v>3415</v>
      </c>
      <c r="K43" s="20">
        <f t="shared" si="12"/>
        <v>17735.57</v>
      </c>
      <c r="L43" s="20">
        <f t="shared" si="13"/>
        <v>10996.49</v>
      </c>
      <c r="M43" s="13">
        <f t="shared" si="14"/>
        <v>37.997538280416137</v>
      </c>
      <c r="N43" s="4"/>
    </row>
    <row r="44" spans="1:14" x14ac:dyDescent="0.25">
      <c r="A44" s="23" t="s">
        <v>71</v>
      </c>
      <c r="B44" s="51">
        <f>(8956+11941)</f>
        <v>20897</v>
      </c>
      <c r="C44" s="4" t="s">
        <v>270</v>
      </c>
      <c r="D44" s="24">
        <f>12277.5+7519.39</f>
        <v>19796.89</v>
      </c>
      <c r="E44" s="24">
        <f>(8405+8405)</f>
        <v>16810</v>
      </c>
      <c r="F44" s="4" t="s">
        <v>146</v>
      </c>
      <c r="G44" s="24">
        <v>17222.36</v>
      </c>
      <c r="H44" s="24"/>
      <c r="I44" s="4"/>
      <c r="J44" s="24"/>
      <c r="K44" s="20">
        <f>B44+E44+H44</f>
        <v>37707</v>
      </c>
      <c r="L44" s="20">
        <f>D44+G44+J44</f>
        <v>37019.25</v>
      </c>
      <c r="M44" s="13">
        <f>100-L44*100/K44</f>
        <v>1.8239318959344359</v>
      </c>
      <c r="N44" s="4"/>
    </row>
    <row r="45" spans="1:14" x14ac:dyDescent="0.25">
      <c r="A45" s="23" t="s">
        <v>73</v>
      </c>
      <c r="B45" s="26">
        <f>(3775+1007+1205+1230+7690+10310+8649+8649)*1.03</f>
        <v>43790.450000000004</v>
      </c>
      <c r="C45" s="4" t="s">
        <v>273</v>
      </c>
      <c r="D45" s="24">
        <f>19408.21+8187.54+13757.26</f>
        <v>41353.01</v>
      </c>
      <c r="E45" s="24">
        <f>1800*1.03</f>
        <v>1854</v>
      </c>
      <c r="F45" s="4" t="s">
        <v>212</v>
      </c>
      <c r="G45" s="27">
        <v>1565.68</v>
      </c>
      <c r="H45" s="24">
        <f>3700*1.03</f>
        <v>3811</v>
      </c>
      <c r="I45" s="4" t="s">
        <v>272</v>
      </c>
      <c r="J45" s="24">
        <v>2637.32</v>
      </c>
      <c r="K45" s="20">
        <f t="shared" si="12"/>
        <v>49455.450000000004</v>
      </c>
      <c r="L45" s="20">
        <f t="shared" si="13"/>
        <v>45556.01</v>
      </c>
      <c r="M45" s="13">
        <f t="shared" si="14"/>
        <v>7.8847528432154661</v>
      </c>
      <c r="N45" s="4"/>
    </row>
    <row r="46" spans="1:14" x14ac:dyDescent="0.25">
      <c r="A46" s="23" t="s">
        <v>74</v>
      </c>
      <c r="B46" s="47"/>
      <c r="C46" s="4"/>
      <c r="D46" s="24"/>
      <c r="E46" s="26"/>
      <c r="F46" s="4"/>
      <c r="G46" s="27"/>
      <c r="H46" s="26"/>
      <c r="I46" s="4"/>
      <c r="J46" s="24"/>
      <c r="K46" s="20">
        <f t="shared" si="12"/>
        <v>0</v>
      </c>
      <c r="L46" s="20">
        <f t="shared" si="13"/>
        <v>0</v>
      </c>
      <c r="M46" s="13">
        <v>0</v>
      </c>
      <c r="N46" s="4"/>
    </row>
    <row r="47" spans="1:14" x14ac:dyDescent="0.25">
      <c r="A47" s="23" t="s">
        <v>75</v>
      </c>
      <c r="B47" s="26">
        <f>(4129+615+9084+3634+4129)*1.03</f>
        <v>22238.73</v>
      </c>
      <c r="C47" s="4" t="s">
        <v>270</v>
      </c>
      <c r="D47" s="24">
        <f>3648.28+9120.68+8260.24</f>
        <v>21029.200000000001</v>
      </c>
      <c r="E47" s="24"/>
      <c r="F47" s="4"/>
      <c r="G47" s="27"/>
      <c r="H47" s="24"/>
      <c r="I47" s="28"/>
      <c r="J47" s="24"/>
      <c r="K47" s="20">
        <f t="shared" si="12"/>
        <v>22238.73</v>
      </c>
      <c r="L47" s="20">
        <f t="shared" si="13"/>
        <v>21029.200000000001</v>
      </c>
      <c r="M47" s="13">
        <f t="shared" si="14"/>
        <v>5.4388447541743545</v>
      </c>
      <c r="N47" s="4"/>
    </row>
    <row r="48" spans="1:14" x14ac:dyDescent="0.25">
      <c r="A48" s="23" t="s">
        <v>76</v>
      </c>
      <c r="B48" s="26">
        <f>(1247+1662+5436+4156+1741+2321)*1.03</f>
        <v>17059.89</v>
      </c>
      <c r="C48" s="4" t="s">
        <v>270</v>
      </c>
      <c r="D48" s="24">
        <f>4956.14+1525.85+2034.46+1652.05+4130.12+1239.04</f>
        <v>15537.66</v>
      </c>
      <c r="E48" s="24"/>
      <c r="F48" s="4"/>
      <c r="G48" s="27"/>
      <c r="H48" s="24"/>
      <c r="I48" s="4"/>
      <c r="J48" s="24"/>
      <c r="K48" s="20">
        <f>B48+E48+H48</f>
        <v>17059.89</v>
      </c>
      <c r="L48" s="20">
        <f>D48+G48+J48</f>
        <v>15537.66</v>
      </c>
      <c r="M48" s="13">
        <f>100-L48*100/K48</f>
        <v>8.9228594088238538</v>
      </c>
      <c r="N48" s="4"/>
    </row>
    <row r="49" spans="1:14" x14ac:dyDescent="0.25">
      <c r="A49" s="23" t="s">
        <v>77</v>
      </c>
      <c r="B49" s="26">
        <f>(3636+48)*1.03</f>
        <v>3794.52</v>
      </c>
      <c r="C49" s="4" t="s">
        <v>270</v>
      </c>
      <c r="D49" s="24">
        <v>3696.74</v>
      </c>
      <c r="E49" s="24">
        <f>3606*1.03</f>
        <v>3714.1800000000003</v>
      </c>
      <c r="F49" s="4" t="s">
        <v>146</v>
      </c>
      <c r="G49" s="24">
        <v>3485</v>
      </c>
      <c r="H49" s="24"/>
      <c r="I49" s="4"/>
      <c r="J49" s="24"/>
      <c r="K49" s="20">
        <f>B49+E49+H49</f>
        <v>7508.7000000000007</v>
      </c>
      <c r="L49" s="20">
        <f>D49+G49+J49</f>
        <v>7181.74</v>
      </c>
      <c r="M49" s="13">
        <f>100-L49*100/K49</f>
        <v>4.3544155446349038</v>
      </c>
      <c r="N49" s="4"/>
    </row>
    <row r="50" spans="1:14" x14ac:dyDescent="0.25">
      <c r="A50" s="23" t="s">
        <v>78</v>
      </c>
      <c r="B50" s="26">
        <f>8847*1.03</f>
        <v>9112.41</v>
      </c>
      <c r="C50" s="4" t="s">
        <v>270</v>
      </c>
      <c r="D50" s="24">
        <v>8488.2000000000007</v>
      </c>
      <c r="E50" s="24">
        <f>(2398+2790)*1.03</f>
        <v>5343.64</v>
      </c>
      <c r="F50" s="4" t="s">
        <v>146</v>
      </c>
      <c r="G50" s="27">
        <v>5414.3</v>
      </c>
      <c r="H50" s="24"/>
      <c r="I50" s="4"/>
      <c r="J50" s="24"/>
      <c r="K50" s="20">
        <f>B50+E50+H50</f>
        <v>14456.05</v>
      </c>
      <c r="L50" s="20">
        <f>D50+G50+J50</f>
        <v>13902.5</v>
      </c>
      <c r="M50" s="13">
        <f>100-L50*100/K50</f>
        <v>3.8291926217742684</v>
      </c>
      <c r="N50" s="4"/>
    </row>
    <row r="51" spans="1:14" x14ac:dyDescent="0.25">
      <c r="A51" s="23" t="s">
        <v>225</v>
      </c>
      <c r="B51" s="26">
        <f t="shared" ref="B51:B56" si="15">637+849+14765+3636+867+1157</f>
        <v>21911</v>
      </c>
      <c r="C51" s="4" t="s">
        <v>270</v>
      </c>
      <c r="D51" s="24">
        <f t="shared" ref="D51:D56" si="16">1358.94+226.6+13350.61+3473.698+883.96+1178.54</f>
        <v>20472.348000000002</v>
      </c>
      <c r="E51" s="24"/>
      <c r="F51" s="4"/>
      <c r="G51" s="27"/>
      <c r="H51" s="24"/>
      <c r="I51" s="4"/>
      <c r="J51" s="24"/>
      <c r="K51" s="20">
        <f>B51+E51+H51</f>
        <v>21911</v>
      </c>
      <c r="L51" s="20">
        <f>D51+G51+J51</f>
        <v>20472.348000000002</v>
      </c>
      <c r="M51" s="13">
        <f>100-L51*100/K51</f>
        <v>6.5658892793573926</v>
      </c>
      <c r="N51" s="4"/>
    </row>
    <row r="52" spans="1:14" x14ac:dyDescent="0.25">
      <c r="A52" s="23" t="s">
        <v>226</v>
      </c>
      <c r="B52" s="26">
        <f t="shared" si="15"/>
        <v>21911</v>
      </c>
      <c r="C52" s="4" t="s">
        <v>270</v>
      </c>
      <c r="D52" s="24">
        <f t="shared" si="16"/>
        <v>20472.348000000002</v>
      </c>
      <c r="E52" s="24"/>
      <c r="F52" s="4"/>
      <c r="G52" s="27"/>
      <c r="H52" s="24"/>
      <c r="I52" s="4"/>
      <c r="J52" s="24"/>
      <c r="K52" s="20">
        <f t="shared" ref="K52:K66" si="17">B52+E52+H52</f>
        <v>21911</v>
      </c>
      <c r="L52" s="20">
        <f t="shared" ref="L52:L66" si="18">D52+G52+J52</f>
        <v>20472.348000000002</v>
      </c>
      <c r="M52" s="13">
        <f t="shared" ref="M52:M66" si="19">100-L52*100/K52</f>
        <v>6.5658892793573926</v>
      </c>
      <c r="N52" s="4"/>
    </row>
    <row r="53" spans="1:14" x14ac:dyDescent="0.25">
      <c r="A53" s="23" t="s">
        <v>227</v>
      </c>
      <c r="B53" s="26">
        <f t="shared" si="15"/>
        <v>21911</v>
      </c>
      <c r="C53" s="4" t="s">
        <v>270</v>
      </c>
      <c r="D53" s="24">
        <f t="shared" si="16"/>
        <v>20472.348000000002</v>
      </c>
      <c r="E53" s="24"/>
      <c r="F53" s="4"/>
      <c r="G53" s="27"/>
      <c r="H53" s="24"/>
      <c r="I53" s="4"/>
      <c r="J53" s="24"/>
      <c r="K53" s="20">
        <f t="shared" si="17"/>
        <v>21911</v>
      </c>
      <c r="L53" s="20">
        <f t="shared" si="18"/>
        <v>20472.348000000002</v>
      </c>
      <c r="M53" s="13">
        <f t="shared" si="19"/>
        <v>6.5658892793573926</v>
      </c>
      <c r="N53" s="4"/>
    </row>
    <row r="54" spans="1:14" x14ac:dyDescent="0.25">
      <c r="A54" s="23" t="s">
        <v>176</v>
      </c>
      <c r="B54" s="26">
        <f t="shared" si="15"/>
        <v>21911</v>
      </c>
      <c r="C54" s="4" t="s">
        <v>270</v>
      </c>
      <c r="D54" s="24">
        <f t="shared" si="16"/>
        <v>20472.348000000002</v>
      </c>
      <c r="E54" s="24"/>
      <c r="F54" s="4"/>
      <c r="G54" s="27"/>
      <c r="H54" s="24"/>
      <c r="I54" s="4"/>
      <c r="J54" s="24"/>
      <c r="K54" s="20">
        <f t="shared" si="17"/>
        <v>21911</v>
      </c>
      <c r="L54" s="20">
        <f t="shared" si="18"/>
        <v>20472.348000000002</v>
      </c>
      <c r="M54" s="13">
        <f t="shared" si="19"/>
        <v>6.5658892793573926</v>
      </c>
      <c r="N54" s="4"/>
    </row>
    <row r="55" spans="1:14" x14ac:dyDescent="0.25">
      <c r="A55" s="23" t="s">
        <v>177</v>
      </c>
      <c r="B55" s="26">
        <f t="shared" si="15"/>
        <v>21911</v>
      </c>
      <c r="C55" s="4" t="s">
        <v>270</v>
      </c>
      <c r="D55" s="24">
        <f t="shared" si="16"/>
        <v>20472.348000000002</v>
      </c>
      <c r="E55" s="24"/>
      <c r="F55" s="4"/>
      <c r="G55" s="27"/>
      <c r="H55" s="24"/>
      <c r="I55" s="4"/>
      <c r="J55" s="24"/>
      <c r="K55" s="20">
        <f t="shared" si="17"/>
        <v>21911</v>
      </c>
      <c r="L55" s="20">
        <f t="shared" si="18"/>
        <v>20472.348000000002</v>
      </c>
      <c r="M55" s="13">
        <f t="shared" si="19"/>
        <v>6.5658892793573926</v>
      </c>
      <c r="N55" s="4"/>
    </row>
    <row r="56" spans="1:14" x14ac:dyDescent="0.25">
      <c r="A56" s="23" t="s">
        <v>86</v>
      </c>
      <c r="B56" s="26">
        <f t="shared" si="15"/>
        <v>21911</v>
      </c>
      <c r="C56" s="4" t="s">
        <v>270</v>
      </c>
      <c r="D56" s="24">
        <f t="shared" si="16"/>
        <v>20472.348000000002</v>
      </c>
      <c r="E56" s="24"/>
      <c r="F56" s="4"/>
      <c r="G56" s="27"/>
      <c r="H56" s="24"/>
      <c r="I56" s="4"/>
      <c r="J56" s="24"/>
      <c r="K56" s="20">
        <f t="shared" si="17"/>
        <v>21911</v>
      </c>
      <c r="L56" s="20">
        <f t="shared" si="18"/>
        <v>20472.348000000002</v>
      </c>
      <c r="M56" s="13">
        <f t="shared" si="19"/>
        <v>6.5658892793573926</v>
      </c>
      <c r="N56" s="4"/>
    </row>
    <row r="57" spans="1:14" x14ac:dyDescent="0.25">
      <c r="A57" s="23" t="s">
        <v>87</v>
      </c>
      <c r="B57" s="47"/>
      <c r="C57" s="4"/>
      <c r="D57" s="24"/>
      <c r="E57" s="24"/>
      <c r="F57" s="4"/>
      <c r="G57" s="27"/>
      <c r="H57" s="24"/>
      <c r="I57" s="4"/>
      <c r="J57" s="24"/>
      <c r="K57" s="20">
        <f t="shared" si="17"/>
        <v>0</v>
      </c>
      <c r="L57" s="20">
        <f t="shared" si="18"/>
        <v>0</v>
      </c>
      <c r="M57" s="13">
        <v>0</v>
      </c>
      <c r="N57" s="4"/>
    </row>
    <row r="58" spans="1:14" x14ac:dyDescent="0.25">
      <c r="A58" s="23" t="s">
        <v>88</v>
      </c>
      <c r="B58" s="26">
        <f>12776+4888</f>
        <v>17664</v>
      </c>
      <c r="C58" s="4" t="s">
        <v>270</v>
      </c>
      <c r="D58" s="24">
        <f>10680.488+2151.6+2820.94</f>
        <v>15653.028</v>
      </c>
      <c r="E58" s="24">
        <f>8166+8166</f>
        <v>16332</v>
      </c>
      <c r="F58" s="4" t="s">
        <v>146</v>
      </c>
      <c r="G58" s="27">
        <v>15527.62</v>
      </c>
      <c r="H58" s="24"/>
      <c r="I58" s="4"/>
      <c r="J58" s="24"/>
      <c r="K58" s="20">
        <f t="shared" si="17"/>
        <v>33996</v>
      </c>
      <c r="L58" s="20">
        <f t="shared" si="18"/>
        <v>31180.648000000001</v>
      </c>
      <c r="M58" s="13">
        <f t="shared" si="19"/>
        <v>8.2814213436874837</v>
      </c>
      <c r="N58" s="4"/>
    </row>
    <row r="59" spans="1:14" x14ac:dyDescent="0.25">
      <c r="A59" s="23" t="s">
        <v>89</v>
      </c>
      <c r="B59" s="26">
        <f>(1377+54+54)*1.03</f>
        <v>1529.55</v>
      </c>
      <c r="C59" s="4" t="s">
        <v>136</v>
      </c>
      <c r="D59" s="24">
        <v>1281.58</v>
      </c>
      <c r="E59" s="24">
        <f>1900*1.03</f>
        <v>1957</v>
      </c>
      <c r="F59" s="4" t="s">
        <v>146</v>
      </c>
      <c r="G59" s="27">
        <v>1700</v>
      </c>
      <c r="H59" s="24"/>
      <c r="I59" s="4"/>
      <c r="J59" s="24"/>
      <c r="K59" s="20">
        <f t="shared" si="17"/>
        <v>3486.55</v>
      </c>
      <c r="L59" s="20">
        <f t="shared" si="18"/>
        <v>2981.58</v>
      </c>
      <c r="M59" s="13">
        <f t="shared" si="19"/>
        <v>14.483371814544469</v>
      </c>
      <c r="N59" s="4"/>
    </row>
    <row r="60" spans="1:14" x14ac:dyDescent="0.25">
      <c r="A60" s="23" t="s">
        <v>90</v>
      </c>
      <c r="B60" s="26">
        <f>(631+1553+1553)*1.03</f>
        <v>3849.11</v>
      </c>
      <c r="C60" s="4" t="s">
        <v>270</v>
      </c>
      <c r="D60" s="24">
        <f>1128.88+1002.84+1567.28</f>
        <v>3699</v>
      </c>
      <c r="E60" s="24"/>
      <c r="F60" s="4"/>
      <c r="G60" s="27"/>
      <c r="H60" s="24"/>
      <c r="I60" s="4"/>
      <c r="J60" s="24"/>
      <c r="K60" s="20">
        <f t="shared" si="17"/>
        <v>3849.11</v>
      </c>
      <c r="L60" s="20">
        <f t="shared" si="18"/>
        <v>3699</v>
      </c>
      <c r="M60" s="13">
        <f t="shared" si="19"/>
        <v>3.8998625656320627</v>
      </c>
      <c r="N60" s="4"/>
    </row>
    <row r="61" spans="1:14" x14ac:dyDescent="0.25">
      <c r="A61" s="23" t="s">
        <v>96</v>
      </c>
      <c r="B61" s="26">
        <f>971*1.03</f>
        <v>1000.13</v>
      </c>
      <c r="C61" s="4" t="s">
        <v>270</v>
      </c>
      <c r="D61" s="24">
        <v>783.64</v>
      </c>
      <c r="E61" s="24"/>
      <c r="F61" s="4"/>
      <c r="G61" s="27"/>
      <c r="H61" s="24"/>
      <c r="I61" s="4"/>
      <c r="J61" s="24"/>
      <c r="K61" s="20">
        <f t="shared" si="17"/>
        <v>1000.13</v>
      </c>
      <c r="L61" s="20">
        <f t="shared" si="18"/>
        <v>783.64</v>
      </c>
      <c r="M61" s="13">
        <f t="shared" si="19"/>
        <v>21.646185995820545</v>
      </c>
      <c r="N61" s="4"/>
    </row>
    <row r="62" spans="1:14" x14ac:dyDescent="0.25">
      <c r="A62" s="23" t="s">
        <v>97</v>
      </c>
      <c r="B62" s="47"/>
      <c r="C62" s="4"/>
      <c r="D62" s="24"/>
      <c r="E62" s="24"/>
      <c r="F62" s="4"/>
      <c r="G62" s="27"/>
      <c r="H62" s="24"/>
      <c r="I62" s="4"/>
      <c r="J62" s="24"/>
      <c r="K62" s="20">
        <f t="shared" si="17"/>
        <v>0</v>
      </c>
      <c r="L62" s="20">
        <f t="shared" si="18"/>
        <v>0</v>
      </c>
      <c r="M62" s="13">
        <v>0</v>
      </c>
      <c r="N62" s="4"/>
    </row>
    <row r="63" spans="1:14" x14ac:dyDescent="0.25">
      <c r="A63" s="23" t="s">
        <v>98</v>
      </c>
      <c r="B63" s="26">
        <f>4387*1.03</f>
        <v>4518.6099999999997</v>
      </c>
      <c r="C63" s="4" t="s">
        <v>270</v>
      </c>
      <c r="D63" s="24">
        <v>4515.1000000000004</v>
      </c>
      <c r="E63" s="24">
        <f>6096*1.03</f>
        <v>6278.88</v>
      </c>
      <c r="F63" s="4" t="s">
        <v>146</v>
      </c>
      <c r="G63" s="27">
        <v>3885</v>
      </c>
      <c r="H63" s="24"/>
      <c r="I63" s="28"/>
      <c r="J63" s="24"/>
      <c r="K63" s="20">
        <f t="shared" si="17"/>
        <v>10797.49</v>
      </c>
      <c r="L63" s="20">
        <f t="shared" si="18"/>
        <v>8400.1</v>
      </c>
      <c r="M63" s="13">
        <f t="shared" si="19"/>
        <v>22.203215747363501</v>
      </c>
      <c r="N63" s="4"/>
    </row>
    <row r="64" spans="1:14" x14ac:dyDescent="0.25">
      <c r="A64" s="23" t="s">
        <v>99</v>
      </c>
      <c r="B64" s="26">
        <f>(4269+1071)*1.03</f>
        <v>5500.2</v>
      </c>
      <c r="C64" s="4" t="s">
        <v>270</v>
      </c>
      <c r="D64" s="24">
        <f>2772.48+914.56</f>
        <v>3687.04</v>
      </c>
      <c r="E64" s="24"/>
      <c r="F64" s="4"/>
      <c r="G64" s="27"/>
      <c r="H64" s="24">
        <v>8900</v>
      </c>
      <c r="I64" s="4" t="s">
        <v>247</v>
      </c>
      <c r="J64" s="24">
        <f>4194+425.98</f>
        <v>4619.9799999999996</v>
      </c>
      <c r="K64" s="20">
        <f t="shared" si="17"/>
        <v>14400.2</v>
      </c>
      <c r="L64" s="20">
        <f t="shared" si="18"/>
        <v>8307.02</v>
      </c>
      <c r="M64" s="13">
        <f t="shared" si="19"/>
        <v>42.313162317190042</v>
      </c>
      <c r="N64" s="4"/>
    </row>
    <row r="65" spans="1:14" x14ac:dyDescent="0.25">
      <c r="A65" s="23" t="s">
        <v>100</v>
      </c>
      <c r="B65" s="26">
        <f>(2134+2715+1071)*1.03</f>
        <v>6097.6</v>
      </c>
      <c r="C65" s="4" t="s">
        <v>270</v>
      </c>
      <c r="D65" s="24">
        <f>914.56+2282.85+1803.52</f>
        <v>5000.93</v>
      </c>
      <c r="E65" s="24"/>
      <c r="F65" s="4"/>
      <c r="G65" s="27"/>
      <c r="H65" s="24"/>
      <c r="I65" s="4"/>
      <c r="J65" s="24"/>
      <c r="K65" s="20">
        <f t="shared" si="17"/>
        <v>6097.6</v>
      </c>
      <c r="L65" s="20">
        <f t="shared" si="18"/>
        <v>5000.93</v>
      </c>
      <c r="M65" s="13">
        <f t="shared" si="19"/>
        <v>17.985272894253484</v>
      </c>
      <c r="N65" s="4" t="s">
        <v>274</v>
      </c>
    </row>
    <row r="66" spans="1:14" x14ac:dyDescent="0.25">
      <c r="A66" s="23" t="s">
        <v>102</v>
      </c>
      <c r="B66" s="26">
        <f>(72+502)*1.03</f>
        <v>591.22</v>
      </c>
      <c r="C66" s="4" t="s">
        <v>270</v>
      </c>
      <c r="D66" s="24">
        <v>352</v>
      </c>
      <c r="E66" s="24"/>
      <c r="F66" s="4"/>
      <c r="G66" s="27"/>
      <c r="H66" s="24"/>
      <c r="I66" s="4"/>
      <c r="J66" s="24"/>
      <c r="K66" s="20">
        <f t="shared" si="17"/>
        <v>591.22</v>
      </c>
      <c r="L66" s="20">
        <f t="shared" si="18"/>
        <v>352</v>
      </c>
      <c r="M66" s="13">
        <f t="shared" si="19"/>
        <v>40.462095328304187</v>
      </c>
      <c r="N66" s="4"/>
    </row>
    <row r="67" spans="1:14" x14ac:dyDescent="0.25">
      <c r="A67" s="23" t="s">
        <v>103</v>
      </c>
      <c r="B67" s="26">
        <f>(10606+13258+3654+2973+2106+1565)*1.01</f>
        <v>34503.620000000003</v>
      </c>
      <c r="C67" s="4" t="s">
        <v>270</v>
      </c>
      <c r="D67" s="24">
        <v>27828.63</v>
      </c>
      <c r="E67" s="24">
        <f>19935*1.01</f>
        <v>20134.349999999999</v>
      </c>
      <c r="F67" s="4" t="s">
        <v>212</v>
      </c>
      <c r="G67" s="27">
        <f>14923+5000</f>
        <v>19923</v>
      </c>
      <c r="H67" s="24">
        <f>5000*1.01</f>
        <v>5050</v>
      </c>
      <c r="I67" s="4" t="s">
        <v>275</v>
      </c>
      <c r="J67" s="24">
        <v>4114</v>
      </c>
      <c r="K67" s="20">
        <f>B67+E67+H67</f>
        <v>59687.97</v>
      </c>
      <c r="L67" s="20">
        <f>D67+G67+J67</f>
        <v>51865.630000000005</v>
      </c>
      <c r="M67" s="13">
        <f>100-L67*100/K67</f>
        <v>13.105387903123528</v>
      </c>
      <c r="N67" s="4"/>
    </row>
    <row r="68" spans="1:14" x14ac:dyDescent="0.25">
      <c r="A68" s="23" t="s">
        <v>104</v>
      </c>
      <c r="B68" s="26">
        <f>(10606+13258+3654+2973+2106+1565)*1.01</f>
        <v>34503.620000000003</v>
      </c>
      <c r="C68" s="4" t="s">
        <v>270</v>
      </c>
      <c r="D68" s="24">
        <v>27828.63</v>
      </c>
      <c r="E68" s="24">
        <f>19935*1.01</f>
        <v>20134.349999999999</v>
      </c>
      <c r="F68" s="4" t="s">
        <v>212</v>
      </c>
      <c r="G68" s="27">
        <f>14923+5000</f>
        <v>19923</v>
      </c>
      <c r="H68" s="24">
        <f>5000*1.01</f>
        <v>5050</v>
      </c>
      <c r="I68" s="4" t="s">
        <v>275</v>
      </c>
      <c r="J68" s="24">
        <v>4114</v>
      </c>
      <c r="K68" s="20">
        <f t="shared" ref="K68:K73" si="20">B68+E68+H68</f>
        <v>59687.97</v>
      </c>
      <c r="L68" s="20">
        <f t="shared" ref="L68:L73" si="21">D68+G68+J68</f>
        <v>51865.630000000005</v>
      </c>
      <c r="M68" s="13">
        <f t="shared" ref="M68:M73" si="22">100-L68*100/K68</f>
        <v>13.105387903123528</v>
      </c>
      <c r="N68" s="4"/>
    </row>
    <row r="69" spans="1:14" x14ac:dyDescent="0.25">
      <c r="A69" s="23" t="s">
        <v>106</v>
      </c>
      <c r="B69" s="26">
        <f>(10606+13258+3654+2973+2106+1565)*1.01</f>
        <v>34503.620000000003</v>
      </c>
      <c r="C69" s="4" t="s">
        <v>270</v>
      </c>
      <c r="D69" s="24">
        <v>27828.63</v>
      </c>
      <c r="E69" s="24">
        <f>19935*1.01</f>
        <v>20134.349999999999</v>
      </c>
      <c r="F69" s="4" t="s">
        <v>212</v>
      </c>
      <c r="G69" s="27">
        <f>14923+5000</f>
        <v>19923</v>
      </c>
      <c r="H69" s="24">
        <f>5000*1.01</f>
        <v>5050</v>
      </c>
      <c r="I69" s="4" t="s">
        <v>275</v>
      </c>
      <c r="J69" s="24">
        <v>4114</v>
      </c>
      <c r="K69" s="20">
        <f t="shared" si="20"/>
        <v>59687.97</v>
      </c>
      <c r="L69" s="20">
        <f t="shared" si="21"/>
        <v>51865.630000000005</v>
      </c>
      <c r="M69" s="13">
        <f t="shared" si="22"/>
        <v>13.105387903123528</v>
      </c>
      <c r="N69" s="4"/>
    </row>
    <row r="70" spans="1:14" x14ac:dyDescent="0.25">
      <c r="A70" s="23" t="s">
        <v>107</v>
      </c>
      <c r="B70" s="26">
        <f>(17972+5946+4526)*1.01</f>
        <v>28728.44</v>
      </c>
      <c r="C70" s="4" t="s">
        <v>270</v>
      </c>
      <c r="D70" s="24">
        <f>9614.6+6175.96+4875.76</f>
        <v>20666.32</v>
      </c>
      <c r="E70" s="24">
        <f>18050*1.01</f>
        <v>18230.5</v>
      </c>
      <c r="F70" s="4" t="s">
        <v>212</v>
      </c>
      <c r="G70" s="27">
        <f>13648+3867</f>
        <v>17515</v>
      </c>
      <c r="H70" s="24">
        <f>5000*1.01</f>
        <v>5050</v>
      </c>
      <c r="I70" s="4" t="s">
        <v>275</v>
      </c>
      <c r="J70" s="24">
        <v>4114</v>
      </c>
      <c r="K70" s="20">
        <f t="shared" si="20"/>
        <v>52008.94</v>
      </c>
      <c r="L70" s="20">
        <f t="shared" si="21"/>
        <v>42295.32</v>
      </c>
      <c r="M70" s="13">
        <f t="shared" si="22"/>
        <v>18.676827483890278</v>
      </c>
      <c r="N70" s="4"/>
    </row>
    <row r="71" spans="1:14" x14ac:dyDescent="0.25">
      <c r="A71" s="23" t="s">
        <v>108</v>
      </c>
      <c r="B71" s="26">
        <f>(2152+1345+679)*1.03</f>
        <v>4301.28</v>
      </c>
      <c r="C71" s="4" t="s">
        <v>270</v>
      </c>
      <c r="D71" s="24">
        <f>1825.52+1140.95+576.48</f>
        <v>3542.9500000000003</v>
      </c>
      <c r="E71" s="24"/>
      <c r="F71" s="4"/>
      <c r="G71" s="27"/>
      <c r="H71" s="24">
        <f>4200*1.03</f>
        <v>4326</v>
      </c>
      <c r="I71" s="4" t="s">
        <v>276</v>
      </c>
      <c r="J71" s="24">
        <v>3692</v>
      </c>
      <c r="K71" s="20">
        <f t="shared" si="20"/>
        <v>8627.2799999999988</v>
      </c>
      <c r="L71" s="20">
        <f t="shared" si="21"/>
        <v>7234.9500000000007</v>
      </c>
      <c r="M71" s="13">
        <f t="shared" si="22"/>
        <v>16.138690294043982</v>
      </c>
      <c r="N71" s="41"/>
    </row>
    <row r="72" spans="1:14" x14ac:dyDescent="0.25">
      <c r="A72" s="23" t="s">
        <v>109</v>
      </c>
      <c r="B72" s="26">
        <f>1792*1.03</f>
        <v>1845.76</v>
      </c>
      <c r="C72" s="4" t="s">
        <v>238</v>
      </c>
      <c r="D72" s="24">
        <v>1549.57</v>
      </c>
      <c r="E72" s="24">
        <f>1506*1.03</f>
        <v>1551.18</v>
      </c>
      <c r="F72" s="4" t="s">
        <v>146</v>
      </c>
      <c r="G72" s="27">
        <v>1022</v>
      </c>
      <c r="H72" s="24"/>
      <c r="I72" s="4"/>
      <c r="J72" s="24"/>
      <c r="K72" s="20">
        <f t="shared" si="20"/>
        <v>3396.94</v>
      </c>
      <c r="L72" s="20">
        <f t="shared" si="21"/>
        <v>2571.5699999999997</v>
      </c>
      <c r="M72" s="13">
        <f t="shared" si="22"/>
        <v>24.297455945645211</v>
      </c>
      <c r="N72" s="4"/>
    </row>
    <row r="73" spans="1:14" x14ac:dyDescent="0.25">
      <c r="A73" s="23" t="s">
        <v>111</v>
      </c>
      <c r="B73" s="26">
        <v>21481</v>
      </c>
      <c r="C73" s="4" t="s">
        <v>238</v>
      </c>
      <c r="D73" s="24">
        <v>19608.810000000001</v>
      </c>
      <c r="E73" s="24">
        <v>16150</v>
      </c>
      <c r="F73" s="4" t="s">
        <v>146</v>
      </c>
      <c r="G73" s="27">
        <v>16422</v>
      </c>
      <c r="H73" s="24">
        <f>(900+2000)</f>
        <v>2900</v>
      </c>
      <c r="I73" s="4" t="s">
        <v>276</v>
      </c>
      <c r="J73" s="24">
        <v>2778.59</v>
      </c>
      <c r="K73" s="20">
        <f t="shared" si="20"/>
        <v>40531</v>
      </c>
      <c r="L73" s="20">
        <f t="shared" si="21"/>
        <v>38809.399999999994</v>
      </c>
      <c r="M73" s="13">
        <f t="shared" si="22"/>
        <v>4.2476129382448136</v>
      </c>
      <c r="N73" s="4"/>
    </row>
    <row r="74" spans="1:14" x14ac:dyDescent="0.25">
      <c r="A74" s="23" t="s">
        <v>117</v>
      </c>
      <c r="B74" s="26">
        <f>905*1.03</f>
        <v>932.15</v>
      </c>
      <c r="C74" s="4" t="s">
        <v>238</v>
      </c>
      <c r="D74" s="24">
        <v>907.45</v>
      </c>
      <c r="E74" s="24">
        <f>2044*1.03</f>
        <v>2105.3200000000002</v>
      </c>
      <c r="F74" s="4" t="s">
        <v>146</v>
      </c>
      <c r="G74" s="27">
        <v>2044</v>
      </c>
      <c r="H74" s="24">
        <f>(969+868+485)*1.03</f>
        <v>2391.66</v>
      </c>
      <c r="I74" s="4" t="s">
        <v>278</v>
      </c>
      <c r="J74" s="24">
        <v>2156</v>
      </c>
      <c r="K74" s="20">
        <f t="shared" ref="K74:K79" si="23">B74+E74+H74</f>
        <v>5429.13</v>
      </c>
      <c r="L74" s="20">
        <f t="shared" ref="L74:L79" si="24">D74+G74+J74</f>
        <v>5107.45</v>
      </c>
      <c r="M74" s="13">
        <f t="shared" ref="M74:M79" si="25">100-L74*100/K74</f>
        <v>5.9250745515395664</v>
      </c>
      <c r="N74" s="4"/>
    </row>
    <row r="75" spans="1:14" x14ac:dyDescent="0.25">
      <c r="A75" s="23" t="s">
        <v>118</v>
      </c>
      <c r="B75" s="47"/>
      <c r="C75" s="4"/>
      <c r="D75" s="24"/>
      <c r="E75" s="24"/>
      <c r="F75" s="4"/>
      <c r="G75" s="27"/>
      <c r="H75" s="24"/>
      <c r="I75" s="4"/>
      <c r="J75" s="24"/>
      <c r="K75" s="20">
        <f t="shared" si="23"/>
        <v>0</v>
      </c>
      <c r="L75" s="20">
        <f t="shared" si="24"/>
        <v>0</v>
      </c>
      <c r="M75" s="13">
        <v>0</v>
      </c>
      <c r="N75" s="4"/>
    </row>
    <row r="76" spans="1:14" x14ac:dyDescent="0.25">
      <c r="A76" s="23" t="s">
        <v>119</v>
      </c>
      <c r="B76" s="26">
        <f>(2879+23291+2879)*1.03</f>
        <v>29920.47</v>
      </c>
      <c r="C76" s="4" t="s">
        <v>238</v>
      </c>
      <c r="D76" s="24">
        <v>25627.24</v>
      </c>
      <c r="E76" s="24"/>
      <c r="F76" s="4"/>
      <c r="G76" s="27"/>
      <c r="H76" s="24"/>
      <c r="I76" s="4"/>
      <c r="J76" s="24"/>
      <c r="K76" s="20">
        <f t="shared" si="23"/>
        <v>29920.47</v>
      </c>
      <c r="L76" s="20">
        <f t="shared" si="24"/>
        <v>25627.24</v>
      </c>
      <c r="M76" s="13">
        <f t="shared" si="25"/>
        <v>14.348805349648586</v>
      </c>
      <c r="N76" s="4"/>
    </row>
    <row r="77" spans="1:14" x14ac:dyDescent="0.25">
      <c r="A77" s="23" t="s">
        <v>120</v>
      </c>
      <c r="B77" s="26">
        <f>(2879+23291+2879)*1.03</f>
        <v>29920.47</v>
      </c>
      <c r="C77" s="4" t="s">
        <v>238</v>
      </c>
      <c r="D77" s="24">
        <v>25627.24</v>
      </c>
      <c r="E77" s="24"/>
      <c r="F77" s="4"/>
      <c r="G77" s="27"/>
      <c r="H77" s="24"/>
      <c r="I77" s="4"/>
      <c r="J77" s="24"/>
      <c r="K77" s="20">
        <f t="shared" si="23"/>
        <v>29920.47</v>
      </c>
      <c r="L77" s="20">
        <f t="shared" si="24"/>
        <v>25627.24</v>
      </c>
      <c r="M77" s="13">
        <f t="shared" si="25"/>
        <v>14.348805349648586</v>
      </c>
      <c r="N77" s="4"/>
    </row>
    <row r="78" spans="1:14" x14ac:dyDescent="0.25">
      <c r="A78" s="23" t="s">
        <v>121</v>
      </c>
      <c r="B78" s="26">
        <f>2300</f>
        <v>2300</v>
      </c>
      <c r="C78" s="4" t="s">
        <v>238</v>
      </c>
      <c r="D78" s="24">
        <f>1964.53</f>
        <v>1964.53</v>
      </c>
      <c r="E78" s="24">
        <f>2230*2</f>
        <v>4460</v>
      </c>
      <c r="F78" s="4" t="s">
        <v>146</v>
      </c>
      <c r="G78" s="27">
        <f>4485.56</f>
        <v>4485.5600000000004</v>
      </c>
      <c r="H78" s="24">
        <f>8600+1000</f>
        <v>9600</v>
      </c>
      <c r="I78" s="16" t="s">
        <v>281</v>
      </c>
      <c r="J78" s="24">
        <f>6380+921.31</f>
        <v>7301.3099999999995</v>
      </c>
      <c r="K78" s="20">
        <f t="shared" si="23"/>
        <v>16360</v>
      </c>
      <c r="L78" s="20">
        <f t="shared" si="24"/>
        <v>13751.4</v>
      </c>
      <c r="M78" s="13">
        <f t="shared" si="25"/>
        <v>15.944987775061122</v>
      </c>
      <c r="N78" s="4"/>
    </row>
    <row r="79" spans="1:14" x14ac:dyDescent="0.25">
      <c r="A79" s="23" t="s">
        <v>122</v>
      </c>
      <c r="B79" s="26">
        <f>914+1141+1921</f>
        <v>3976</v>
      </c>
      <c r="C79" s="4" t="s">
        <v>238</v>
      </c>
      <c r="D79" s="24">
        <f>669.72+938.32+1751.55+29.05</f>
        <v>3388.6400000000003</v>
      </c>
      <c r="E79" s="24"/>
      <c r="F79" s="4"/>
      <c r="G79" s="27"/>
      <c r="H79" s="24">
        <v>450</v>
      </c>
      <c r="I79" s="4" t="s">
        <v>280</v>
      </c>
      <c r="J79" s="24">
        <v>401</v>
      </c>
      <c r="K79" s="20">
        <f t="shared" si="23"/>
        <v>4426</v>
      </c>
      <c r="L79" s="20">
        <f t="shared" si="24"/>
        <v>3789.6400000000003</v>
      </c>
      <c r="M79" s="13">
        <f t="shared" si="25"/>
        <v>14.377767736104815</v>
      </c>
      <c r="N79" s="4"/>
    </row>
    <row r="80" spans="1:14" x14ac:dyDescent="0.25">
      <c r="A80" s="23" t="s">
        <v>123</v>
      </c>
      <c r="B80" s="26">
        <f>914+1141+961+1201</f>
        <v>4217</v>
      </c>
      <c r="C80" s="4" t="s">
        <v>238</v>
      </c>
      <c r="D80" s="24">
        <f>892.95+1221.96+947.26+1072.37</f>
        <v>4134.54</v>
      </c>
      <c r="E80" s="24"/>
      <c r="F80" s="4"/>
      <c r="G80" s="27"/>
      <c r="H80" s="24">
        <v>450</v>
      </c>
      <c r="I80" s="4" t="s">
        <v>280</v>
      </c>
      <c r="J80" s="24">
        <v>401</v>
      </c>
      <c r="K80" s="20">
        <f t="shared" ref="K80:K85" si="26">B80+E80+H80</f>
        <v>4667</v>
      </c>
      <c r="L80" s="20">
        <f t="shared" ref="L80:L85" si="27">D80+G80+J80</f>
        <v>4535.54</v>
      </c>
      <c r="M80" s="13">
        <f>100-L80*100/K80</f>
        <v>2.8167988000857065</v>
      </c>
      <c r="N80" s="4"/>
    </row>
    <row r="81" spans="1:14" x14ac:dyDescent="0.25">
      <c r="A81" s="23" t="s">
        <v>124</v>
      </c>
      <c r="B81" s="26">
        <f>631+343+927</f>
        <v>1901</v>
      </c>
      <c r="C81" s="4" t="s">
        <v>238</v>
      </c>
      <c r="D81" s="24">
        <f>325.55+964.06+393.2</f>
        <v>1682.81</v>
      </c>
      <c r="E81" s="24"/>
      <c r="F81" s="4"/>
      <c r="G81" s="27"/>
      <c r="H81" s="24"/>
      <c r="I81" s="4"/>
      <c r="J81" s="24"/>
      <c r="K81" s="20">
        <f t="shared" si="26"/>
        <v>1901</v>
      </c>
      <c r="L81" s="20">
        <f t="shared" si="27"/>
        <v>1682.81</v>
      </c>
      <c r="M81" s="13">
        <f>100-L81*100/K81</f>
        <v>11.477643345607575</v>
      </c>
      <c r="N81" s="4"/>
    </row>
    <row r="82" spans="1:14" x14ac:dyDescent="0.25">
      <c r="A82" s="23" t="s">
        <v>125</v>
      </c>
      <c r="B82" s="26">
        <v>1135</v>
      </c>
      <c r="C82" s="4" t="s">
        <v>238</v>
      </c>
      <c r="D82" s="24">
        <v>1266.04</v>
      </c>
      <c r="E82" s="24">
        <v>1200</v>
      </c>
      <c r="F82" s="4" t="s">
        <v>146</v>
      </c>
      <c r="G82" s="27">
        <v>722</v>
      </c>
      <c r="H82" s="24"/>
      <c r="I82" s="4"/>
      <c r="J82" s="24"/>
      <c r="K82" s="20">
        <f t="shared" si="26"/>
        <v>2335</v>
      </c>
      <c r="L82" s="20">
        <f t="shared" si="27"/>
        <v>1988.04</v>
      </c>
      <c r="M82" s="13">
        <f>100-L82*100/K82</f>
        <v>14.859100642398289</v>
      </c>
      <c r="N82" s="4"/>
    </row>
    <row r="83" spans="1:14" x14ac:dyDescent="0.25">
      <c r="A83" s="23" t="s">
        <v>126</v>
      </c>
      <c r="B83" s="26">
        <f>(35301+2536+22976+36762+40345+14441+1948+5776+1217+300+3855+4818+812+2191+784+3043)*1.01</f>
        <v>178876.05</v>
      </c>
      <c r="C83" s="4" t="s">
        <v>279</v>
      </c>
      <c r="D83" s="24">
        <v>161551.37</v>
      </c>
      <c r="E83" s="24"/>
      <c r="F83" s="4"/>
      <c r="G83" s="27"/>
      <c r="H83" s="24"/>
      <c r="I83" s="4"/>
      <c r="J83" s="24"/>
      <c r="K83" s="20">
        <f t="shared" si="26"/>
        <v>178876.05</v>
      </c>
      <c r="L83" s="20">
        <f t="shared" si="27"/>
        <v>161551.37</v>
      </c>
      <c r="M83" s="13">
        <f>100-L83*100/K83</f>
        <v>9.6852988424107025</v>
      </c>
      <c r="N83" s="4"/>
    </row>
    <row r="84" spans="1:14" x14ac:dyDescent="0.25">
      <c r="A84" s="23" t="s">
        <v>127</v>
      </c>
      <c r="B84" s="26">
        <f>(35301+2536+22976+36762+40345+14441+1948+5776+1217+300+3855+4818+812+2191+784+3043)*1.01</f>
        <v>178876.05</v>
      </c>
      <c r="C84" s="4" t="s">
        <v>279</v>
      </c>
      <c r="D84" s="24">
        <v>161551.37</v>
      </c>
      <c r="E84" s="24"/>
      <c r="F84" s="4"/>
      <c r="G84" s="27"/>
      <c r="H84" s="24"/>
      <c r="I84" s="4"/>
      <c r="J84" s="24"/>
      <c r="K84" s="20">
        <f t="shared" si="26"/>
        <v>178876.05</v>
      </c>
      <c r="L84" s="20">
        <f t="shared" si="27"/>
        <v>161551.37</v>
      </c>
      <c r="M84" s="13">
        <f>100-L84*100/K84</f>
        <v>9.6852988424107025</v>
      </c>
      <c r="N84" s="4"/>
    </row>
    <row r="85" spans="1:14" x14ac:dyDescent="0.25">
      <c r="A85" s="23" t="s">
        <v>128</v>
      </c>
      <c r="B85" s="47"/>
      <c r="C85" s="4"/>
      <c r="D85" s="24"/>
      <c r="E85" s="24"/>
      <c r="F85" s="4"/>
      <c r="G85" s="27"/>
      <c r="H85" s="24"/>
      <c r="I85" s="4"/>
      <c r="J85" s="24"/>
      <c r="K85" s="20">
        <f t="shared" si="26"/>
        <v>0</v>
      </c>
      <c r="L85" s="20">
        <f t="shared" si="27"/>
        <v>0</v>
      </c>
      <c r="M85" s="13">
        <v>0</v>
      </c>
      <c r="N85" s="4"/>
    </row>
    <row r="86" spans="1:14" x14ac:dyDescent="0.25">
      <c r="A86" s="23" t="s">
        <v>129</v>
      </c>
      <c r="B86" s="26">
        <f>8760*1.02996</f>
        <v>9022.4495999999999</v>
      </c>
      <c r="C86" s="4" t="s">
        <v>284</v>
      </c>
      <c r="D86" s="24">
        <v>7539</v>
      </c>
      <c r="E86" s="24"/>
      <c r="F86" s="4"/>
      <c r="G86" s="27"/>
      <c r="H86" s="24"/>
      <c r="I86" s="4"/>
      <c r="J86" s="24"/>
      <c r="K86" s="20">
        <f t="shared" ref="K86:K94" si="28">B86+E86+H86</f>
        <v>9022.4495999999999</v>
      </c>
      <c r="L86" s="20">
        <f t="shared" ref="L86:L94" si="29">D86+G86+J86</f>
        <v>7539</v>
      </c>
      <c r="M86" s="13">
        <f>100-L86*100/K86</f>
        <v>16.441761004683244</v>
      </c>
      <c r="N86" s="4"/>
    </row>
    <row r="87" spans="1:14" x14ac:dyDescent="0.25">
      <c r="A87" s="23" t="s">
        <v>130</v>
      </c>
      <c r="B87" s="26">
        <f>(20624+3234+1000)*1.03</f>
        <v>25603.74</v>
      </c>
      <c r="C87" s="4" t="s">
        <v>283</v>
      </c>
      <c r="D87" s="24">
        <v>24259.74</v>
      </c>
      <c r="E87" s="24">
        <f>9800*2</f>
        <v>19600</v>
      </c>
      <c r="F87" s="4" t="s">
        <v>146</v>
      </c>
      <c r="G87" s="27">
        <f>9395.52*2</f>
        <v>18791.04</v>
      </c>
      <c r="H87" s="24">
        <f>3000+1238+10500</f>
        <v>14738</v>
      </c>
      <c r="I87" s="4" t="s">
        <v>282</v>
      </c>
      <c r="J87" s="24">
        <f>4478+10279</f>
        <v>14757</v>
      </c>
      <c r="K87" s="20">
        <f t="shared" si="28"/>
        <v>59941.740000000005</v>
      </c>
      <c r="L87" s="20">
        <f t="shared" si="29"/>
        <v>57807.78</v>
      </c>
      <c r="M87" s="13">
        <f>100-L87*100/K87</f>
        <v>3.5600568151675418</v>
      </c>
      <c r="N87" s="4"/>
    </row>
    <row r="88" spans="1:14" x14ac:dyDescent="0.25">
      <c r="A88" s="23" t="s">
        <v>131</v>
      </c>
      <c r="B88" s="26">
        <f>(386+1157+250+31+75)*1.03</f>
        <v>1955.97</v>
      </c>
      <c r="C88" s="4" t="s">
        <v>285</v>
      </c>
      <c r="D88" s="24">
        <f>536.02+1464.06</f>
        <v>2000.08</v>
      </c>
      <c r="E88" s="24">
        <f>1059*1.03</f>
        <v>1090.77</v>
      </c>
      <c r="F88" s="4" t="s">
        <v>146</v>
      </c>
      <c r="G88" s="27">
        <v>787.27</v>
      </c>
      <c r="H88" s="24">
        <v>337</v>
      </c>
      <c r="I88" s="4" t="s">
        <v>287</v>
      </c>
      <c r="J88" s="24">
        <v>321.72000000000003</v>
      </c>
      <c r="K88" s="20">
        <f t="shared" si="28"/>
        <v>3383.74</v>
      </c>
      <c r="L88" s="20">
        <f t="shared" si="29"/>
        <v>3109.0699999999997</v>
      </c>
      <c r="M88" s="13">
        <f>100-L88*100/K88</f>
        <v>8.1173494417419789</v>
      </c>
      <c r="N88" s="4" t="s">
        <v>286</v>
      </c>
    </row>
    <row r="89" spans="1:14" x14ac:dyDescent="0.25">
      <c r="A89" s="23" t="s">
        <v>132</v>
      </c>
      <c r="B89" s="47"/>
      <c r="C89" s="4"/>
      <c r="D89" s="24"/>
      <c r="E89" s="24"/>
      <c r="F89" s="4"/>
      <c r="G89" s="27"/>
      <c r="H89" s="24"/>
      <c r="I89" s="4"/>
      <c r="J89" s="24"/>
      <c r="K89" s="20">
        <f t="shared" si="28"/>
        <v>0</v>
      </c>
      <c r="L89" s="20">
        <f t="shared" si="29"/>
        <v>0</v>
      </c>
      <c r="M89" s="13">
        <v>0</v>
      </c>
      <c r="N89" s="4"/>
    </row>
    <row r="90" spans="1:14" x14ac:dyDescent="0.25">
      <c r="A90" s="23" t="s">
        <v>133</v>
      </c>
      <c r="B90" s="26">
        <f>(1537+371+200+38)*1.03</f>
        <v>2210.38</v>
      </c>
      <c r="C90" s="4" t="s">
        <v>285</v>
      </c>
      <c r="D90" s="24">
        <v>1866.82</v>
      </c>
      <c r="E90" s="24">
        <f>1220*1.03</f>
        <v>1256.6000000000001</v>
      </c>
      <c r="F90" s="4" t="s">
        <v>212</v>
      </c>
      <c r="G90" s="27">
        <v>733.63</v>
      </c>
      <c r="H90" s="24"/>
      <c r="I90" s="4"/>
      <c r="J90" s="24"/>
      <c r="K90" s="20">
        <f t="shared" si="28"/>
        <v>3466.9800000000005</v>
      </c>
      <c r="L90" s="20">
        <f t="shared" si="29"/>
        <v>2600.4499999999998</v>
      </c>
      <c r="M90" s="13">
        <f>100-L90*100/K90</f>
        <v>24.993798637430871</v>
      </c>
      <c r="N90" s="4"/>
    </row>
    <row r="91" spans="1:14" x14ac:dyDescent="0.25">
      <c r="A91" s="23" t="s">
        <v>134</v>
      </c>
      <c r="B91" s="26">
        <f>(1537+371+200+38)*1.03</f>
        <v>2210.38</v>
      </c>
      <c r="C91" s="4" t="s">
        <v>285</v>
      </c>
      <c r="D91" s="24">
        <v>1866.82</v>
      </c>
      <c r="E91" s="24">
        <f>1220*1.03</f>
        <v>1256.6000000000001</v>
      </c>
      <c r="F91" s="4" t="s">
        <v>212</v>
      </c>
      <c r="G91" s="27">
        <v>733.63</v>
      </c>
      <c r="H91" s="24"/>
      <c r="I91" s="4"/>
      <c r="J91" s="24"/>
      <c r="K91" s="20">
        <f t="shared" si="28"/>
        <v>3466.9800000000005</v>
      </c>
      <c r="L91" s="20">
        <f t="shared" si="29"/>
        <v>2600.4499999999998</v>
      </c>
      <c r="M91" s="13">
        <f>100-L91*100/K91</f>
        <v>24.993798637430871</v>
      </c>
      <c r="N91" s="4"/>
    </row>
    <row r="92" spans="1:14" x14ac:dyDescent="0.25">
      <c r="A92" s="23" t="s">
        <v>135</v>
      </c>
      <c r="B92" s="26">
        <f>(4018+1721)*1.03</f>
        <v>5911.17</v>
      </c>
      <c r="C92" s="4" t="s">
        <v>238</v>
      </c>
      <c r="D92" s="24">
        <f>5585.46</f>
        <v>5585.46</v>
      </c>
      <c r="E92" s="24"/>
      <c r="F92" s="4"/>
      <c r="G92" s="27"/>
      <c r="H92" s="24"/>
      <c r="I92" s="4"/>
      <c r="J92" s="24"/>
      <c r="K92" s="20">
        <f t="shared" si="28"/>
        <v>5911.17</v>
      </c>
      <c r="L92" s="20">
        <f t="shared" si="29"/>
        <v>5585.46</v>
      </c>
      <c r="M92" s="13">
        <f>100-L92*100/K92</f>
        <v>5.5100766853262542</v>
      </c>
      <c r="N92" s="4"/>
    </row>
    <row r="93" spans="1:14" x14ac:dyDescent="0.25">
      <c r="A93" s="23" t="s">
        <v>140</v>
      </c>
      <c r="B93" s="26">
        <f>(3069+2790+4101+2848)*1.03</f>
        <v>13192.24</v>
      </c>
      <c r="C93" s="4" t="s">
        <v>238</v>
      </c>
      <c r="D93" s="24">
        <f>3801.22+2689.12+2908.64+2634.24+1053.69</f>
        <v>13086.91</v>
      </c>
      <c r="E93" s="24"/>
      <c r="F93" s="4"/>
      <c r="G93" s="27"/>
      <c r="H93" s="24"/>
      <c r="I93" s="4"/>
      <c r="J93" s="24"/>
      <c r="K93" s="20">
        <f t="shared" si="28"/>
        <v>13192.24</v>
      </c>
      <c r="L93" s="20">
        <f t="shared" si="29"/>
        <v>13086.91</v>
      </c>
      <c r="M93" s="13">
        <v>0</v>
      </c>
      <c r="N93" s="4"/>
    </row>
    <row r="94" spans="1:14" x14ac:dyDescent="0.25">
      <c r="A94" s="23" t="s">
        <v>141</v>
      </c>
      <c r="B94" s="26">
        <f>(1463+1148+1463+1148+19879)*1.03</f>
        <v>25854.030000000002</v>
      </c>
      <c r="C94" s="4" t="s">
        <v>238</v>
      </c>
      <c r="D94" s="24">
        <f>2263.66+3018.2+19036.16</f>
        <v>24318.02</v>
      </c>
      <c r="E94" s="24"/>
      <c r="F94" s="4"/>
      <c r="G94" s="27"/>
      <c r="H94" s="24"/>
      <c r="I94" s="4"/>
      <c r="J94" s="24"/>
      <c r="K94" s="20">
        <f t="shared" si="28"/>
        <v>25854.030000000002</v>
      </c>
      <c r="L94" s="20">
        <f t="shared" si="29"/>
        <v>24318.02</v>
      </c>
      <c r="M94" s="13">
        <f>100-L94*100/K94</f>
        <v>5.9410853936504395</v>
      </c>
      <c r="N94" s="4"/>
    </row>
    <row r="95" spans="1:14" x14ac:dyDescent="0.25">
      <c r="A95" s="23"/>
      <c r="B95" s="8"/>
      <c r="C95" s="4"/>
      <c r="D95" s="24"/>
      <c r="E95" s="24"/>
      <c r="F95" s="4"/>
      <c r="G95" s="27"/>
      <c r="H95" s="24"/>
      <c r="I95" s="4"/>
      <c r="J95" s="24"/>
      <c r="K95" s="20"/>
      <c r="L95" s="20"/>
      <c r="M95" s="13"/>
      <c r="N95" s="4"/>
    </row>
    <row r="96" spans="1:14" x14ac:dyDescent="0.25">
      <c r="A96" s="23"/>
      <c r="B96" s="8"/>
      <c r="C96" s="4"/>
      <c r="D96" s="24"/>
      <c r="E96" s="24"/>
      <c r="F96" s="4"/>
      <c r="G96" s="15"/>
      <c r="H96" s="9"/>
      <c r="I96" s="4"/>
      <c r="J96" s="24"/>
      <c r="K96" s="39">
        <f>SUM(K2:K94)</f>
        <v>2192893.5664749998</v>
      </c>
      <c r="L96" s="39">
        <f>SUM(L2:L94)</f>
        <v>1948715.6219999993</v>
      </c>
      <c r="M96" s="49">
        <f>100-L96*100/K96</f>
        <v>11.134965609275241</v>
      </c>
      <c r="N96" s="50">
        <f>K96-L96</f>
        <v>244177.94447500049</v>
      </c>
    </row>
  </sheetData>
  <printOptions horizontalCentered="1"/>
  <pageMargins left="0.2" right="0.2" top="0.25" bottom="0.5" header="0.3" footer="0.3"/>
  <pageSetup orientation="landscape" r:id="rId1"/>
  <headerFooter>
    <oddFooter>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44"/>
  <sheetViews>
    <sheetView workbookViewId="0">
      <selection activeCell="O1" sqref="O1:AF1048576"/>
    </sheetView>
  </sheetViews>
  <sheetFormatPr defaultRowHeight="15" x14ac:dyDescent="0.25"/>
  <cols>
    <col min="1" max="1" width="4" bestFit="1" customWidth="1"/>
    <col min="2" max="2" width="6.85546875" customWidth="1"/>
    <col min="3" max="3" width="14.85546875" bestFit="1" customWidth="1"/>
    <col min="6" max="6" width="14.5703125" customWidth="1"/>
    <col min="9" max="9" width="14.85546875" customWidth="1"/>
    <col min="13" max="13" width="7.7109375" bestFit="1" customWidth="1"/>
    <col min="14" max="14" width="24.7109375" customWidth="1"/>
  </cols>
  <sheetData>
    <row r="1" spans="1:14" ht="30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252</v>
      </c>
      <c r="I1" s="7" t="s">
        <v>9</v>
      </c>
      <c r="J1" s="3" t="s">
        <v>253</v>
      </c>
      <c r="K1" s="5" t="s">
        <v>10</v>
      </c>
      <c r="L1" s="5" t="s">
        <v>11</v>
      </c>
      <c r="M1" s="12" t="s">
        <v>61</v>
      </c>
      <c r="N1" s="7" t="s">
        <v>1</v>
      </c>
    </row>
    <row r="2" spans="1:14" x14ac:dyDescent="0.25">
      <c r="A2" s="23" t="s">
        <v>19</v>
      </c>
      <c r="B2" s="26">
        <f>(579+579+579+579+2155+5748+1197)</f>
        <v>11416</v>
      </c>
      <c r="C2" s="4" t="s">
        <v>238</v>
      </c>
      <c r="D2" s="24">
        <f>13655</f>
        <v>13655</v>
      </c>
      <c r="E2" s="24"/>
      <c r="F2" s="4"/>
      <c r="G2" s="27"/>
      <c r="H2" s="24"/>
      <c r="I2" s="4"/>
      <c r="J2" s="24"/>
      <c r="K2" s="20">
        <f>B2+E2+H2</f>
        <v>11416</v>
      </c>
      <c r="L2" s="20">
        <f>D2+G2+J2</f>
        <v>13655</v>
      </c>
      <c r="M2" s="13">
        <f t="shared" ref="M2:M19" si="0">100-L2*100/K2</f>
        <v>-19.612824106517166</v>
      </c>
      <c r="N2" s="4" t="s">
        <v>301</v>
      </c>
    </row>
    <row r="3" spans="1:14" x14ac:dyDescent="0.25">
      <c r="A3" s="23" t="s">
        <v>20</v>
      </c>
      <c r="B3" s="26">
        <f>(579+579+579+579+2155+5748+1197)</f>
        <v>11416</v>
      </c>
      <c r="C3" s="4" t="s">
        <v>238</v>
      </c>
      <c r="D3" s="24">
        <f>13655</f>
        <v>13655</v>
      </c>
      <c r="E3" s="26"/>
      <c r="F3" s="4"/>
      <c r="G3" s="27"/>
      <c r="H3" s="24"/>
      <c r="I3" s="4"/>
      <c r="J3" s="24"/>
      <c r="K3" s="20">
        <f t="shared" ref="K3:K64" si="1">B3+E3+H3</f>
        <v>11416</v>
      </c>
      <c r="L3" s="20">
        <f t="shared" ref="L3:L64" si="2">D3+G3+J3</f>
        <v>13655</v>
      </c>
      <c r="M3" s="14">
        <f t="shared" si="0"/>
        <v>-19.612824106517166</v>
      </c>
      <c r="N3" s="4" t="s">
        <v>301</v>
      </c>
    </row>
    <row r="4" spans="1:14" x14ac:dyDescent="0.25">
      <c r="A4" s="23" t="s">
        <v>21</v>
      </c>
      <c r="B4" s="26">
        <v>3665</v>
      </c>
      <c r="C4" s="4" t="s">
        <v>294</v>
      </c>
      <c r="D4" s="24">
        <v>3665</v>
      </c>
      <c r="E4" s="26"/>
      <c r="F4" s="4"/>
      <c r="G4" s="27"/>
      <c r="H4" s="24"/>
      <c r="I4" s="4"/>
      <c r="J4" s="24"/>
      <c r="K4" s="20">
        <f t="shared" si="1"/>
        <v>3665</v>
      </c>
      <c r="L4" s="20">
        <f t="shared" si="2"/>
        <v>3665</v>
      </c>
      <c r="M4" s="14">
        <f t="shared" si="0"/>
        <v>0</v>
      </c>
      <c r="N4" s="4"/>
    </row>
    <row r="5" spans="1:14" x14ac:dyDescent="0.25">
      <c r="A5" s="23" t="s">
        <v>22</v>
      </c>
      <c r="B5" s="47"/>
      <c r="C5" s="4"/>
      <c r="D5" s="24"/>
      <c r="E5" s="26"/>
      <c r="F5" s="4"/>
      <c r="G5" s="27"/>
      <c r="H5" s="24"/>
      <c r="I5" s="4"/>
      <c r="J5" s="24"/>
      <c r="K5" s="20">
        <f t="shared" si="1"/>
        <v>0</v>
      </c>
      <c r="L5" s="20">
        <f t="shared" si="2"/>
        <v>0</v>
      </c>
      <c r="M5" s="13" t="e">
        <f t="shared" si="0"/>
        <v>#DIV/0!</v>
      </c>
      <c r="N5" s="4"/>
    </row>
    <row r="6" spans="1:14" x14ac:dyDescent="0.25">
      <c r="A6" s="23" t="s">
        <v>23</v>
      </c>
      <c r="B6" s="47"/>
      <c r="C6" s="4"/>
      <c r="D6" s="24"/>
      <c r="E6" s="24"/>
      <c r="F6" s="4"/>
      <c r="G6" s="27"/>
      <c r="H6" s="24"/>
      <c r="I6" s="4"/>
      <c r="J6" s="24"/>
      <c r="K6" s="20">
        <f t="shared" si="1"/>
        <v>0</v>
      </c>
      <c r="L6" s="20">
        <f t="shared" si="2"/>
        <v>0</v>
      </c>
      <c r="M6" s="14" t="e">
        <f t="shared" si="0"/>
        <v>#DIV/0!</v>
      </c>
      <c r="N6" s="4"/>
    </row>
    <row r="7" spans="1:14" x14ac:dyDescent="0.25">
      <c r="A7" s="23" t="s">
        <v>24</v>
      </c>
      <c r="B7" s="26">
        <f>6348+2812+1055.3</f>
        <v>10215.299999999999</v>
      </c>
      <c r="C7" s="4" t="s">
        <v>295</v>
      </c>
      <c r="D7" s="24">
        <v>9317.7099999999991</v>
      </c>
      <c r="E7" s="24">
        <f>8898*2</f>
        <v>17796</v>
      </c>
      <c r="F7" s="4" t="s">
        <v>146</v>
      </c>
      <c r="G7" s="27">
        <v>19090.5</v>
      </c>
      <c r="H7" s="24"/>
      <c r="I7" s="4"/>
      <c r="J7" s="24"/>
      <c r="K7" s="20">
        <f t="shared" si="1"/>
        <v>28011.3</v>
      </c>
      <c r="L7" s="20">
        <f t="shared" si="2"/>
        <v>28408.21</v>
      </c>
      <c r="M7" s="13">
        <f t="shared" si="0"/>
        <v>-1.4169638681532177</v>
      </c>
      <c r="N7" s="4" t="s">
        <v>297</v>
      </c>
    </row>
    <row r="8" spans="1:14" x14ac:dyDescent="0.25">
      <c r="A8" s="23" t="s">
        <v>25</v>
      </c>
      <c r="B8" s="26">
        <f>6348+2812+1055.3</f>
        <v>10215.299999999999</v>
      </c>
      <c r="C8" s="4" t="s">
        <v>295</v>
      </c>
      <c r="D8" s="24">
        <v>9317.7099999999991</v>
      </c>
      <c r="E8" s="24">
        <f>8898*2</f>
        <v>17796</v>
      </c>
      <c r="F8" s="4" t="s">
        <v>146</v>
      </c>
      <c r="G8" s="27">
        <v>19090.5</v>
      </c>
      <c r="H8" s="24"/>
      <c r="I8" s="4"/>
      <c r="J8" s="24"/>
      <c r="K8" s="20">
        <f t="shared" si="1"/>
        <v>28011.3</v>
      </c>
      <c r="L8" s="20">
        <f t="shared" si="2"/>
        <v>28408.21</v>
      </c>
      <c r="M8" s="13">
        <f t="shared" si="0"/>
        <v>-1.4169638681532177</v>
      </c>
      <c r="N8" s="4" t="s">
        <v>297</v>
      </c>
    </row>
    <row r="9" spans="1:14" x14ac:dyDescent="0.25">
      <c r="A9" s="23" t="s">
        <v>26</v>
      </c>
      <c r="B9" s="26">
        <f>1071+5470</f>
        <v>6541</v>
      </c>
      <c r="C9" s="4" t="s">
        <v>238</v>
      </c>
      <c r="D9" s="24">
        <v>3591.42</v>
      </c>
      <c r="E9" s="24">
        <v>4920</v>
      </c>
      <c r="F9" s="4" t="s">
        <v>300</v>
      </c>
      <c r="G9" s="27">
        <v>4689</v>
      </c>
      <c r="H9" s="24"/>
      <c r="I9" s="4"/>
      <c r="J9" s="24"/>
      <c r="K9" s="20">
        <f t="shared" si="1"/>
        <v>11461</v>
      </c>
      <c r="L9" s="20">
        <f t="shared" si="2"/>
        <v>8280.42</v>
      </c>
      <c r="M9" s="13">
        <f t="shared" si="0"/>
        <v>27.751330599424136</v>
      </c>
      <c r="N9" s="4"/>
    </row>
    <row r="10" spans="1:14" x14ac:dyDescent="0.25">
      <c r="A10" s="23" t="s">
        <v>27</v>
      </c>
      <c r="B10" s="26">
        <f>348+465+2141+250</f>
        <v>3204</v>
      </c>
      <c r="C10" s="4" t="s">
        <v>238</v>
      </c>
      <c r="D10" s="24">
        <f>2323</f>
        <v>2323</v>
      </c>
      <c r="E10" s="24"/>
      <c r="F10" s="4"/>
      <c r="G10" s="27"/>
      <c r="H10" s="24"/>
      <c r="I10" s="4"/>
      <c r="J10" s="24"/>
      <c r="K10" s="20">
        <f t="shared" si="1"/>
        <v>3204</v>
      </c>
      <c r="L10" s="20">
        <f t="shared" si="2"/>
        <v>2323</v>
      </c>
      <c r="M10" s="13">
        <f t="shared" si="0"/>
        <v>27.496878901373279</v>
      </c>
      <c r="N10" s="4"/>
    </row>
    <row r="11" spans="1:14" x14ac:dyDescent="0.25">
      <c r="A11" s="23" t="s">
        <v>28</v>
      </c>
      <c r="B11" s="26">
        <f>2385</f>
        <v>2385</v>
      </c>
      <c r="C11" s="4" t="s">
        <v>136</v>
      </c>
      <c r="D11" s="24">
        <v>1755</v>
      </c>
      <c r="E11" s="24">
        <f>1680</f>
        <v>1680</v>
      </c>
      <c r="F11" s="4" t="s">
        <v>146</v>
      </c>
      <c r="G11" s="27">
        <f>783*2</f>
        <v>1566</v>
      </c>
      <c r="H11" s="24"/>
      <c r="I11" s="4"/>
      <c r="J11" s="24"/>
      <c r="K11" s="20">
        <f t="shared" si="1"/>
        <v>4065</v>
      </c>
      <c r="L11" s="20">
        <f t="shared" si="2"/>
        <v>3321</v>
      </c>
      <c r="M11" s="13">
        <f t="shared" si="0"/>
        <v>18.302583025830259</v>
      </c>
      <c r="N11" s="4"/>
    </row>
    <row r="12" spans="1:14" x14ac:dyDescent="0.25">
      <c r="A12" s="23" t="s">
        <v>29</v>
      </c>
      <c r="B12" s="26">
        <v>615</v>
      </c>
      <c r="C12" s="4" t="s">
        <v>136</v>
      </c>
      <c r="D12" s="24">
        <v>524.69500000000005</v>
      </c>
      <c r="E12" s="24">
        <v>860</v>
      </c>
      <c r="F12" s="4" t="s">
        <v>146</v>
      </c>
      <c r="G12" s="27">
        <f>409*2</f>
        <v>818</v>
      </c>
      <c r="H12" s="24"/>
      <c r="I12" s="4"/>
      <c r="J12" s="24"/>
      <c r="K12" s="20">
        <f t="shared" si="1"/>
        <v>1475</v>
      </c>
      <c r="L12" s="20">
        <f t="shared" si="2"/>
        <v>1342.6950000000002</v>
      </c>
      <c r="M12" s="13">
        <f t="shared" si="0"/>
        <v>8.9698305084745584</v>
      </c>
      <c r="N12" s="4"/>
    </row>
    <row r="13" spans="1:14" x14ac:dyDescent="0.25">
      <c r="A13" s="23" t="s">
        <v>30</v>
      </c>
      <c r="B13" s="26">
        <v>775</v>
      </c>
      <c r="C13" s="4" t="s">
        <v>136</v>
      </c>
      <c r="D13" s="24">
        <v>655.86</v>
      </c>
      <c r="E13" s="24">
        <v>860</v>
      </c>
      <c r="F13" s="4" t="s">
        <v>146</v>
      </c>
      <c r="G13" s="27">
        <f>409*2</f>
        <v>818</v>
      </c>
      <c r="H13" s="26">
        <f>1380+130+180+600</f>
        <v>2290</v>
      </c>
      <c r="I13" s="4" t="s">
        <v>296</v>
      </c>
      <c r="J13" s="24">
        <v>2368</v>
      </c>
      <c r="K13" s="20">
        <f>B13+E13+H13</f>
        <v>3925</v>
      </c>
      <c r="L13" s="20">
        <f>D13+G13+J13</f>
        <v>3841.86</v>
      </c>
      <c r="M13" s="14">
        <f t="shared" si="0"/>
        <v>2.118216560509552</v>
      </c>
      <c r="N13" s="4"/>
    </row>
    <row r="14" spans="1:14" x14ac:dyDescent="0.25">
      <c r="A14" s="23" t="s">
        <v>35</v>
      </c>
      <c r="B14" s="26">
        <v>615</v>
      </c>
      <c r="C14" s="4" t="s">
        <v>136</v>
      </c>
      <c r="D14" s="24">
        <v>524.69500000000005</v>
      </c>
      <c r="E14" s="24">
        <v>860</v>
      </c>
      <c r="F14" s="4" t="s">
        <v>146</v>
      </c>
      <c r="G14" s="27">
        <f>409*2</f>
        <v>818</v>
      </c>
      <c r="H14" s="24"/>
      <c r="I14" s="4"/>
      <c r="J14" s="24"/>
      <c r="K14" s="20">
        <f t="shared" si="1"/>
        <v>1475</v>
      </c>
      <c r="L14" s="20">
        <f t="shared" si="2"/>
        <v>1342.6950000000002</v>
      </c>
      <c r="M14" s="13">
        <f t="shared" si="0"/>
        <v>8.9698305084745584</v>
      </c>
      <c r="N14" s="4"/>
    </row>
    <row r="15" spans="1:14" x14ac:dyDescent="0.25">
      <c r="A15" s="23" t="s">
        <v>36</v>
      </c>
      <c r="B15" s="26">
        <f>300+363</f>
        <v>663</v>
      </c>
      <c r="C15" s="4" t="s">
        <v>295</v>
      </c>
      <c r="D15" s="24">
        <v>440</v>
      </c>
      <c r="E15" s="24">
        <f>260+260</f>
        <v>520</v>
      </c>
      <c r="F15" s="4" t="s">
        <v>146</v>
      </c>
      <c r="G15" s="27">
        <v>520</v>
      </c>
      <c r="H15" s="24">
        <f>2500+3000</f>
        <v>5500</v>
      </c>
      <c r="I15" s="4" t="s">
        <v>298</v>
      </c>
      <c r="J15" s="24">
        <f>2596+75+900+75</f>
        <v>3646</v>
      </c>
      <c r="K15" s="20">
        <f t="shared" si="1"/>
        <v>6683</v>
      </c>
      <c r="L15" s="20">
        <f t="shared" si="2"/>
        <v>4606</v>
      </c>
      <c r="M15" s="13">
        <f t="shared" si="0"/>
        <v>31.07885680083794</v>
      </c>
      <c r="N15" s="4"/>
    </row>
    <row r="16" spans="1:14" x14ac:dyDescent="0.25">
      <c r="A16" s="23" t="s">
        <v>37</v>
      </c>
      <c r="B16" s="26">
        <f>2952+943+400</f>
        <v>4295</v>
      </c>
      <c r="C16" s="4" t="s">
        <v>295</v>
      </c>
      <c r="D16" s="26">
        <f>3682+1215</f>
        <v>4897</v>
      </c>
      <c r="E16" s="24">
        <f>5176</f>
        <v>5176</v>
      </c>
      <c r="F16" s="4" t="s">
        <v>146</v>
      </c>
      <c r="G16" s="27">
        <f>2588.19*2</f>
        <v>5176.38</v>
      </c>
      <c r="H16" s="24">
        <v>1000</v>
      </c>
      <c r="I16" s="4" t="s">
        <v>299</v>
      </c>
      <c r="J16" s="24">
        <v>315</v>
      </c>
      <c r="K16" s="20">
        <f t="shared" si="1"/>
        <v>10471</v>
      </c>
      <c r="L16" s="20">
        <f t="shared" si="2"/>
        <v>10388.380000000001</v>
      </c>
      <c r="M16" s="14">
        <f t="shared" si="0"/>
        <v>0.7890363862095171</v>
      </c>
      <c r="N16" s="4"/>
    </row>
    <row r="17" spans="1:14" x14ac:dyDescent="0.25">
      <c r="A17" s="23" t="s">
        <v>38</v>
      </c>
      <c r="B17" s="26">
        <v>160</v>
      </c>
      <c r="C17" s="4" t="s">
        <v>302</v>
      </c>
      <c r="D17" s="24">
        <v>132.46</v>
      </c>
      <c r="E17" s="24"/>
      <c r="F17" s="4"/>
      <c r="G17" s="27"/>
      <c r="H17" s="24"/>
      <c r="I17" s="4"/>
      <c r="J17" s="24"/>
      <c r="K17" s="20">
        <f t="shared" si="1"/>
        <v>160</v>
      </c>
      <c r="L17" s="20">
        <f t="shared" si="2"/>
        <v>132.46</v>
      </c>
      <c r="M17" s="13">
        <f t="shared" si="0"/>
        <v>17.212500000000006</v>
      </c>
      <c r="N17" s="4"/>
    </row>
    <row r="18" spans="1:14" x14ac:dyDescent="0.25">
      <c r="A18" s="23" t="s">
        <v>39</v>
      </c>
      <c r="B18" s="47"/>
      <c r="C18" s="4"/>
      <c r="D18" s="24"/>
      <c r="E18" s="24"/>
      <c r="F18" s="4"/>
      <c r="G18" s="27"/>
      <c r="H18" s="24"/>
      <c r="I18" s="4"/>
      <c r="J18" s="24"/>
      <c r="K18" s="20">
        <f t="shared" si="1"/>
        <v>0</v>
      </c>
      <c r="L18" s="20">
        <f t="shared" si="2"/>
        <v>0</v>
      </c>
      <c r="M18" s="14" t="e">
        <f t="shared" si="0"/>
        <v>#DIV/0!</v>
      </c>
      <c r="N18" s="4"/>
    </row>
    <row r="19" spans="1:14" x14ac:dyDescent="0.25">
      <c r="A19" s="23" t="s">
        <v>40</v>
      </c>
      <c r="B19" s="47"/>
      <c r="C19" s="4"/>
      <c r="D19" s="24"/>
      <c r="E19" s="24"/>
      <c r="F19" s="4"/>
      <c r="G19" s="27"/>
      <c r="H19" s="24"/>
      <c r="I19" s="4"/>
      <c r="J19" s="24"/>
      <c r="K19" s="20">
        <f t="shared" si="1"/>
        <v>0</v>
      </c>
      <c r="L19" s="20">
        <f t="shared" si="2"/>
        <v>0</v>
      </c>
      <c r="M19" s="13" t="e">
        <f t="shared" si="0"/>
        <v>#DIV/0!</v>
      </c>
      <c r="N19" s="4"/>
    </row>
    <row r="20" spans="1:14" x14ac:dyDescent="0.25">
      <c r="A20" s="23" t="s">
        <v>60</v>
      </c>
      <c r="B20" s="47"/>
      <c r="C20" s="4"/>
      <c r="D20" s="24"/>
      <c r="E20" s="24"/>
      <c r="F20" s="4"/>
      <c r="G20" s="27"/>
      <c r="H20" s="24"/>
      <c r="I20" s="4"/>
      <c r="J20" s="24"/>
      <c r="K20" s="20">
        <f t="shared" si="1"/>
        <v>0</v>
      </c>
      <c r="L20" s="20">
        <f t="shared" si="2"/>
        <v>0</v>
      </c>
      <c r="M20" s="13" t="e">
        <f>100-L20*100/K20</f>
        <v>#DIV/0!</v>
      </c>
      <c r="N20" s="4"/>
    </row>
    <row r="21" spans="1:14" x14ac:dyDescent="0.25">
      <c r="A21" s="23" t="s">
        <v>41</v>
      </c>
      <c r="B21" s="47"/>
      <c r="C21" s="4"/>
      <c r="D21" s="24"/>
      <c r="E21" s="24"/>
      <c r="F21" s="4"/>
      <c r="G21" s="27"/>
      <c r="H21" s="24"/>
      <c r="I21" s="4"/>
      <c r="J21" s="24"/>
      <c r="K21" s="20">
        <f t="shared" si="1"/>
        <v>0</v>
      </c>
      <c r="L21" s="20">
        <f t="shared" si="2"/>
        <v>0</v>
      </c>
      <c r="M21" s="13" t="e">
        <f t="shared" ref="M21:M65" si="3">100-L21*100/K21</f>
        <v>#DIV/0!</v>
      </c>
      <c r="N21" s="4"/>
    </row>
    <row r="22" spans="1:14" x14ac:dyDescent="0.25">
      <c r="A22" s="23" t="s">
        <v>42</v>
      </c>
      <c r="B22" s="47"/>
      <c r="C22" s="4"/>
      <c r="D22" s="24"/>
      <c r="E22" s="26"/>
      <c r="F22" s="4"/>
      <c r="G22" s="27"/>
      <c r="H22" s="26"/>
      <c r="I22" s="4"/>
      <c r="J22" s="24"/>
      <c r="K22" s="20">
        <f t="shared" si="1"/>
        <v>0</v>
      </c>
      <c r="L22" s="20">
        <f t="shared" si="2"/>
        <v>0</v>
      </c>
      <c r="M22" s="13" t="e">
        <f t="shared" si="3"/>
        <v>#DIV/0!</v>
      </c>
      <c r="N22" s="4"/>
    </row>
    <row r="23" spans="1:14" x14ac:dyDescent="0.25">
      <c r="A23" s="23" t="s">
        <v>43</v>
      </c>
      <c r="B23" s="47"/>
      <c r="C23" s="4"/>
      <c r="D23" s="24"/>
      <c r="E23" s="24"/>
      <c r="F23" s="4"/>
      <c r="G23" s="27"/>
      <c r="H23" s="24"/>
      <c r="I23" s="4"/>
      <c r="J23" s="24"/>
      <c r="K23" s="20">
        <f t="shared" si="1"/>
        <v>0</v>
      </c>
      <c r="L23" s="20">
        <f t="shared" si="2"/>
        <v>0</v>
      </c>
      <c r="M23" s="13" t="e">
        <f t="shared" si="3"/>
        <v>#DIV/0!</v>
      </c>
      <c r="N23" s="4"/>
    </row>
    <row r="24" spans="1:14" ht="15" customHeight="1" x14ac:dyDescent="0.25">
      <c r="A24" s="23" t="s">
        <v>44</v>
      </c>
      <c r="B24" s="47"/>
      <c r="C24" s="4"/>
      <c r="D24" s="24"/>
      <c r="E24" s="24"/>
      <c r="F24" s="4"/>
      <c r="G24" s="27"/>
      <c r="H24" s="24"/>
      <c r="I24" s="4"/>
      <c r="J24" s="24"/>
      <c r="K24" s="20">
        <f t="shared" si="1"/>
        <v>0</v>
      </c>
      <c r="L24" s="20">
        <f t="shared" si="2"/>
        <v>0</v>
      </c>
      <c r="M24" s="13" t="e">
        <f t="shared" si="3"/>
        <v>#DIV/0!</v>
      </c>
      <c r="N24" s="4"/>
    </row>
    <row r="25" spans="1:14" ht="15" customHeight="1" x14ac:dyDescent="0.25">
      <c r="A25" s="23" t="s">
        <v>45</v>
      </c>
      <c r="B25" s="47"/>
      <c r="C25" s="4"/>
      <c r="D25" s="24"/>
      <c r="E25" s="24"/>
      <c r="F25" s="4"/>
      <c r="G25" s="27"/>
      <c r="H25" s="24"/>
      <c r="I25" s="4"/>
      <c r="J25" s="24"/>
      <c r="K25" s="20">
        <f t="shared" si="1"/>
        <v>0</v>
      </c>
      <c r="L25" s="20">
        <f t="shared" si="2"/>
        <v>0</v>
      </c>
      <c r="M25" s="13" t="e">
        <f t="shared" si="3"/>
        <v>#DIV/0!</v>
      </c>
      <c r="N25" s="4"/>
    </row>
    <row r="26" spans="1:14" ht="15" customHeight="1" x14ac:dyDescent="0.25">
      <c r="A26" s="23" t="s">
        <v>46</v>
      </c>
      <c r="B26" s="26">
        <f>18619+4140</f>
        <v>22759</v>
      </c>
      <c r="C26" s="4" t="s">
        <v>304</v>
      </c>
      <c r="D26" s="24">
        <v>22513.47</v>
      </c>
      <c r="E26" s="24">
        <f>7540+7540</f>
        <v>15080</v>
      </c>
      <c r="F26" s="4" t="s">
        <v>146</v>
      </c>
      <c r="G26" s="27">
        <v>15076.96</v>
      </c>
      <c r="H26" s="24">
        <f>1551+2200+14500+2000</f>
        <v>20251</v>
      </c>
      <c r="I26" s="4" t="s">
        <v>306</v>
      </c>
      <c r="J26" s="24">
        <f>3687+13302+2050</f>
        <v>19039</v>
      </c>
      <c r="K26" s="20">
        <f t="shared" si="1"/>
        <v>58090</v>
      </c>
      <c r="L26" s="20">
        <f t="shared" si="2"/>
        <v>56629.43</v>
      </c>
      <c r="M26" s="13">
        <f t="shared" si="3"/>
        <v>2.5143226028576322</v>
      </c>
      <c r="N26" s="4"/>
    </row>
    <row r="27" spans="1:14" ht="15.75" customHeight="1" x14ac:dyDescent="0.25">
      <c r="A27" s="23" t="s">
        <v>47</v>
      </c>
      <c r="B27" s="47"/>
      <c r="C27" s="4"/>
      <c r="D27" s="24"/>
      <c r="E27" s="24"/>
      <c r="F27" s="4"/>
      <c r="G27" s="27"/>
      <c r="H27" s="24"/>
      <c r="I27" s="4"/>
      <c r="J27" s="24"/>
      <c r="K27" s="20">
        <f t="shared" si="1"/>
        <v>0</v>
      </c>
      <c r="L27" s="20">
        <f t="shared" si="2"/>
        <v>0</v>
      </c>
      <c r="M27" s="13" t="e">
        <f t="shared" si="3"/>
        <v>#DIV/0!</v>
      </c>
      <c r="N27" s="4"/>
    </row>
    <row r="28" spans="1:14" x14ac:dyDescent="0.25">
      <c r="A28" s="23" t="s">
        <v>48</v>
      </c>
      <c r="B28" s="26">
        <f>2455+2945</f>
        <v>5400</v>
      </c>
      <c r="C28" s="4" t="s">
        <v>136</v>
      </c>
      <c r="D28" s="24">
        <v>5355.5598</v>
      </c>
      <c r="E28" s="24">
        <f>2909+2909</f>
        <v>5818</v>
      </c>
      <c r="F28" s="4" t="s">
        <v>146</v>
      </c>
      <c r="G28" s="27">
        <v>4443.5</v>
      </c>
      <c r="H28" s="24"/>
      <c r="I28" s="4"/>
      <c r="J28" s="24"/>
      <c r="K28" s="20">
        <f t="shared" si="1"/>
        <v>11218</v>
      </c>
      <c r="L28" s="20">
        <f t="shared" si="2"/>
        <v>9799.0597999999991</v>
      </c>
      <c r="M28" s="14">
        <f t="shared" si="3"/>
        <v>12.648780531289006</v>
      </c>
      <c r="N28" s="4"/>
    </row>
    <row r="29" spans="1:14" x14ac:dyDescent="0.25">
      <c r="A29" s="23" t="s">
        <v>49</v>
      </c>
      <c r="B29" s="26">
        <f>2455+2945</f>
        <v>5400</v>
      </c>
      <c r="C29" s="4" t="s">
        <v>136</v>
      </c>
      <c r="D29" s="24">
        <v>5355.5598</v>
      </c>
      <c r="E29" s="24">
        <f>2909+2909</f>
        <v>5818</v>
      </c>
      <c r="F29" s="4" t="s">
        <v>146</v>
      </c>
      <c r="G29" s="27">
        <v>4443.5</v>
      </c>
      <c r="H29" s="24"/>
      <c r="I29" s="4"/>
      <c r="J29" s="24"/>
      <c r="K29" s="20">
        <f t="shared" si="1"/>
        <v>11218</v>
      </c>
      <c r="L29" s="20">
        <f t="shared" si="2"/>
        <v>9799.0597999999991</v>
      </c>
      <c r="M29" s="13">
        <f t="shared" si="3"/>
        <v>12.648780531289006</v>
      </c>
      <c r="N29" s="4"/>
    </row>
    <row r="30" spans="1:14" x14ac:dyDescent="0.25">
      <c r="A30" s="23" t="s">
        <v>50</v>
      </c>
      <c r="B30" s="26">
        <f>2455+2945</f>
        <v>5400</v>
      </c>
      <c r="C30" s="4" t="s">
        <v>136</v>
      </c>
      <c r="D30" s="24">
        <v>5355.5598</v>
      </c>
      <c r="E30" s="24">
        <f>2909+2909</f>
        <v>5818</v>
      </c>
      <c r="F30" s="4" t="s">
        <v>146</v>
      </c>
      <c r="G30" s="27">
        <v>4443.5</v>
      </c>
      <c r="H30" s="24"/>
      <c r="I30" s="4"/>
      <c r="J30" s="24"/>
      <c r="K30" s="20">
        <f t="shared" si="1"/>
        <v>11218</v>
      </c>
      <c r="L30" s="20">
        <f t="shared" si="2"/>
        <v>9799.0597999999991</v>
      </c>
      <c r="M30" s="13">
        <f t="shared" si="3"/>
        <v>12.648780531289006</v>
      </c>
      <c r="N30" s="4"/>
    </row>
    <row r="31" spans="1:14" x14ac:dyDescent="0.25">
      <c r="A31" s="23" t="s">
        <v>51</v>
      </c>
      <c r="B31" s="26">
        <f>2455+2945</f>
        <v>5400</v>
      </c>
      <c r="C31" s="4" t="s">
        <v>136</v>
      </c>
      <c r="D31" s="24">
        <v>5355.5598</v>
      </c>
      <c r="E31" s="24">
        <f>2909+2909</f>
        <v>5818</v>
      </c>
      <c r="F31" s="4" t="s">
        <v>146</v>
      </c>
      <c r="G31" s="27">
        <v>4443.5</v>
      </c>
      <c r="H31" s="24"/>
      <c r="I31" s="4"/>
      <c r="J31" s="24"/>
      <c r="K31" s="20">
        <f t="shared" si="1"/>
        <v>11218</v>
      </c>
      <c r="L31" s="20">
        <f t="shared" si="2"/>
        <v>9799.0597999999991</v>
      </c>
      <c r="M31" s="13">
        <f t="shared" si="3"/>
        <v>12.648780531289006</v>
      </c>
      <c r="N31" s="4"/>
    </row>
    <row r="32" spans="1:14" x14ac:dyDescent="0.25">
      <c r="A32" s="23" t="s">
        <v>52</v>
      </c>
      <c r="B32" s="47"/>
      <c r="C32" s="4"/>
      <c r="D32" s="24"/>
      <c r="E32" s="24"/>
      <c r="F32" s="4"/>
      <c r="G32" s="24"/>
      <c r="H32" s="24"/>
      <c r="I32" s="4"/>
      <c r="J32" s="24"/>
      <c r="K32" s="20">
        <f t="shared" si="1"/>
        <v>0</v>
      </c>
      <c r="L32" s="20">
        <f t="shared" si="2"/>
        <v>0</v>
      </c>
      <c r="M32" s="13" t="e">
        <f t="shared" si="3"/>
        <v>#DIV/0!</v>
      </c>
      <c r="N32" s="4"/>
    </row>
    <row r="33" spans="1:14" x14ac:dyDescent="0.25">
      <c r="A33" s="23" t="s">
        <v>53</v>
      </c>
      <c r="B33" s="47"/>
      <c r="C33" s="4"/>
      <c r="D33" s="24"/>
      <c r="E33" s="24"/>
      <c r="F33" s="4"/>
      <c r="G33" s="27"/>
      <c r="H33" s="24"/>
      <c r="I33" s="4"/>
      <c r="J33" s="24"/>
      <c r="K33" s="20">
        <f t="shared" si="1"/>
        <v>0</v>
      </c>
      <c r="L33" s="20">
        <f t="shared" si="2"/>
        <v>0</v>
      </c>
      <c r="M33" s="13" t="e">
        <f t="shared" si="3"/>
        <v>#DIV/0!</v>
      </c>
      <c r="N33" s="4"/>
    </row>
    <row r="34" spans="1:14" x14ac:dyDescent="0.25">
      <c r="A34" s="23" t="s">
        <v>54</v>
      </c>
      <c r="B34" s="47"/>
      <c r="C34" s="4"/>
      <c r="D34" s="24"/>
      <c r="E34" s="26"/>
      <c r="F34" s="4"/>
      <c r="G34" s="27"/>
      <c r="H34" s="24"/>
      <c r="I34" s="4"/>
      <c r="J34" s="24"/>
      <c r="K34" s="20">
        <f t="shared" si="1"/>
        <v>0</v>
      </c>
      <c r="L34" s="20">
        <f t="shared" si="2"/>
        <v>0</v>
      </c>
      <c r="M34" s="13" t="e">
        <f t="shared" si="3"/>
        <v>#DIV/0!</v>
      </c>
      <c r="N34" s="4"/>
    </row>
    <row r="35" spans="1:14" x14ac:dyDescent="0.25">
      <c r="A35" s="23" t="s">
        <v>55</v>
      </c>
      <c r="B35" s="47"/>
      <c r="C35" s="38"/>
      <c r="D35" s="24"/>
      <c r="E35" s="24"/>
      <c r="F35" s="4"/>
      <c r="G35" s="27"/>
      <c r="H35" s="24"/>
      <c r="I35" s="4"/>
      <c r="J35" s="24"/>
      <c r="K35" s="20">
        <f t="shared" si="1"/>
        <v>0</v>
      </c>
      <c r="L35" s="20">
        <f t="shared" si="2"/>
        <v>0</v>
      </c>
      <c r="M35" s="13" t="e">
        <f t="shared" si="3"/>
        <v>#DIV/0!</v>
      </c>
      <c r="N35" s="4"/>
    </row>
    <row r="36" spans="1:14" x14ac:dyDescent="0.25">
      <c r="A36" s="23" t="s">
        <v>56</v>
      </c>
      <c r="B36" s="47"/>
      <c r="C36" s="4"/>
      <c r="D36" s="24"/>
      <c r="E36" s="24"/>
      <c r="F36" s="16"/>
      <c r="G36" s="27"/>
      <c r="H36" s="24"/>
      <c r="I36" s="4"/>
      <c r="J36" s="24"/>
      <c r="K36" s="20">
        <f t="shared" si="1"/>
        <v>0</v>
      </c>
      <c r="L36" s="20">
        <f t="shared" si="2"/>
        <v>0</v>
      </c>
      <c r="M36" s="13" t="e">
        <f t="shared" si="3"/>
        <v>#DIV/0!</v>
      </c>
      <c r="N36" s="42"/>
    </row>
    <row r="37" spans="1:14" x14ac:dyDescent="0.25">
      <c r="A37" s="23" t="s">
        <v>57</v>
      </c>
      <c r="B37" s="47"/>
      <c r="C37" s="4"/>
      <c r="D37" s="24"/>
      <c r="E37" s="24"/>
      <c r="F37" s="4"/>
      <c r="G37" s="27"/>
      <c r="H37" s="24"/>
      <c r="I37" s="4"/>
      <c r="J37" s="24"/>
      <c r="K37" s="20">
        <f t="shared" si="1"/>
        <v>0</v>
      </c>
      <c r="L37" s="20">
        <f t="shared" si="2"/>
        <v>0</v>
      </c>
      <c r="M37" s="14" t="e">
        <f t="shared" si="3"/>
        <v>#DIV/0!</v>
      </c>
      <c r="N37" s="4"/>
    </row>
    <row r="38" spans="1:14" ht="16.5" customHeight="1" x14ac:dyDescent="0.25">
      <c r="A38" s="23" t="s">
        <v>58</v>
      </c>
      <c r="B38" s="47"/>
      <c r="C38" s="4"/>
      <c r="D38" s="24"/>
      <c r="E38" s="4"/>
      <c r="F38" s="16"/>
      <c r="G38" s="27"/>
      <c r="H38" s="24"/>
      <c r="I38" s="4"/>
      <c r="J38" s="24"/>
      <c r="K38" s="20">
        <f t="shared" si="1"/>
        <v>0</v>
      </c>
      <c r="L38" s="20">
        <f t="shared" si="2"/>
        <v>0</v>
      </c>
      <c r="M38" s="13" t="e">
        <f t="shared" si="3"/>
        <v>#DIV/0!</v>
      </c>
      <c r="N38" s="4"/>
    </row>
    <row r="39" spans="1:14" ht="15" customHeight="1" x14ac:dyDescent="0.25">
      <c r="A39" s="23" t="s">
        <v>59</v>
      </c>
      <c r="B39" s="26">
        <f>37000+2112+2434</f>
        <v>41546</v>
      </c>
      <c r="C39" s="4" t="s">
        <v>136</v>
      </c>
      <c r="D39" s="24">
        <f>28334.48-225</f>
        <v>28109.48</v>
      </c>
      <c r="E39" s="24">
        <v>62086</v>
      </c>
      <c r="F39" s="4" t="s">
        <v>146</v>
      </c>
      <c r="G39" s="27">
        <v>59738.02</v>
      </c>
      <c r="H39" s="24">
        <f>10545+21975+8400+4650</f>
        <v>45570</v>
      </c>
      <c r="I39" s="4" t="s">
        <v>311</v>
      </c>
      <c r="J39" s="24">
        <f>13550+6895+6101.98+3684.32</f>
        <v>30231.3</v>
      </c>
      <c r="K39" s="20">
        <f t="shared" si="1"/>
        <v>149202</v>
      </c>
      <c r="L39" s="20">
        <f t="shared" si="2"/>
        <v>118078.8</v>
      </c>
      <c r="M39" s="13">
        <f t="shared" si="3"/>
        <v>20.859773997667588</v>
      </c>
      <c r="N39" s="4"/>
    </row>
    <row r="40" spans="1:14" x14ac:dyDescent="0.25">
      <c r="A40" s="23" t="s">
        <v>64</v>
      </c>
      <c r="B40" s="26">
        <f>585+660</f>
        <v>1245</v>
      </c>
      <c r="C40" s="4" t="s">
        <v>310</v>
      </c>
      <c r="D40" s="24">
        <f>538.14+449.38</f>
        <v>987.52</v>
      </c>
      <c r="E40" s="24"/>
      <c r="F40" s="4"/>
      <c r="G40" s="24"/>
      <c r="H40" s="24"/>
      <c r="I40" s="4"/>
      <c r="J40" s="24"/>
      <c r="K40" s="20">
        <f t="shared" si="1"/>
        <v>1245</v>
      </c>
      <c r="L40" s="20">
        <f t="shared" si="2"/>
        <v>987.52</v>
      </c>
      <c r="M40" s="13">
        <f t="shared" si="3"/>
        <v>20.681124497991973</v>
      </c>
      <c r="N40" s="4"/>
    </row>
    <row r="41" spans="1:14" x14ac:dyDescent="0.25">
      <c r="A41" s="23" t="s">
        <v>65</v>
      </c>
      <c r="B41" s="26">
        <f>2116+1587+22760+1411+1058</f>
        <v>28932</v>
      </c>
      <c r="C41" s="4" t="s">
        <v>238</v>
      </c>
      <c r="D41" s="24">
        <v>27078.21</v>
      </c>
      <c r="E41" s="24"/>
      <c r="F41" s="4"/>
      <c r="G41" s="24"/>
      <c r="H41" s="24"/>
      <c r="I41" s="4"/>
      <c r="J41" s="24"/>
      <c r="K41" s="20">
        <f t="shared" si="1"/>
        <v>28932</v>
      </c>
      <c r="L41" s="20">
        <f t="shared" si="2"/>
        <v>27078.21</v>
      </c>
      <c r="M41" s="13">
        <f t="shared" si="3"/>
        <v>6.4074035669846552</v>
      </c>
      <c r="N41" s="4"/>
    </row>
    <row r="42" spans="1:14" x14ac:dyDescent="0.25">
      <c r="A42" s="23" t="s">
        <v>70</v>
      </c>
      <c r="B42" s="26">
        <v>51289</v>
      </c>
      <c r="C42" s="4" t="s">
        <v>307</v>
      </c>
      <c r="D42" s="24">
        <v>51289</v>
      </c>
      <c r="E42" s="24"/>
      <c r="F42" s="4"/>
      <c r="G42" s="27"/>
      <c r="H42" s="24"/>
      <c r="I42" s="4"/>
      <c r="J42" s="24"/>
      <c r="K42" s="20">
        <f t="shared" si="1"/>
        <v>51289</v>
      </c>
      <c r="L42" s="20">
        <f t="shared" si="2"/>
        <v>51289</v>
      </c>
      <c r="M42" s="13">
        <f t="shared" si="3"/>
        <v>0</v>
      </c>
      <c r="N42" s="4"/>
    </row>
    <row r="43" spans="1:14" x14ac:dyDescent="0.25">
      <c r="A43" s="23" t="s">
        <v>71</v>
      </c>
      <c r="B43" s="26">
        <f>3794+25328+3357+5225</f>
        <v>37704</v>
      </c>
      <c r="C43" s="4" t="s">
        <v>136</v>
      </c>
      <c r="D43" s="24">
        <f>3526.56+23543.56+3139.46+4812.5</f>
        <v>35022.080000000002</v>
      </c>
      <c r="E43" s="24"/>
      <c r="F43" s="4"/>
      <c r="G43" s="24"/>
      <c r="H43" s="24"/>
      <c r="I43" s="4"/>
      <c r="J43" s="24"/>
      <c r="K43" s="20">
        <f t="shared" si="1"/>
        <v>37704</v>
      </c>
      <c r="L43" s="20">
        <f t="shared" si="2"/>
        <v>35022.080000000002</v>
      </c>
      <c r="M43" s="13">
        <f t="shared" si="3"/>
        <v>7.1130914491831163</v>
      </c>
      <c r="N43" s="4"/>
    </row>
    <row r="44" spans="1:14" x14ac:dyDescent="0.25">
      <c r="A44" s="23" t="s">
        <v>73</v>
      </c>
      <c r="B44" s="26">
        <f>4710+30989+4191+6243+950</f>
        <v>47083</v>
      </c>
      <c r="C44" s="4" t="s">
        <v>308</v>
      </c>
      <c r="D44" s="24">
        <f>4575.6+30547.05+4073.35+5637.5</f>
        <v>44833.5</v>
      </c>
      <c r="E44" s="24"/>
      <c r="F44" s="4"/>
      <c r="G44" s="27"/>
      <c r="H44" s="24"/>
      <c r="I44" s="4"/>
      <c r="J44" s="24"/>
      <c r="K44" s="20">
        <f t="shared" si="1"/>
        <v>47083</v>
      </c>
      <c r="L44" s="20">
        <f t="shared" si="2"/>
        <v>44833.5</v>
      </c>
      <c r="M44" s="13">
        <f t="shared" si="3"/>
        <v>4.7777329397022328</v>
      </c>
      <c r="N44" s="4"/>
    </row>
    <row r="45" spans="1:14" x14ac:dyDescent="0.25">
      <c r="A45" s="23" t="s">
        <v>74</v>
      </c>
      <c r="B45" s="26">
        <f>176+370</f>
        <v>546</v>
      </c>
      <c r="C45" s="4" t="s">
        <v>309</v>
      </c>
      <c r="D45" s="24">
        <f>87.2+87.2+360</f>
        <v>534.4</v>
      </c>
      <c r="E45" s="26"/>
      <c r="F45" s="4"/>
      <c r="G45" s="27"/>
      <c r="H45" s="26"/>
      <c r="I45" s="4"/>
      <c r="J45" s="24"/>
      <c r="K45" s="20">
        <f t="shared" si="1"/>
        <v>546</v>
      </c>
      <c r="L45" s="20">
        <f t="shared" si="2"/>
        <v>534.4</v>
      </c>
      <c r="M45" s="14">
        <f t="shared" si="3"/>
        <v>2.1245421245421312</v>
      </c>
      <c r="N45" s="4"/>
    </row>
    <row r="46" spans="1:14" x14ac:dyDescent="0.25">
      <c r="A46" s="23" t="s">
        <v>75</v>
      </c>
      <c r="B46" s="26">
        <f>176+370</f>
        <v>546</v>
      </c>
      <c r="C46" s="4" t="s">
        <v>309</v>
      </c>
      <c r="D46" s="24">
        <f>87.2+87.2+360</f>
        <v>534.4</v>
      </c>
      <c r="E46" s="24"/>
      <c r="F46" s="4"/>
      <c r="G46" s="27"/>
      <c r="H46" s="24"/>
      <c r="I46" s="28"/>
      <c r="J46" s="24"/>
      <c r="K46" s="20">
        <f t="shared" si="1"/>
        <v>546</v>
      </c>
      <c r="L46" s="20">
        <f t="shared" si="2"/>
        <v>534.4</v>
      </c>
      <c r="M46" s="13">
        <f t="shared" si="3"/>
        <v>2.1245421245421312</v>
      </c>
      <c r="N46" s="4"/>
    </row>
    <row r="47" spans="1:14" x14ac:dyDescent="0.25">
      <c r="A47" s="23" t="s">
        <v>76</v>
      </c>
      <c r="B47" s="26">
        <f>176+370</f>
        <v>546</v>
      </c>
      <c r="C47" s="4" t="s">
        <v>309</v>
      </c>
      <c r="D47" s="24">
        <f>87.2+87.2+600</f>
        <v>774.4</v>
      </c>
      <c r="E47" s="24"/>
      <c r="F47" s="4"/>
      <c r="G47" s="27"/>
      <c r="H47" s="24"/>
      <c r="I47" s="4"/>
      <c r="J47" s="24"/>
      <c r="K47" s="20">
        <f t="shared" si="1"/>
        <v>546</v>
      </c>
      <c r="L47" s="20">
        <f t="shared" si="2"/>
        <v>774.4</v>
      </c>
      <c r="M47" s="13">
        <f t="shared" si="3"/>
        <v>-41.831501831501839</v>
      </c>
      <c r="N47" s="4"/>
    </row>
    <row r="48" spans="1:14" x14ac:dyDescent="0.25">
      <c r="A48" s="23" t="s">
        <v>77</v>
      </c>
      <c r="B48" s="26">
        <f>1080+810+5464+14179</f>
        <v>21533</v>
      </c>
      <c r="C48" s="4" t="s">
        <v>238</v>
      </c>
      <c r="D48" s="24">
        <v>18796</v>
      </c>
      <c r="E48" s="24"/>
      <c r="F48" s="4"/>
      <c r="G48" s="24"/>
      <c r="H48" s="24"/>
      <c r="I48" s="4"/>
      <c r="J48" s="24"/>
      <c r="K48" s="20">
        <f t="shared" si="1"/>
        <v>21533</v>
      </c>
      <c r="L48" s="20">
        <f t="shared" si="2"/>
        <v>18796</v>
      </c>
      <c r="M48" s="13">
        <f t="shared" si="3"/>
        <v>12.710723076208609</v>
      </c>
      <c r="N48" s="4"/>
    </row>
    <row r="49" spans="1:14" x14ac:dyDescent="0.25">
      <c r="A49" s="23" t="s">
        <v>78</v>
      </c>
      <c r="B49" s="26">
        <f>1080+810+5464+14179</f>
        <v>21533</v>
      </c>
      <c r="C49" s="4" t="s">
        <v>238</v>
      </c>
      <c r="D49" s="24">
        <v>18796</v>
      </c>
      <c r="E49" s="24"/>
      <c r="F49" s="4"/>
      <c r="G49" s="27"/>
      <c r="H49" s="24"/>
      <c r="I49" s="4"/>
      <c r="J49" s="24"/>
      <c r="K49" s="20">
        <f t="shared" si="1"/>
        <v>21533</v>
      </c>
      <c r="L49" s="20">
        <f t="shared" si="2"/>
        <v>18796</v>
      </c>
      <c r="M49" s="13">
        <f t="shared" si="3"/>
        <v>12.710723076208609</v>
      </c>
      <c r="N49" s="4"/>
    </row>
    <row r="50" spans="1:14" x14ac:dyDescent="0.25">
      <c r="A50" s="23" t="s">
        <v>225</v>
      </c>
      <c r="B50" s="26">
        <f>270+270+460</f>
        <v>1000</v>
      </c>
      <c r="C50" s="4" t="s">
        <v>309</v>
      </c>
      <c r="D50" s="24">
        <f>230.5+185+185</f>
        <v>600.5</v>
      </c>
      <c r="E50" s="24"/>
      <c r="F50" s="4"/>
      <c r="G50" s="27"/>
      <c r="H50" s="24"/>
      <c r="I50" s="4"/>
      <c r="J50" s="24"/>
      <c r="K50" s="20">
        <f t="shared" si="1"/>
        <v>1000</v>
      </c>
      <c r="L50" s="20">
        <f t="shared" si="2"/>
        <v>600.5</v>
      </c>
      <c r="M50" s="13">
        <f t="shared" si="3"/>
        <v>39.950000000000003</v>
      </c>
      <c r="N50" s="4"/>
    </row>
    <row r="51" spans="1:14" x14ac:dyDescent="0.25">
      <c r="A51" s="23" t="s">
        <v>226</v>
      </c>
      <c r="B51" s="26">
        <f>270+270+460</f>
        <v>1000</v>
      </c>
      <c r="C51" s="4" t="s">
        <v>309</v>
      </c>
      <c r="D51" s="24">
        <f>230.5+185+185</f>
        <v>600.5</v>
      </c>
      <c r="E51" s="24"/>
      <c r="F51" s="4"/>
      <c r="G51" s="27"/>
      <c r="H51" s="24"/>
      <c r="I51" s="4"/>
      <c r="J51" s="24"/>
      <c r="K51" s="20">
        <f t="shared" si="1"/>
        <v>1000</v>
      </c>
      <c r="L51" s="20">
        <f t="shared" si="2"/>
        <v>600.5</v>
      </c>
      <c r="M51" s="13">
        <f t="shared" si="3"/>
        <v>39.950000000000003</v>
      </c>
      <c r="N51" s="4"/>
    </row>
    <row r="52" spans="1:14" x14ac:dyDescent="0.25">
      <c r="A52" s="23" t="s">
        <v>227</v>
      </c>
      <c r="B52" s="26">
        <f>2925+15684+3137+2925</f>
        <v>24671</v>
      </c>
      <c r="C52" s="4" t="s">
        <v>238</v>
      </c>
      <c r="D52" s="24">
        <f>5572.064+14278.48+2855.68</f>
        <v>22706.224000000002</v>
      </c>
      <c r="E52" s="24"/>
      <c r="F52" s="4"/>
      <c r="G52" s="27"/>
      <c r="H52" s="24"/>
      <c r="I52" s="4"/>
      <c r="J52" s="24"/>
      <c r="K52" s="20">
        <f t="shared" si="1"/>
        <v>24671</v>
      </c>
      <c r="L52" s="20">
        <f t="shared" si="2"/>
        <v>22706.224000000002</v>
      </c>
      <c r="M52" s="13">
        <f t="shared" si="3"/>
        <v>7.9639090430059412</v>
      </c>
      <c r="N52" s="4"/>
    </row>
    <row r="53" spans="1:14" x14ac:dyDescent="0.25">
      <c r="A53" s="23" t="s">
        <v>176</v>
      </c>
      <c r="B53" s="26">
        <f>623+831+2986+4479</f>
        <v>8919</v>
      </c>
      <c r="C53" s="4" t="s">
        <v>238</v>
      </c>
      <c r="D53" s="24">
        <f>741.15+555.93+2308+3112.83</f>
        <v>6717.91</v>
      </c>
      <c r="E53" s="24"/>
      <c r="F53" s="4"/>
      <c r="G53" s="27"/>
      <c r="H53" s="24"/>
      <c r="I53" s="4"/>
      <c r="J53" s="24"/>
      <c r="K53" s="20">
        <f t="shared" si="1"/>
        <v>8919</v>
      </c>
      <c r="L53" s="20">
        <f t="shared" si="2"/>
        <v>6717.91</v>
      </c>
      <c r="M53" s="13">
        <f t="shared" si="3"/>
        <v>24.678663527301268</v>
      </c>
      <c r="N53" s="4"/>
    </row>
    <row r="54" spans="1:14" x14ac:dyDescent="0.25">
      <c r="A54" s="23" t="s">
        <v>177</v>
      </c>
      <c r="B54" s="26">
        <f>623+831+2986+4479</f>
        <v>8919</v>
      </c>
      <c r="C54" s="4" t="s">
        <v>238</v>
      </c>
      <c r="D54" s="24">
        <f>741.15+555.93+2308+3112.83</f>
        <v>6717.91</v>
      </c>
      <c r="E54" s="24"/>
      <c r="F54" s="4"/>
      <c r="G54" s="27"/>
      <c r="H54" s="24"/>
      <c r="I54" s="4"/>
      <c r="J54" s="24"/>
      <c r="K54" s="20">
        <f t="shared" si="1"/>
        <v>8919</v>
      </c>
      <c r="L54" s="20">
        <f t="shared" si="2"/>
        <v>6717.91</v>
      </c>
      <c r="M54" s="13">
        <f t="shared" si="3"/>
        <v>24.678663527301268</v>
      </c>
      <c r="N54" s="4"/>
    </row>
    <row r="55" spans="1:14" x14ac:dyDescent="0.25">
      <c r="A55" s="23" t="s">
        <v>86</v>
      </c>
      <c r="B55" s="26">
        <f>623+831+2986+4479</f>
        <v>8919</v>
      </c>
      <c r="C55" s="4" t="s">
        <v>238</v>
      </c>
      <c r="D55" s="24">
        <f>741.15+555.93+2308+3112.83</f>
        <v>6717.91</v>
      </c>
      <c r="E55" s="24"/>
      <c r="F55" s="4"/>
      <c r="G55" s="27"/>
      <c r="H55" s="24"/>
      <c r="I55" s="4"/>
      <c r="J55" s="24"/>
      <c r="K55" s="20">
        <f t="shared" si="1"/>
        <v>8919</v>
      </c>
      <c r="L55" s="20">
        <f t="shared" si="2"/>
        <v>6717.91</v>
      </c>
      <c r="M55" s="13">
        <f t="shared" si="3"/>
        <v>24.678663527301268</v>
      </c>
      <c r="N55" s="4"/>
    </row>
    <row r="56" spans="1:14" x14ac:dyDescent="0.25">
      <c r="A56" s="23" t="s">
        <v>87</v>
      </c>
      <c r="B56" s="26">
        <f>623+831+2986+4479</f>
        <v>8919</v>
      </c>
      <c r="C56" s="4" t="s">
        <v>238</v>
      </c>
      <c r="D56" s="24">
        <f>741.15+555.93+2308+3112.83</f>
        <v>6717.91</v>
      </c>
      <c r="E56" s="24"/>
      <c r="F56" s="4"/>
      <c r="G56" s="27"/>
      <c r="H56" s="24"/>
      <c r="I56" s="4"/>
      <c r="J56" s="24"/>
      <c r="K56" s="20">
        <f t="shared" si="1"/>
        <v>8919</v>
      </c>
      <c r="L56" s="20">
        <f t="shared" si="2"/>
        <v>6717.91</v>
      </c>
      <c r="M56" s="14">
        <f t="shared" si="3"/>
        <v>24.678663527301268</v>
      </c>
      <c r="N56" s="4"/>
    </row>
    <row r="57" spans="1:14" x14ac:dyDescent="0.25">
      <c r="A57" s="23" t="s">
        <v>88</v>
      </c>
      <c r="B57" s="26">
        <f>1439+4073+1439</f>
        <v>6951</v>
      </c>
      <c r="C57" s="4" t="s">
        <v>238</v>
      </c>
      <c r="D57" s="24">
        <v>6951</v>
      </c>
      <c r="E57" s="24"/>
      <c r="F57" s="4"/>
      <c r="G57" s="27"/>
      <c r="H57" s="24"/>
      <c r="I57" s="4"/>
      <c r="J57" s="24"/>
      <c r="K57" s="20">
        <f t="shared" si="1"/>
        <v>6951</v>
      </c>
      <c r="L57" s="20">
        <f t="shared" si="2"/>
        <v>6951</v>
      </c>
      <c r="M57" s="13">
        <f t="shared" si="3"/>
        <v>0</v>
      </c>
      <c r="N57" s="4"/>
    </row>
    <row r="58" spans="1:14" x14ac:dyDescent="0.25">
      <c r="A58" s="23" t="s">
        <v>89</v>
      </c>
      <c r="B58" s="47"/>
      <c r="C58" s="4"/>
      <c r="D58" s="24"/>
      <c r="E58" s="24"/>
      <c r="F58" s="4"/>
      <c r="G58" s="27"/>
      <c r="H58" s="24"/>
      <c r="I58" s="4"/>
      <c r="J58" s="24"/>
      <c r="K58" s="20"/>
      <c r="L58" s="20">
        <f t="shared" si="2"/>
        <v>0</v>
      </c>
      <c r="M58" s="13" t="e">
        <f t="shared" si="3"/>
        <v>#DIV/0!</v>
      </c>
      <c r="N58" s="4"/>
    </row>
    <row r="59" spans="1:14" x14ac:dyDescent="0.25">
      <c r="A59" s="23" t="s">
        <v>90</v>
      </c>
      <c r="B59" s="26">
        <f>1465+1465+1172+2344+1875</f>
        <v>8321</v>
      </c>
      <c r="C59" s="4" t="s">
        <v>238</v>
      </c>
      <c r="D59" s="24">
        <f>1080+1080+864.76+864.76+1364.22+2419.325</f>
        <v>7673.0650000000005</v>
      </c>
      <c r="E59" s="24"/>
      <c r="F59" s="4"/>
      <c r="G59" s="27"/>
      <c r="H59" s="24">
        <f>1850+985</f>
        <v>2835</v>
      </c>
      <c r="I59" s="4" t="s">
        <v>236</v>
      </c>
      <c r="J59" s="24">
        <f>1716+288.33</f>
        <v>2004.33</v>
      </c>
      <c r="K59" s="20">
        <f t="shared" si="1"/>
        <v>11156</v>
      </c>
      <c r="L59" s="20">
        <f t="shared" si="2"/>
        <v>9677.3950000000004</v>
      </c>
      <c r="M59" s="13">
        <f t="shared" si="3"/>
        <v>13.253899247041957</v>
      </c>
      <c r="N59" s="4"/>
    </row>
    <row r="60" spans="1:14" x14ac:dyDescent="0.25">
      <c r="A60" s="23" t="s">
        <v>96</v>
      </c>
      <c r="B60" s="26">
        <f>1465+1465+1172+2344+1875</f>
        <v>8321</v>
      </c>
      <c r="C60" s="4" t="s">
        <v>238</v>
      </c>
      <c r="D60" s="24">
        <f>1080+1080+864.76+864.76+1364.22+2419.325</f>
        <v>7673.0650000000005</v>
      </c>
      <c r="E60" s="24"/>
      <c r="F60" s="4"/>
      <c r="G60" s="27"/>
      <c r="H60" s="24">
        <f>1850+985</f>
        <v>2835</v>
      </c>
      <c r="I60" s="4" t="s">
        <v>236</v>
      </c>
      <c r="J60" s="24">
        <f>1716+288.33</f>
        <v>2004.33</v>
      </c>
      <c r="K60" s="20">
        <f>B60+E60+H60</f>
        <v>11156</v>
      </c>
      <c r="L60" s="20">
        <f t="shared" si="2"/>
        <v>9677.3950000000004</v>
      </c>
      <c r="M60" s="13">
        <f t="shared" si="3"/>
        <v>13.253899247041957</v>
      </c>
      <c r="N60" s="4"/>
    </row>
    <row r="61" spans="1:14" x14ac:dyDescent="0.25">
      <c r="A61" s="23" t="s">
        <v>97</v>
      </c>
      <c r="B61" s="26">
        <f>653+1224</f>
        <v>1877</v>
      </c>
      <c r="C61" s="4" t="s">
        <v>238</v>
      </c>
      <c r="D61" s="24">
        <f>966.72+437.25</f>
        <v>1403.97</v>
      </c>
      <c r="E61" s="24"/>
      <c r="F61" s="4"/>
      <c r="G61" s="27"/>
      <c r="H61" s="24">
        <f>1283+1283+250</f>
        <v>2816</v>
      </c>
      <c r="I61" s="4" t="s">
        <v>312</v>
      </c>
      <c r="J61" s="24">
        <f>1000+1096+288.33</f>
        <v>2384.33</v>
      </c>
      <c r="K61" s="20">
        <f t="shared" si="1"/>
        <v>4693</v>
      </c>
      <c r="L61" s="20">
        <f t="shared" si="2"/>
        <v>3788.3</v>
      </c>
      <c r="M61" s="14">
        <f t="shared" si="3"/>
        <v>19.27764756019603</v>
      </c>
      <c r="N61" s="4"/>
    </row>
    <row r="62" spans="1:14" x14ac:dyDescent="0.25">
      <c r="A62" s="23" t="s">
        <v>98</v>
      </c>
      <c r="B62" s="26">
        <f>542+1356</f>
        <v>1898</v>
      </c>
      <c r="C62" s="4" t="s">
        <v>238</v>
      </c>
      <c r="D62" s="24">
        <f>1126.25+384.384</f>
        <v>1510.634</v>
      </c>
      <c r="E62" s="24"/>
      <c r="F62" s="4"/>
      <c r="G62" s="27"/>
      <c r="H62" s="24"/>
      <c r="I62" s="28"/>
      <c r="J62" s="24"/>
      <c r="K62" s="20">
        <f t="shared" si="1"/>
        <v>1898</v>
      </c>
      <c r="L62" s="20">
        <f t="shared" si="2"/>
        <v>1510.634</v>
      </c>
      <c r="M62" s="13">
        <f t="shared" si="3"/>
        <v>20.409167544783983</v>
      </c>
      <c r="N62" s="4"/>
    </row>
    <row r="63" spans="1:14" x14ac:dyDescent="0.25">
      <c r="A63" s="23" t="s">
        <v>99</v>
      </c>
      <c r="B63" s="26">
        <f>542+1356</f>
        <v>1898</v>
      </c>
      <c r="C63" s="4" t="s">
        <v>238</v>
      </c>
      <c r="D63" s="24">
        <f>1126.25+384.384</f>
        <v>1510.634</v>
      </c>
      <c r="E63" s="24"/>
      <c r="F63" s="4"/>
      <c r="G63" s="27"/>
      <c r="H63" s="24"/>
      <c r="I63" s="4"/>
      <c r="J63" s="24"/>
      <c r="K63" s="20">
        <f t="shared" si="1"/>
        <v>1898</v>
      </c>
      <c r="L63" s="20">
        <f t="shared" si="2"/>
        <v>1510.634</v>
      </c>
      <c r="M63" s="13">
        <f t="shared" si="3"/>
        <v>20.409167544783983</v>
      </c>
      <c r="N63" s="4"/>
    </row>
    <row r="64" spans="1:14" ht="17.25" customHeight="1" x14ac:dyDescent="0.25">
      <c r="A64" s="23" t="s">
        <v>100</v>
      </c>
      <c r="B64" s="26">
        <f>804+1689</f>
        <v>2493</v>
      </c>
      <c r="C64" s="4" t="s">
        <v>238</v>
      </c>
      <c r="D64" s="24">
        <f>1330+192.19+307.328</f>
        <v>1829.518</v>
      </c>
      <c r="E64" s="24"/>
      <c r="F64" s="4"/>
      <c r="G64" s="27"/>
      <c r="H64" s="24"/>
      <c r="I64" s="4"/>
      <c r="J64" s="24"/>
      <c r="K64" s="20">
        <f t="shared" si="1"/>
        <v>2493</v>
      </c>
      <c r="L64" s="20">
        <f t="shared" si="2"/>
        <v>1829.518</v>
      </c>
      <c r="M64" s="13">
        <f t="shared" si="3"/>
        <v>26.613798636181315</v>
      </c>
      <c r="N64" s="4"/>
    </row>
    <row r="65" spans="1:14" x14ac:dyDescent="0.25">
      <c r="A65" s="23" t="s">
        <v>102</v>
      </c>
      <c r="B65" s="26">
        <f>804+1689</f>
        <v>2493</v>
      </c>
      <c r="C65" s="4" t="s">
        <v>238</v>
      </c>
      <c r="D65" s="24">
        <f>1330+460.99</f>
        <v>1790.99</v>
      </c>
      <c r="E65" s="24"/>
      <c r="F65" s="4"/>
      <c r="G65" s="27"/>
      <c r="H65" s="24"/>
      <c r="I65" s="4"/>
      <c r="J65" s="24"/>
      <c r="K65" s="20">
        <f>B65+E65+H65</f>
        <v>2493</v>
      </c>
      <c r="L65" s="20">
        <f>D65+G65+J65</f>
        <v>1790.99</v>
      </c>
      <c r="M65" s="13">
        <f t="shared" si="3"/>
        <v>28.15924588848776</v>
      </c>
      <c r="N65" s="4"/>
    </row>
    <row r="66" spans="1:14" x14ac:dyDescent="0.25">
      <c r="A66" s="23" t="s">
        <v>103</v>
      </c>
      <c r="B66" s="26">
        <f>670+2002</f>
        <v>2672</v>
      </c>
      <c r="C66" s="4" t="s">
        <v>238</v>
      </c>
      <c r="D66" s="24">
        <f>912.8+912.8+740.32</f>
        <v>2565.92</v>
      </c>
      <c r="E66" s="24"/>
      <c r="F66" s="4"/>
      <c r="G66" s="27"/>
      <c r="H66" s="24"/>
      <c r="I66" s="4"/>
      <c r="J66" s="24"/>
      <c r="K66" s="20">
        <f>B66+E66+H66</f>
        <v>2672</v>
      </c>
      <c r="L66" s="20">
        <f>D66+G66+J66</f>
        <v>2565.92</v>
      </c>
      <c r="M66" s="13">
        <f>100-L66*100/K66</f>
        <v>3.9700598802395177</v>
      </c>
      <c r="N66" s="4"/>
    </row>
    <row r="67" spans="1:14" x14ac:dyDescent="0.25">
      <c r="A67" s="23" t="s">
        <v>104</v>
      </c>
      <c r="B67" s="26">
        <f>1857+151+213+5</f>
        <v>2226</v>
      </c>
      <c r="C67" s="4" t="s">
        <v>238</v>
      </c>
      <c r="D67" s="24">
        <v>2151.37</v>
      </c>
      <c r="E67" s="24">
        <v>1800</v>
      </c>
      <c r="F67" s="4" t="s">
        <v>146</v>
      </c>
      <c r="G67" s="27">
        <f>856+856</f>
        <v>1712</v>
      </c>
      <c r="H67" s="24">
        <v>270</v>
      </c>
      <c r="I67" s="4" t="s">
        <v>313</v>
      </c>
      <c r="J67" s="24">
        <v>268</v>
      </c>
      <c r="K67" s="20">
        <f t="shared" ref="K67:K95" si="4">B67+E67+H67</f>
        <v>4296</v>
      </c>
      <c r="L67" s="20">
        <f t="shared" ref="L67:L95" si="5">D67+G67+J67</f>
        <v>4131.37</v>
      </c>
      <c r="M67" s="13">
        <f t="shared" ref="M67:M85" si="6">100-L67*100/K67</f>
        <v>3.8321694599627563</v>
      </c>
      <c r="N67" s="4"/>
    </row>
    <row r="68" spans="1:14" x14ac:dyDescent="0.25">
      <c r="A68" s="23" t="s">
        <v>106</v>
      </c>
      <c r="B68" s="47"/>
      <c r="C68" s="4"/>
      <c r="D68" s="24"/>
      <c r="E68" s="24"/>
      <c r="F68" s="4"/>
      <c r="G68" s="27"/>
      <c r="H68" s="24"/>
      <c r="I68" s="4"/>
      <c r="J68" s="24"/>
      <c r="K68" s="20">
        <f t="shared" si="4"/>
        <v>0</v>
      </c>
      <c r="L68" s="20">
        <f t="shared" si="5"/>
        <v>0</v>
      </c>
      <c r="M68" s="13" t="e">
        <f t="shared" si="6"/>
        <v>#DIV/0!</v>
      </c>
      <c r="N68" s="4"/>
    </row>
    <row r="69" spans="1:14" x14ac:dyDescent="0.25">
      <c r="A69" s="23" t="s">
        <v>107</v>
      </c>
      <c r="B69" s="26">
        <f>872</f>
        <v>872</v>
      </c>
      <c r="C69" s="4" t="s">
        <v>238</v>
      </c>
      <c r="D69" s="24">
        <v>647.20000000000005</v>
      </c>
      <c r="E69" s="24">
        <f>679+679</f>
        <v>1358</v>
      </c>
      <c r="F69" s="4" t="s">
        <v>146</v>
      </c>
      <c r="G69" s="27">
        <v>1535.46</v>
      </c>
      <c r="H69" s="24"/>
      <c r="I69" s="4"/>
      <c r="J69" s="24"/>
      <c r="K69" s="20">
        <f t="shared" si="4"/>
        <v>2230</v>
      </c>
      <c r="L69" s="20">
        <f t="shared" si="5"/>
        <v>2182.66</v>
      </c>
      <c r="M69" s="13">
        <f t="shared" si="6"/>
        <v>2.1228699551569576</v>
      </c>
      <c r="N69" s="4"/>
    </row>
    <row r="70" spans="1:14" x14ac:dyDescent="0.25">
      <c r="A70" s="23" t="s">
        <v>108</v>
      </c>
      <c r="B70" s="26">
        <f>5148+1287+516</f>
        <v>6951</v>
      </c>
      <c r="C70" s="4" t="s">
        <v>238</v>
      </c>
      <c r="D70" s="24">
        <v>6949.9</v>
      </c>
      <c r="E70" s="24">
        <f>4170</f>
        <v>4170</v>
      </c>
      <c r="F70" s="4" t="s">
        <v>146</v>
      </c>
      <c r="G70" s="27">
        <v>3858.69</v>
      </c>
      <c r="H70" s="24">
        <v>1520</v>
      </c>
      <c r="I70" s="4" t="s">
        <v>314</v>
      </c>
      <c r="J70" s="24">
        <v>1045</v>
      </c>
      <c r="K70" s="20">
        <f t="shared" si="4"/>
        <v>12641</v>
      </c>
      <c r="L70" s="20">
        <f t="shared" si="5"/>
        <v>11853.59</v>
      </c>
      <c r="M70" s="13">
        <f t="shared" si="6"/>
        <v>6.2290166917174332</v>
      </c>
      <c r="N70" s="41"/>
    </row>
    <row r="71" spans="1:14" x14ac:dyDescent="0.25">
      <c r="A71" s="23" t="s">
        <v>109</v>
      </c>
      <c r="B71" s="26">
        <f>55514+34697</f>
        <v>90211</v>
      </c>
      <c r="C71" s="4" t="s">
        <v>238</v>
      </c>
      <c r="D71" s="24">
        <v>90210.93</v>
      </c>
      <c r="E71" s="24">
        <f>53678</f>
        <v>53678</v>
      </c>
      <c r="F71" s="4" t="s">
        <v>146</v>
      </c>
      <c r="G71" s="27">
        <v>53678</v>
      </c>
      <c r="H71" s="24"/>
      <c r="I71" s="4"/>
      <c r="J71" s="24"/>
      <c r="K71" s="20">
        <f>B71+E71+H71</f>
        <v>143889</v>
      </c>
      <c r="L71" s="20">
        <f>D71+G71+J71</f>
        <v>143888.93</v>
      </c>
      <c r="M71" s="13">
        <f>100-L71*100/K71</f>
        <v>4.8648611084445292E-5</v>
      </c>
      <c r="N71" s="4"/>
    </row>
    <row r="72" spans="1:14" x14ac:dyDescent="0.25">
      <c r="A72" s="23" t="s">
        <v>111</v>
      </c>
      <c r="B72" s="26">
        <f>1672+1672+1763+2693+1347+2051</f>
        <v>11198</v>
      </c>
      <c r="C72" s="4" t="s">
        <v>238</v>
      </c>
      <c r="D72" s="24">
        <v>10025.459999999999</v>
      </c>
      <c r="E72" s="24"/>
      <c r="F72" s="4"/>
      <c r="G72" s="27"/>
      <c r="H72" s="24"/>
      <c r="I72" s="4"/>
      <c r="J72" s="24"/>
      <c r="K72" s="20">
        <f t="shared" si="4"/>
        <v>11198</v>
      </c>
      <c r="L72" s="20">
        <f t="shared" si="5"/>
        <v>10025.459999999999</v>
      </c>
      <c r="M72" s="13">
        <f t="shared" si="6"/>
        <v>10.47097696017147</v>
      </c>
      <c r="N72" s="4"/>
    </row>
    <row r="73" spans="1:14" x14ac:dyDescent="0.25">
      <c r="A73" s="23" t="s">
        <v>117</v>
      </c>
      <c r="B73" s="26">
        <f>3683+13111+1473.5</f>
        <v>18267.5</v>
      </c>
      <c r="C73" s="4" t="s">
        <v>238</v>
      </c>
      <c r="D73" s="24">
        <f>6182.22+7590.6+3437.28+1062.89</f>
        <v>18272.989999999998</v>
      </c>
      <c r="E73" s="24"/>
      <c r="F73" s="4"/>
      <c r="G73" s="27"/>
      <c r="H73" s="24"/>
      <c r="I73" s="4"/>
      <c r="J73" s="24"/>
      <c r="K73" s="20">
        <f t="shared" si="4"/>
        <v>18267.5</v>
      </c>
      <c r="L73" s="20">
        <f t="shared" si="5"/>
        <v>18272.989999999998</v>
      </c>
      <c r="M73" s="13">
        <f t="shared" si="6"/>
        <v>-3.0053373477471723E-2</v>
      </c>
      <c r="N73" s="4" t="s">
        <v>315</v>
      </c>
    </row>
    <row r="74" spans="1:14" x14ac:dyDescent="0.25">
      <c r="A74" s="23" t="s">
        <v>118</v>
      </c>
      <c r="B74" s="26">
        <f>1105+1473+1105+1473+11048</f>
        <v>16204</v>
      </c>
      <c r="C74" s="4" t="s">
        <v>238</v>
      </c>
      <c r="D74" s="24">
        <f>2062.06+2750.44+10040.8</f>
        <v>14853.3</v>
      </c>
      <c r="E74" s="24"/>
      <c r="F74" s="4"/>
      <c r="G74" s="27"/>
      <c r="H74" s="24"/>
      <c r="I74" s="4"/>
      <c r="J74" s="24"/>
      <c r="K74" s="20">
        <f t="shared" si="4"/>
        <v>16204</v>
      </c>
      <c r="L74" s="20">
        <f t="shared" si="5"/>
        <v>14853.3</v>
      </c>
      <c r="M74" s="14">
        <f t="shared" si="6"/>
        <v>8.3355961490989898</v>
      </c>
      <c r="N74" s="4"/>
    </row>
    <row r="75" spans="1:14" x14ac:dyDescent="0.25">
      <c r="A75" s="23" t="s">
        <v>119</v>
      </c>
      <c r="B75" s="26">
        <f>1116+837+1116+837+3505</f>
        <v>7411</v>
      </c>
      <c r="C75" s="4" t="s">
        <v>238</v>
      </c>
      <c r="D75" s="24">
        <f>3040.67+3246.1</f>
        <v>6286.77</v>
      </c>
      <c r="E75" s="24"/>
      <c r="F75" s="4"/>
      <c r="G75" s="27"/>
      <c r="H75" s="24"/>
      <c r="I75" s="4"/>
      <c r="J75" s="24"/>
      <c r="K75" s="20">
        <f t="shared" si="4"/>
        <v>7411</v>
      </c>
      <c r="L75" s="20">
        <f t="shared" si="5"/>
        <v>6286.77</v>
      </c>
      <c r="M75" s="13">
        <f t="shared" si="6"/>
        <v>15.16974767237889</v>
      </c>
      <c r="N75" s="4"/>
    </row>
    <row r="76" spans="1:14" x14ac:dyDescent="0.25">
      <c r="A76" s="23" t="s">
        <v>120</v>
      </c>
      <c r="B76" s="26">
        <f>21206+7271+10956+1370</f>
        <v>40803</v>
      </c>
      <c r="C76" s="4" t="s">
        <v>238</v>
      </c>
      <c r="D76" s="24">
        <f>19657.07+6739.63+6589.11+659.28</f>
        <v>33645.089999999997</v>
      </c>
      <c r="E76" s="24">
        <v>12870</v>
      </c>
      <c r="F76" s="4" t="s">
        <v>146</v>
      </c>
      <c r="G76" s="27">
        <v>11815.72</v>
      </c>
      <c r="H76" s="24"/>
      <c r="I76" s="4"/>
      <c r="J76" s="24"/>
      <c r="K76" s="20">
        <f t="shared" si="4"/>
        <v>53673</v>
      </c>
      <c r="L76" s="20">
        <f t="shared" si="5"/>
        <v>45460.81</v>
      </c>
      <c r="M76" s="13">
        <f t="shared" si="6"/>
        <v>15.300411752650305</v>
      </c>
      <c r="N76" s="4"/>
    </row>
    <row r="77" spans="1:14" x14ac:dyDescent="0.25">
      <c r="A77" s="23" t="s">
        <v>121</v>
      </c>
      <c r="B77" s="26">
        <f>1646+1646+8169</f>
        <v>11461</v>
      </c>
      <c r="C77" s="4" t="s">
        <v>238</v>
      </c>
      <c r="D77" s="24">
        <v>11166.96</v>
      </c>
      <c r="E77" s="24"/>
      <c r="F77" s="4"/>
      <c r="G77" s="27"/>
      <c r="H77" s="24"/>
      <c r="I77" s="16"/>
      <c r="J77" s="24"/>
      <c r="K77" s="20">
        <f t="shared" si="4"/>
        <v>11461</v>
      </c>
      <c r="L77" s="20">
        <f t="shared" si="5"/>
        <v>11166.96</v>
      </c>
      <c r="M77" s="13">
        <f t="shared" si="6"/>
        <v>2.5655701945728993</v>
      </c>
      <c r="N77" s="4"/>
    </row>
    <row r="78" spans="1:14" x14ac:dyDescent="0.25">
      <c r="A78" s="23" t="s">
        <v>122</v>
      </c>
      <c r="B78" s="26">
        <f>1646+1646+8169</f>
        <v>11461</v>
      </c>
      <c r="C78" s="4" t="s">
        <v>238</v>
      </c>
      <c r="D78" s="24">
        <v>11166.96</v>
      </c>
      <c r="E78" s="24"/>
      <c r="F78" s="4"/>
      <c r="G78" s="27"/>
      <c r="H78" s="24"/>
      <c r="I78" s="4"/>
      <c r="J78" s="24"/>
      <c r="K78" s="20">
        <f t="shared" si="4"/>
        <v>11461</v>
      </c>
      <c r="L78" s="20">
        <f t="shared" si="5"/>
        <v>11166.96</v>
      </c>
      <c r="M78" s="13">
        <f t="shared" si="6"/>
        <v>2.5655701945728993</v>
      </c>
      <c r="N78" s="4"/>
    </row>
    <row r="79" spans="1:14" x14ac:dyDescent="0.25">
      <c r="A79" s="23" t="s">
        <v>123</v>
      </c>
      <c r="B79" s="26"/>
      <c r="C79" s="4"/>
      <c r="D79" s="24"/>
      <c r="E79" s="24"/>
      <c r="F79" s="4"/>
      <c r="G79" s="27"/>
      <c r="H79" s="24"/>
      <c r="I79" s="4"/>
      <c r="J79" s="24"/>
      <c r="K79" s="20"/>
      <c r="L79" s="20">
        <f>D79+G79+J79</f>
        <v>0</v>
      </c>
      <c r="M79" s="13" t="e">
        <f>100-L79*100/K79</f>
        <v>#DIV/0!</v>
      </c>
      <c r="N79" s="4"/>
    </row>
    <row r="80" spans="1:14" x14ac:dyDescent="0.25">
      <c r="A80" s="23" t="s">
        <v>124</v>
      </c>
      <c r="B80" s="26">
        <f>5155+4566+4296+7855+3535+6981+6093+12888+11415+3765+3044+29458+28279+5695+3769+3064+2499+4873+3984+2244+1806+161+107+450+42</f>
        <v>156024</v>
      </c>
      <c r="C80" s="4" t="s">
        <v>316</v>
      </c>
      <c r="D80" s="24">
        <v>148610.44</v>
      </c>
      <c r="E80" s="24"/>
      <c r="F80" s="4"/>
      <c r="G80" s="27"/>
      <c r="H80" s="24">
        <f>13680+17600</f>
        <v>31280</v>
      </c>
      <c r="I80" s="4" t="s">
        <v>322</v>
      </c>
      <c r="J80" s="24">
        <f>11800+15800</f>
        <v>27600</v>
      </c>
      <c r="K80" s="20">
        <f>B80+E80+H80</f>
        <v>187304</v>
      </c>
      <c r="L80" s="20">
        <f>D80+G80+J80</f>
        <v>176210.44</v>
      </c>
      <c r="M80" s="13">
        <f>100-L80*100/K80</f>
        <v>5.9227565882202242</v>
      </c>
      <c r="N80" s="4"/>
    </row>
    <row r="81" spans="1:14" x14ac:dyDescent="0.25">
      <c r="A81" s="23" t="s">
        <v>125</v>
      </c>
      <c r="B81" s="26">
        <f>2042+3315+6219</f>
        <v>11576</v>
      </c>
      <c r="C81" s="4" t="s">
        <v>238</v>
      </c>
      <c r="D81" s="24">
        <v>10110.655000000001</v>
      </c>
      <c r="E81" s="24"/>
      <c r="F81" s="4"/>
      <c r="G81" s="27"/>
      <c r="H81" s="24"/>
      <c r="I81" s="4"/>
      <c r="J81" s="24"/>
      <c r="K81" s="20">
        <f t="shared" si="4"/>
        <v>11576</v>
      </c>
      <c r="L81" s="20">
        <f t="shared" si="5"/>
        <v>10110.655000000001</v>
      </c>
      <c r="M81" s="13">
        <f t="shared" si="6"/>
        <v>12.658474429854863</v>
      </c>
      <c r="N81" s="4"/>
    </row>
    <row r="82" spans="1:14" x14ac:dyDescent="0.25">
      <c r="A82" s="23" t="s">
        <v>126</v>
      </c>
      <c r="B82" s="26">
        <f>2042+3315+6219</f>
        <v>11576</v>
      </c>
      <c r="C82" s="4" t="s">
        <v>238</v>
      </c>
      <c r="D82" s="24">
        <v>10110.655000000001</v>
      </c>
      <c r="E82" s="24"/>
      <c r="F82" s="4"/>
      <c r="G82" s="27"/>
      <c r="H82" s="24"/>
      <c r="I82" s="4"/>
      <c r="J82" s="24"/>
      <c r="K82" s="20">
        <f t="shared" si="4"/>
        <v>11576</v>
      </c>
      <c r="L82" s="20">
        <f t="shared" si="5"/>
        <v>10110.655000000001</v>
      </c>
      <c r="M82" s="13">
        <f t="shared" si="6"/>
        <v>12.658474429854863</v>
      </c>
      <c r="N82" s="4"/>
    </row>
    <row r="83" spans="1:14" x14ac:dyDescent="0.25">
      <c r="A83" s="23" t="s">
        <v>127</v>
      </c>
      <c r="B83" s="26">
        <f>7884+2523+2009</f>
        <v>12416</v>
      </c>
      <c r="C83" s="4" t="s">
        <v>238</v>
      </c>
      <c r="D83" s="24">
        <v>10736.12</v>
      </c>
      <c r="E83" s="24">
        <v>3825</v>
      </c>
      <c r="F83" s="4" t="s">
        <v>212</v>
      </c>
      <c r="G83" s="27">
        <v>2976</v>
      </c>
      <c r="H83" s="24">
        <f>1900+1900</f>
        <v>3800</v>
      </c>
      <c r="I83" s="4" t="s">
        <v>321</v>
      </c>
      <c r="J83" s="53">
        <f>1817.74+1817.74</f>
        <v>3635.48</v>
      </c>
      <c r="K83" s="20">
        <f t="shared" si="4"/>
        <v>20041</v>
      </c>
      <c r="L83" s="20">
        <f t="shared" si="5"/>
        <v>17347.600000000002</v>
      </c>
      <c r="M83" s="13">
        <f t="shared" si="6"/>
        <v>13.439449129284952</v>
      </c>
      <c r="N83" s="4"/>
    </row>
    <row r="84" spans="1:14" x14ac:dyDescent="0.25">
      <c r="A84" s="23" t="s">
        <v>128</v>
      </c>
      <c r="B84" s="26">
        <f>7884+2523+2009</f>
        <v>12416</v>
      </c>
      <c r="C84" s="4" t="s">
        <v>238</v>
      </c>
      <c r="D84" s="24">
        <v>10736.12</v>
      </c>
      <c r="E84" s="24">
        <v>3825</v>
      </c>
      <c r="F84" s="4" t="s">
        <v>212</v>
      </c>
      <c r="G84" s="27">
        <v>2976</v>
      </c>
      <c r="H84" s="24">
        <f>1900+1900</f>
        <v>3800</v>
      </c>
      <c r="I84" s="4" t="s">
        <v>321</v>
      </c>
      <c r="J84" s="53">
        <f>1817.74+1817.74</f>
        <v>3635.48</v>
      </c>
      <c r="K84" s="20">
        <f t="shared" si="4"/>
        <v>20041</v>
      </c>
      <c r="L84" s="20">
        <f t="shared" si="5"/>
        <v>17347.600000000002</v>
      </c>
      <c r="M84" s="14">
        <f t="shared" si="6"/>
        <v>13.439449129284952</v>
      </c>
      <c r="N84" s="4"/>
    </row>
    <row r="85" spans="1:14" x14ac:dyDescent="0.25">
      <c r="A85" s="23" t="s">
        <v>129</v>
      </c>
      <c r="B85" s="26">
        <f>7884+2523+2009</f>
        <v>12416</v>
      </c>
      <c r="C85" s="4" t="s">
        <v>238</v>
      </c>
      <c r="D85" s="24">
        <v>10736.12</v>
      </c>
      <c r="E85" s="24">
        <v>3825</v>
      </c>
      <c r="F85" s="4" t="s">
        <v>212</v>
      </c>
      <c r="G85" s="27">
        <v>2976</v>
      </c>
      <c r="H85" s="24">
        <f>1900+1900</f>
        <v>3800</v>
      </c>
      <c r="I85" s="4" t="s">
        <v>321</v>
      </c>
      <c r="J85" s="53">
        <f>1817.74+1817.74</f>
        <v>3635.48</v>
      </c>
      <c r="K85" s="20">
        <f t="shared" si="4"/>
        <v>20041</v>
      </c>
      <c r="L85" s="20">
        <f t="shared" si="5"/>
        <v>17347.600000000002</v>
      </c>
      <c r="M85" s="13">
        <f t="shared" si="6"/>
        <v>13.439449129284952</v>
      </c>
      <c r="N85" s="4"/>
    </row>
    <row r="86" spans="1:14" x14ac:dyDescent="0.25">
      <c r="A86" s="23" t="s">
        <v>130</v>
      </c>
      <c r="B86" s="47"/>
      <c r="C86" s="4"/>
      <c r="D86" s="24"/>
      <c r="E86" s="24"/>
      <c r="F86" s="4"/>
      <c r="G86" s="27"/>
      <c r="H86" s="24"/>
      <c r="I86" s="4"/>
      <c r="J86" s="24"/>
      <c r="K86" s="20">
        <f t="shared" si="4"/>
        <v>0</v>
      </c>
      <c r="L86" s="20">
        <f t="shared" si="5"/>
        <v>0</v>
      </c>
      <c r="M86" s="13" t="e">
        <f t="shared" ref="M86:M95" si="7">100-L86*100/K86</f>
        <v>#DIV/0!</v>
      </c>
      <c r="N86" s="4"/>
    </row>
    <row r="87" spans="1:14" x14ac:dyDescent="0.25">
      <c r="A87" s="23" t="s">
        <v>131</v>
      </c>
      <c r="B87" s="26">
        <f>3780+5143+28726+2724+3405+3213</f>
        <v>46991</v>
      </c>
      <c r="C87" s="4" t="s">
        <v>238</v>
      </c>
      <c r="D87" s="24">
        <v>43649.52</v>
      </c>
      <c r="E87" s="24"/>
      <c r="F87" s="4"/>
      <c r="G87" s="27"/>
      <c r="H87" s="24"/>
      <c r="I87" s="4"/>
      <c r="J87" s="24"/>
      <c r="K87" s="20">
        <f t="shared" si="4"/>
        <v>46991</v>
      </c>
      <c r="L87" s="20">
        <f t="shared" si="5"/>
        <v>43649.52</v>
      </c>
      <c r="M87" s="13">
        <f t="shared" si="7"/>
        <v>7.1108935753654947</v>
      </c>
      <c r="N87" s="4"/>
    </row>
    <row r="88" spans="1:14" x14ac:dyDescent="0.25">
      <c r="A88" s="23" t="s">
        <v>132</v>
      </c>
      <c r="B88" s="26">
        <f>4252+6525+14363+4348</f>
        <v>29488</v>
      </c>
      <c r="C88" s="4" t="s">
        <v>238</v>
      </c>
      <c r="D88" s="24">
        <v>33826.239999999998</v>
      </c>
      <c r="E88" s="24"/>
      <c r="F88" s="4"/>
      <c r="G88" s="27"/>
      <c r="H88" s="24"/>
      <c r="I88" s="4"/>
      <c r="J88" s="24"/>
      <c r="K88" s="20">
        <f t="shared" si="4"/>
        <v>29488</v>
      </c>
      <c r="L88" s="20">
        <f t="shared" si="5"/>
        <v>33826.239999999998</v>
      </c>
      <c r="M88" s="14">
        <f>100-L88*100/K88</f>
        <v>-14.711882799782956</v>
      </c>
      <c r="N88" s="4"/>
    </row>
    <row r="89" spans="1:14" x14ac:dyDescent="0.25">
      <c r="A89" s="23" t="s">
        <v>133</v>
      </c>
      <c r="B89" s="26">
        <f>4285+4285+3405+10895</f>
        <v>22870</v>
      </c>
      <c r="C89" s="4" t="s">
        <v>238</v>
      </c>
      <c r="D89" s="24">
        <v>19027.8</v>
      </c>
      <c r="E89" s="24"/>
      <c r="F89" s="4"/>
      <c r="G89" s="27"/>
      <c r="H89" s="24"/>
      <c r="I89" s="4"/>
      <c r="J89" s="24"/>
      <c r="K89" s="20">
        <f t="shared" si="4"/>
        <v>22870</v>
      </c>
      <c r="L89" s="20">
        <f t="shared" si="5"/>
        <v>19027.8</v>
      </c>
      <c r="M89" s="13">
        <f t="shared" si="7"/>
        <v>16.800174901617837</v>
      </c>
      <c r="N89" s="4"/>
    </row>
    <row r="90" spans="1:14" x14ac:dyDescent="0.25">
      <c r="A90" s="23" t="s">
        <v>134</v>
      </c>
      <c r="B90" s="26">
        <f>2857+2857+15892+8939</f>
        <v>30545</v>
      </c>
      <c r="C90" s="4" t="s">
        <v>238</v>
      </c>
      <c r="D90" s="24">
        <v>28038.6</v>
      </c>
      <c r="E90" s="24"/>
      <c r="F90" s="4"/>
      <c r="G90" s="27"/>
      <c r="H90" s="24"/>
      <c r="I90" s="4"/>
      <c r="J90" s="24"/>
      <c r="K90" s="20">
        <f t="shared" si="4"/>
        <v>30545</v>
      </c>
      <c r="L90" s="20">
        <f t="shared" si="5"/>
        <v>28038.6</v>
      </c>
      <c r="M90" s="13">
        <f t="shared" si="7"/>
        <v>8.2055982975937098</v>
      </c>
      <c r="N90" s="4"/>
    </row>
    <row r="91" spans="1:14" x14ac:dyDescent="0.25">
      <c r="A91" s="23" t="s">
        <v>135</v>
      </c>
      <c r="B91" s="26">
        <f>2835+2835+12614</f>
        <v>18284</v>
      </c>
      <c r="C91" s="4" t="s">
        <v>238</v>
      </c>
      <c r="D91" s="24">
        <v>17275.68</v>
      </c>
      <c r="E91" s="24"/>
      <c r="F91" s="4"/>
      <c r="G91" s="27"/>
      <c r="H91" s="24"/>
      <c r="I91" s="4"/>
      <c r="J91" s="24"/>
      <c r="K91" s="20">
        <f t="shared" si="4"/>
        <v>18284</v>
      </c>
      <c r="L91" s="20">
        <f t="shared" si="5"/>
        <v>17275.68</v>
      </c>
      <c r="M91" s="13">
        <f t="shared" si="7"/>
        <v>5.5147670094071373</v>
      </c>
      <c r="N91" s="4"/>
    </row>
    <row r="92" spans="1:14" x14ac:dyDescent="0.25">
      <c r="A92" s="23" t="s">
        <v>140</v>
      </c>
      <c r="B92" s="26">
        <f>3063+4085+6127+4078</f>
        <v>17353</v>
      </c>
      <c r="C92" s="4" t="s">
        <v>238</v>
      </c>
      <c r="D92" s="24">
        <v>14962.5</v>
      </c>
      <c r="E92" s="24"/>
      <c r="F92" s="4"/>
      <c r="G92" s="27"/>
      <c r="H92" s="24"/>
      <c r="I92" s="4"/>
      <c r="J92" s="24"/>
      <c r="K92" s="20">
        <f t="shared" si="4"/>
        <v>17353</v>
      </c>
      <c r="L92" s="20">
        <f t="shared" si="5"/>
        <v>14962.5</v>
      </c>
      <c r="M92" s="14">
        <f t="shared" si="7"/>
        <v>13.77571601452199</v>
      </c>
      <c r="N92" s="4"/>
    </row>
    <row r="93" spans="1:14" x14ac:dyDescent="0.25">
      <c r="A93" s="23" t="s">
        <v>141</v>
      </c>
      <c r="B93" s="26">
        <f>643+857+857+1143+3768</f>
        <v>7268</v>
      </c>
      <c r="C93" s="4" t="s">
        <v>238</v>
      </c>
      <c r="D93" s="24">
        <v>6445.62</v>
      </c>
      <c r="E93" s="24"/>
      <c r="F93" s="4"/>
      <c r="G93" s="27"/>
      <c r="H93" s="24"/>
      <c r="I93" s="4"/>
      <c r="J93" s="24"/>
      <c r="K93" s="20">
        <f t="shared" si="4"/>
        <v>7268</v>
      </c>
      <c r="L93" s="20">
        <f t="shared" si="5"/>
        <v>6445.62</v>
      </c>
      <c r="M93" s="13">
        <f t="shared" si="7"/>
        <v>11.315079801871221</v>
      </c>
      <c r="N93" s="4"/>
    </row>
    <row r="94" spans="1:14" x14ac:dyDescent="0.25">
      <c r="A94" s="23" t="s">
        <v>142</v>
      </c>
      <c r="B94" s="26">
        <f>643+857+857+1143+4285</f>
        <v>7785</v>
      </c>
      <c r="C94" s="4" t="s">
        <v>238</v>
      </c>
      <c r="D94" s="24">
        <v>7228.19</v>
      </c>
      <c r="E94" s="24"/>
      <c r="F94" s="4"/>
      <c r="G94" s="27"/>
      <c r="H94" s="24"/>
      <c r="I94" s="4"/>
      <c r="J94" s="24"/>
      <c r="K94" s="20">
        <f t="shared" si="4"/>
        <v>7785</v>
      </c>
      <c r="L94" s="20">
        <f t="shared" si="5"/>
        <v>7228.19</v>
      </c>
      <c r="M94" s="13">
        <f t="shared" si="7"/>
        <v>7.1523442517662232</v>
      </c>
      <c r="N94" s="4"/>
    </row>
    <row r="95" spans="1:14" x14ac:dyDescent="0.25">
      <c r="A95" s="23" t="s">
        <v>143</v>
      </c>
      <c r="B95" s="8">
        <f>429+574+1714</f>
        <v>2717</v>
      </c>
      <c r="C95" s="4" t="s">
        <v>238</v>
      </c>
      <c r="D95" s="24">
        <v>2265.21</v>
      </c>
      <c r="E95" s="24"/>
      <c r="F95" s="4"/>
      <c r="G95" s="27"/>
      <c r="H95" s="24"/>
      <c r="I95" s="4"/>
      <c r="J95" s="24"/>
      <c r="K95" s="20">
        <f t="shared" si="4"/>
        <v>2717</v>
      </c>
      <c r="L95" s="20">
        <f t="shared" si="5"/>
        <v>2265.21</v>
      </c>
      <c r="M95" s="13">
        <f t="shared" si="7"/>
        <v>16.628266470371727</v>
      </c>
      <c r="N95" s="4"/>
    </row>
    <row r="96" spans="1:14" x14ac:dyDescent="0.25">
      <c r="A96" s="23" t="s">
        <v>149</v>
      </c>
      <c r="B96" s="8">
        <f>2411+1808+2009+2719+6358</f>
        <v>15305</v>
      </c>
      <c r="C96" s="4" t="s">
        <v>238</v>
      </c>
      <c r="D96" s="24">
        <v>13523.04</v>
      </c>
      <c r="E96" s="24"/>
      <c r="F96" s="4"/>
      <c r="G96" s="27"/>
      <c r="H96" s="24"/>
      <c r="I96" s="4"/>
      <c r="J96" s="24"/>
      <c r="K96" s="20">
        <f t="shared" ref="K96:K121" si="8">B96+E96+H96</f>
        <v>15305</v>
      </c>
      <c r="L96" s="20">
        <f t="shared" ref="L96:L121" si="9">D96+G96+J96</f>
        <v>13523.04</v>
      </c>
      <c r="M96" s="13">
        <f t="shared" ref="M96:M121" si="10">100-L96*100/K96</f>
        <v>11.642992486115645</v>
      </c>
      <c r="N96" s="4"/>
    </row>
    <row r="97" spans="1:14" x14ac:dyDescent="0.25">
      <c r="A97" s="23" t="s">
        <v>150</v>
      </c>
      <c r="B97" s="8">
        <f>2411+1808+2009+2719+6358</f>
        <v>15305</v>
      </c>
      <c r="C97" s="4" t="s">
        <v>238</v>
      </c>
      <c r="D97" s="24">
        <v>13523.04</v>
      </c>
      <c r="E97" s="24"/>
      <c r="F97" s="4"/>
      <c r="G97" s="27"/>
      <c r="H97" s="24"/>
      <c r="I97" s="4"/>
      <c r="J97" s="24"/>
      <c r="K97" s="20">
        <f t="shared" si="8"/>
        <v>15305</v>
      </c>
      <c r="L97" s="20">
        <f t="shared" si="9"/>
        <v>13523.04</v>
      </c>
      <c r="M97" s="13">
        <f t="shared" si="10"/>
        <v>11.642992486115645</v>
      </c>
      <c r="N97" s="4"/>
    </row>
    <row r="98" spans="1:14" x14ac:dyDescent="0.25">
      <c r="A98" s="23" t="s">
        <v>151</v>
      </c>
      <c r="B98" s="8">
        <f>1063+4344</f>
        <v>5407</v>
      </c>
      <c r="C98" s="4" t="s">
        <v>238</v>
      </c>
      <c r="D98" s="24">
        <v>4814.71</v>
      </c>
      <c r="E98" s="24"/>
      <c r="F98" s="4"/>
      <c r="G98" s="27"/>
      <c r="H98" s="24"/>
      <c r="I98" s="4"/>
      <c r="J98" s="24"/>
      <c r="K98" s="20">
        <f t="shared" si="8"/>
        <v>5407</v>
      </c>
      <c r="L98" s="20">
        <f t="shared" si="9"/>
        <v>4814.71</v>
      </c>
      <c r="M98" s="13">
        <f t="shared" si="10"/>
        <v>10.954133530608473</v>
      </c>
      <c r="N98" s="4"/>
    </row>
    <row r="99" spans="1:14" x14ac:dyDescent="0.25">
      <c r="A99" s="23" t="s">
        <v>152</v>
      </c>
      <c r="B99" s="8">
        <f>429+1714+686</f>
        <v>2829</v>
      </c>
      <c r="C99" s="4" t="s">
        <v>238</v>
      </c>
      <c r="D99" s="24">
        <v>2717.82</v>
      </c>
      <c r="E99" s="24"/>
      <c r="F99" s="4"/>
      <c r="G99" s="27"/>
      <c r="H99" s="24"/>
      <c r="I99" s="4"/>
      <c r="J99" s="24"/>
      <c r="K99" s="20">
        <f t="shared" si="8"/>
        <v>2829</v>
      </c>
      <c r="L99" s="20">
        <f t="shared" si="9"/>
        <v>2717.82</v>
      </c>
      <c r="M99" s="13">
        <f t="shared" si="10"/>
        <v>3.9300106044538694</v>
      </c>
      <c r="N99" s="4"/>
    </row>
    <row r="100" spans="1:14" x14ac:dyDescent="0.25">
      <c r="A100" s="23" t="s">
        <v>153</v>
      </c>
      <c r="B100" s="8">
        <f>1063+4824+1701</f>
        <v>7588</v>
      </c>
      <c r="C100" s="4" t="s">
        <v>238</v>
      </c>
      <c r="D100" s="24">
        <v>7025.16</v>
      </c>
      <c r="E100" s="24"/>
      <c r="F100" s="4"/>
      <c r="G100" s="27"/>
      <c r="H100" s="24"/>
      <c r="I100" s="4"/>
      <c r="J100" s="24"/>
      <c r="K100" s="20">
        <f t="shared" si="8"/>
        <v>7588</v>
      </c>
      <c r="L100" s="20">
        <f t="shared" si="9"/>
        <v>7025.16</v>
      </c>
      <c r="M100" s="13">
        <f t="shared" si="10"/>
        <v>7.4175013178703182</v>
      </c>
      <c r="N100" s="4"/>
    </row>
    <row r="101" spans="1:14" x14ac:dyDescent="0.25">
      <c r="A101" s="23" t="s">
        <v>154</v>
      </c>
      <c r="B101" s="8">
        <f>686+1639+1366</f>
        <v>3691</v>
      </c>
      <c r="C101" s="4" t="s">
        <v>238</v>
      </c>
      <c r="D101" s="24">
        <v>3677.3</v>
      </c>
      <c r="E101" s="24"/>
      <c r="F101" s="4"/>
      <c r="G101" s="27"/>
      <c r="H101" s="24"/>
      <c r="I101" s="4"/>
      <c r="J101" s="24"/>
      <c r="K101" s="20">
        <f t="shared" si="8"/>
        <v>3691</v>
      </c>
      <c r="L101" s="20">
        <f t="shared" si="9"/>
        <v>3677.3</v>
      </c>
      <c r="M101" s="13">
        <f t="shared" si="10"/>
        <v>0.37117312381468537</v>
      </c>
      <c r="N101" s="4"/>
    </row>
    <row r="102" spans="1:14" x14ac:dyDescent="0.25">
      <c r="A102" s="23" t="s">
        <v>158</v>
      </c>
      <c r="B102" s="8">
        <f>514+1714</f>
        <v>2228</v>
      </c>
      <c r="C102" s="4" t="s">
        <v>238</v>
      </c>
      <c r="D102" s="24">
        <v>2058.9499999999998</v>
      </c>
      <c r="E102" s="24"/>
      <c r="F102" s="4"/>
      <c r="G102" s="27"/>
      <c r="H102" s="24"/>
      <c r="I102" s="4"/>
      <c r="J102" s="24"/>
      <c r="K102" s="20">
        <f t="shared" si="8"/>
        <v>2228</v>
      </c>
      <c r="L102" s="20">
        <f t="shared" si="9"/>
        <v>2058.9499999999998</v>
      </c>
      <c r="M102" s="13">
        <f t="shared" si="10"/>
        <v>7.5875224416517142</v>
      </c>
      <c r="N102" s="4"/>
    </row>
    <row r="103" spans="1:14" x14ac:dyDescent="0.25">
      <c r="A103" s="23" t="s">
        <v>159</v>
      </c>
      <c r="B103" s="8">
        <f>429+670+857+2057</f>
        <v>4013</v>
      </c>
      <c r="C103" s="4" t="s">
        <v>238</v>
      </c>
      <c r="D103" s="24">
        <v>3747.66</v>
      </c>
      <c r="E103" s="24"/>
      <c r="F103" s="4"/>
      <c r="G103" s="27"/>
      <c r="H103" s="24"/>
      <c r="I103" s="4"/>
      <c r="J103" s="24"/>
      <c r="K103" s="20">
        <f t="shared" si="8"/>
        <v>4013</v>
      </c>
      <c r="L103" s="20">
        <f t="shared" si="9"/>
        <v>3747.66</v>
      </c>
      <c r="M103" s="13">
        <f t="shared" si="10"/>
        <v>6.6120109643658083</v>
      </c>
      <c r="N103" s="4"/>
    </row>
    <row r="104" spans="1:14" x14ac:dyDescent="0.25">
      <c r="A104" s="23" t="s">
        <v>160</v>
      </c>
      <c r="B104" s="8">
        <f>1071+1371+5143</f>
        <v>7585</v>
      </c>
      <c r="C104" s="4" t="s">
        <v>238</v>
      </c>
      <c r="D104" s="24">
        <v>7288.7</v>
      </c>
      <c r="E104" s="24"/>
      <c r="F104" s="4"/>
      <c r="G104" s="27"/>
      <c r="H104" s="24"/>
      <c r="I104" s="4"/>
      <c r="J104" s="24"/>
      <c r="K104" s="20">
        <f t="shared" si="8"/>
        <v>7585</v>
      </c>
      <c r="L104" s="20">
        <f t="shared" si="9"/>
        <v>7288.7</v>
      </c>
      <c r="M104" s="13">
        <f t="shared" si="10"/>
        <v>3.9063941990771269</v>
      </c>
      <c r="N104" s="4"/>
    </row>
    <row r="105" spans="1:14" x14ac:dyDescent="0.25">
      <c r="A105" s="23" t="s">
        <v>161</v>
      </c>
      <c r="B105" s="8">
        <f t="shared" ref="B105:B110" si="11">571+1141</f>
        <v>1712</v>
      </c>
      <c r="C105" s="4" t="s">
        <v>238</v>
      </c>
      <c r="D105" s="24">
        <v>1585.74</v>
      </c>
      <c r="E105" s="24"/>
      <c r="F105" s="4"/>
      <c r="G105" s="27"/>
      <c r="H105" s="24"/>
      <c r="I105" s="4"/>
      <c r="J105" s="24"/>
      <c r="K105" s="20">
        <f t="shared" si="8"/>
        <v>1712</v>
      </c>
      <c r="L105" s="20">
        <f t="shared" si="9"/>
        <v>1585.74</v>
      </c>
      <c r="M105" s="13">
        <f t="shared" si="10"/>
        <v>7.375</v>
      </c>
      <c r="N105" s="4"/>
    </row>
    <row r="106" spans="1:14" x14ac:dyDescent="0.25">
      <c r="A106" s="23" t="s">
        <v>162</v>
      </c>
      <c r="B106" s="8">
        <f t="shared" si="11"/>
        <v>1712</v>
      </c>
      <c r="C106" s="4" t="s">
        <v>238</v>
      </c>
      <c r="D106" s="24">
        <v>1585.74</v>
      </c>
      <c r="E106" s="24"/>
      <c r="F106" s="4"/>
      <c r="G106" s="27"/>
      <c r="H106" s="24"/>
      <c r="I106" s="4"/>
      <c r="J106" s="24"/>
      <c r="K106" s="20">
        <f t="shared" si="8"/>
        <v>1712</v>
      </c>
      <c r="L106" s="20">
        <f t="shared" si="9"/>
        <v>1585.74</v>
      </c>
      <c r="M106" s="13">
        <f t="shared" si="10"/>
        <v>7.375</v>
      </c>
      <c r="N106" s="4"/>
    </row>
    <row r="107" spans="1:14" x14ac:dyDescent="0.25">
      <c r="A107" s="23" t="s">
        <v>163</v>
      </c>
      <c r="B107" s="8">
        <f t="shared" si="11"/>
        <v>1712</v>
      </c>
      <c r="C107" s="4" t="s">
        <v>238</v>
      </c>
      <c r="D107" s="24">
        <v>1585.74</v>
      </c>
      <c r="E107" s="24"/>
      <c r="F107" s="4"/>
      <c r="G107" s="27"/>
      <c r="H107" s="24"/>
      <c r="I107" s="4"/>
      <c r="J107" s="24"/>
      <c r="K107" s="20">
        <f t="shared" si="8"/>
        <v>1712</v>
      </c>
      <c r="L107" s="20">
        <f t="shared" si="9"/>
        <v>1585.74</v>
      </c>
      <c r="M107" s="13">
        <f t="shared" si="10"/>
        <v>7.375</v>
      </c>
      <c r="N107" s="4"/>
    </row>
    <row r="108" spans="1:14" x14ac:dyDescent="0.25">
      <c r="A108" s="23" t="s">
        <v>164</v>
      </c>
      <c r="B108" s="8">
        <f t="shared" si="11"/>
        <v>1712</v>
      </c>
      <c r="C108" s="4" t="s">
        <v>238</v>
      </c>
      <c r="D108" s="24">
        <v>1585.74</v>
      </c>
      <c r="E108" s="24"/>
      <c r="F108" s="4"/>
      <c r="G108" s="27"/>
      <c r="H108" s="24"/>
      <c r="I108" s="4"/>
      <c r="J108" s="24"/>
      <c r="K108" s="20">
        <f t="shared" si="8"/>
        <v>1712</v>
      </c>
      <c r="L108" s="20">
        <f t="shared" si="9"/>
        <v>1585.74</v>
      </c>
      <c r="M108" s="13">
        <f t="shared" si="10"/>
        <v>7.375</v>
      </c>
      <c r="N108" s="4"/>
    </row>
    <row r="109" spans="1:14" x14ac:dyDescent="0.25">
      <c r="A109" s="23" t="s">
        <v>172</v>
      </c>
      <c r="B109" s="8">
        <f t="shared" si="11"/>
        <v>1712</v>
      </c>
      <c r="C109" s="4" t="s">
        <v>238</v>
      </c>
      <c r="D109" s="24">
        <v>1585.74</v>
      </c>
      <c r="E109" s="24"/>
      <c r="F109" s="4"/>
      <c r="G109" s="27"/>
      <c r="H109" s="24"/>
      <c r="I109" s="4"/>
      <c r="J109" s="24"/>
      <c r="K109" s="20">
        <f t="shared" si="8"/>
        <v>1712</v>
      </c>
      <c r="L109" s="20">
        <f t="shared" si="9"/>
        <v>1585.74</v>
      </c>
      <c r="M109" s="13">
        <f t="shared" si="10"/>
        <v>7.375</v>
      </c>
      <c r="N109" s="4"/>
    </row>
    <row r="110" spans="1:14" x14ac:dyDescent="0.25">
      <c r="A110" s="23" t="s">
        <v>173</v>
      </c>
      <c r="B110" s="8">
        <f t="shared" si="11"/>
        <v>1712</v>
      </c>
      <c r="C110" s="4" t="s">
        <v>238</v>
      </c>
      <c r="D110" s="24">
        <v>1585.74</v>
      </c>
      <c r="E110" s="24"/>
      <c r="F110" s="4"/>
      <c r="G110" s="27"/>
      <c r="H110" s="24"/>
      <c r="I110" s="4"/>
      <c r="J110" s="24"/>
      <c r="K110" s="20">
        <f t="shared" si="8"/>
        <v>1712</v>
      </c>
      <c r="L110" s="20">
        <f t="shared" si="9"/>
        <v>1585.74</v>
      </c>
      <c r="M110" s="13">
        <f t="shared" si="10"/>
        <v>7.375</v>
      </c>
      <c r="N110" s="4"/>
    </row>
    <row r="111" spans="1:14" x14ac:dyDescent="0.25">
      <c r="A111" s="23" t="s">
        <v>174</v>
      </c>
      <c r="B111" s="8">
        <f>429+571+1141</f>
        <v>2141</v>
      </c>
      <c r="C111" s="4" t="s">
        <v>238</v>
      </c>
      <c r="D111" s="24">
        <v>1997.53</v>
      </c>
      <c r="E111" s="24"/>
      <c r="F111" s="4"/>
      <c r="G111" s="27"/>
      <c r="H111" s="24"/>
      <c r="I111" s="4"/>
      <c r="J111" s="24"/>
      <c r="K111" s="20">
        <f t="shared" si="8"/>
        <v>2141</v>
      </c>
      <c r="L111" s="20">
        <f t="shared" si="9"/>
        <v>1997.53</v>
      </c>
      <c r="M111" s="13">
        <f t="shared" si="10"/>
        <v>6.7010742643624468</v>
      </c>
      <c r="N111" s="4"/>
    </row>
    <row r="112" spans="1:14" x14ac:dyDescent="0.25">
      <c r="A112" s="23" t="s">
        <v>183</v>
      </c>
      <c r="B112" s="8">
        <f>1187+1229+5411+1732+2505+1336</f>
        <v>13400</v>
      </c>
      <c r="C112" s="4" t="s">
        <v>238</v>
      </c>
      <c r="D112" s="24">
        <v>12043.68</v>
      </c>
      <c r="E112" s="24">
        <f>1880+600</f>
        <v>2480</v>
      </c>
      <c r="F112" s="4" t="s">
        <v>146</v>
      </c>
      <c r="G112" s="27">
        <v>2630</v>
      </c>
      <c r="H112" s="24">
        <f>1900+1800+1800</f>
        <v>5500</v>
      </c>
      <c r="I112" s="4" t="s">
        <v>321</v>
      </c>
      <c r="J112" s="53">
        <f>1817.74+1318.66+1318.66</f>
        <v>4455.0600000000004</v>
      </c>
      <c r="K112" s="20">
        <f t="shared" si="8"/>
        <v>21380</v>
      </c>
      <c r="L112" s="20">
        <f t="shared" si="9"/>
        <v>19128.740000000002</v>
      </c>
      <c r="M112" s="13">
        <f t="shared" si="10"/>
        <v>10.529747427502329</v>
      </c>
      <c r="N112" s="4"/>
    </row>
    <row r="113" spans="1:14" x14ac:dyDescent="0.25">
      <c r="A113" s="23" t="s">
        <v>184</v>
      </c>
      <c r="B113" s="47"/>
      <c r="C113" s="4"/>
      <c r="D113" s="24"/>
      <c r="E113" s="24"/>
      <c r="F113" s="4"/>
      <c r="G113" s="27"/>
      <c r="H113" s="24"/>
      <c r="I113" s="4"/>
      <c r="J113" s="24"/>
      <c r="K113" s="20">
        <f>B119+E113+H113</f>
        <v>0</v>
      </c>
      <c r="L113" s="20">
        <f t="shared" si="9"/>
        <v>0</v>
      </c>
      <c r="M113" s="13" t="e">
        <f t="shared" si="10"/>
        <v>#DIV/0!</v>
      </c>
      <c r="N113" s="4"/>
    </row>
    <row r="114" spans="1:14" x14ac:dyDescent="0.25">
      <c r="A114" s="23" t="s">
        <v>185</v>
      </c>
      <c r="B114" s="8">
        <v>237</v>
      </c>
      <c r="C114" s="4" t="s">
        <v>238</v>
      </c>
      <c r="D114" s="24">
        <v>147</v>
      </c>
      <c r="E114" s="24">
        <f>475+475</f>
        <v>950</v>
      </c>
      <c r="F114" s="4" t="s">
        <v>146</v>
      </c>
      <c r="G114" s="27">
        <v>512</v>
      </c>
      <c r="H114" s="24"/>
      <c r="I114" s="4"/>
      <c r="J114" s="24"/>
      <c r="K114" s="20">
        <f t="shared" si="8"/>
        <v>1187</v>
      </c>
      <c r="L114" s="20">
        <f t="shared" si="9"/>
        <v>659</v>
      </c>
      <c r="M114" s="13">
        <f t="shared" si="10"/>
        <v>44.481887110362258</v>
      </c>
      <c r="N114" s="4"/>
    </row>
    <row r="115" spans="1:14" x14ac:dyDescent="0.25">
      <c r="A115" s="23" t="s">
        <v>288</v>
      </c>
      <c r="B115" s="8">
        <f>212+283+565+2544</f>
        <v>3604</v>
      </c>
      <c r="C115" s="4" t="s">
        <v>238</v>
      </c>
      <c r="D115" s="24">
        <v>2917.56</v>
      </c>
      <c r="E115" s="24"/>
      <c r="F115" s="4"/>
      <c r="G115" s="27"/>
      <c r="H115" s="24"/>
      <c r="I115" s="4"/>
      <c r="J115" s="24"/>
      <c r="K115" s="20">
        <f t="shared" si="8"/>
        <v>3604</v>
      </c>
      <c r="L115" s="20">
        <f t="shared" si="9"/>
        <v>2917.56</v>
      </c>
      <c r="M115" s="13">
        <f t="shared" si="10"/>
        <v>19.046614872364046</v>
      </c>
      <c r="N115" s="4"/>
    </row>
    <row r="116" spans="1:14" x14ac:dyDescent="0.25">
      <c r="A116" s="23" t="s">
        <v>289</v>
      </c>
      <c r="B116" s="8"/>
      <c r="C116" s="4"/>
      <c r="D116" s="24"/>
      <c r="E116" s="24"/>
      <c r="F116" s="4"/>
      <c r="G116" s="27"/>
      <c r="H116" s="24"/>
      <c r="I116" s="4"/>
      <c r="J116" s="24"/>
      <c r="K116" s="20">
        <f t="shared" si="8"/>
        <v>0</v>
      </c>
      <c r="L116" s="20">
        <f t="shared" si="9"/>
        <v>0</v>
      </c>
      <c r="M116" s="13" t="e">
        <f t="shared" si="10"/>
        <v>#DIV/0!</v>
      </c>
      <c r="N116" s="4"/>
    </row>
    <row r="117" spans="1:14" x14ac:dyDescent="0.25">
      <c r="A117" s="23" t="s">
        <v>290</v>
      </c>
      <c r="B117" s="8"/>
      <c r="C117" s="4"/>
      <c r="D117" s="24"/>
      <c r="E117" s="24"/>
      <c r="F117" s="4"/>
      <c r="G117" s="27"/>
      <c r="H117" s="24"/>
      <c r="I117" s="4"/>
      <c r="J117" s="24"/>
      <c r="K117" s="20">
        <f t="shared" si="8"/>
        <v>0</v>
      </c>
      <c r="L117" s="20">
        <f t="shared" si="9"/>
        <v>0</v>
      </c>
      <c r="M117" s="13" t="e">
        <f t="shared" si="10"/>
        <v>#DIV/0!</v>
      </c>
      <c r="N117" s="4"/>
    </row>
    <row r="118" spans="1:14" x14ac:dyDescent="0.25">
      <c r="A118" s="23" t="s">
        <v>291</v>
      </c>
      <c r="B118" s="8"/>
      <c r="C118" s="4"/>
      <c r="D118" s="24"/>
      <c r="E118" s="24"/>
      <c r="F118" s="4"/>
      <c r="G118" s="27"/>
      <c r="H118" s="24"/>
      <c r="I118" s="4"/>
      <c r="J118" s="24"/>
      <c r="K118" s="20">
        <f t="shared" si="8"/>
        <v>0</v>
      </c>
      <c r="L118" s="20">
        <f t="shared" si="9"/>
        <v>0</v>
      </c>
      <c r="M118" s="13" t="e">
        <f t="shared" si="10"/>
        <v>#DIV/0!</v>
      </c>
      <c r="N118" s="4"/>
    </row>
    <row r="119" spans="1:14" x14ac:dyDescent="0.25">
      <c r="A119" s="23" t="s">
        <v>292</v>
      </c>
      <c r="B119" s="47"/>
      <c r="C119" s="4"/>
      <c r="D119" s="24"/>
      <c r="E119" s="24"/>
      <c r="F119" s="4"/>
      <c r="G119" s="27"/>
      <c r="H119" s="24"/>
      <c r="I119" s="4"/>
      <c r="J119" s="24"/>
      <c r="K119" s="20">
        <f>B125+E119+H119</f>
        <v>0</v>
      </c>
      <c r="L119" s="20">
        <f t="shared" si="9"/>
        <v>0</v>
      </c>
      <c r="M119" s="13" t="e">
        <f t="shared" si="10"/>
        <v>#DIV/0!</v>
      </c>
      <c r="N119" s="4"/>
    </row>
    <row r="120" spans="1:14" x14ac:dyDescent="0.25">
      <c r="A120" s="23" t="s">
        <v>293</v>
      </c>
      <c r="B120" s="8">
        <v>450</v>
      </c>
      <c r="C120" s="4" t="s">
        <v>324</v>
      </c>
      <c r="D120" s="24">
        <v>285</v>
      </c>
      <c r="E120" s="24"/>
      <c r="F120" s="4"/>
      <c r="G120" s="27"/>
      <c r="H120" s="24"/>
      <c r="I120" s="4"/>
      <c r="J120" s="24"/>
      <c r="K120" s="20">
        <f t="shared" si="8"/>
        <v>450</v>
      </c>
      <c r="L120" s="20">
        <f t="shared" si="9"/>
        <v>285</v>
      </c>
      <c r="M120" s="13">
        <f t="shared" si="10"/>
        <v>36.666666666666664</v>
      </c>
      <c r="N120" s="4"/>
    </row>
    <row r="121" spans="1:14" x14ac:dyDescent="0.25">
      <c r="A121" s="23" t="s">
        <v>317</v>
      </c>
      <c r="B121" s="8">
        <v>450</v>
      </c>
      <c r="C121" s="4" t="s">
        <v>324</v>
      </c>
      <c r="D121" s="24">
        <v>285</v>
      </c>
      <c r="E121" s="24"/>
      <c r="F121" s="4"/>
      <c r="G121" s="27"/>
      <c r="H121" s="24"/>
      <c r="I121" s="4"/>
      <c r="J121" s="24"/>
      <c r="K121" s="20">
        <f t="shared" si="8"/>
        <v>450</v>
      </c>
      <c r="L121" s="20">
        <f t="shared" si="9"/>
        <v>285</v>
      </c>
      <c r="M121" s="13">
        <f t="shared" si="10"/>
        <v>36.666666666666664</v>
      </c>
      <c r="N121" s="4"/>
    </row>
    <row r="122" spans="1:14" x14ac:dyDescent="0.25">
      <c r="A122" s="23" t="s">
        <v>318</v>
      </c>
      <c r="B122" s="8">
        <v>914</v>
      </c>
      <c r="C122" s="4" t="s">
        <v>323</v>
      </c>
      <c r="D122" s="24">
        <v>605</v>
      </c>
      <c r="E122" s="24">
        <f>887</f>
        <v>887</v>
      </c>
      <c r="F122" s="4" t="s">
        <v>146</v>
      </c>
      <c r="G122" s="27">
        <v>815</v>
      </c>
      <c r="H122" s="24"/>
      <c r="I122" s="4"/>
      <c r="J122" s="24"/>
      <c r="K122" s="20">
        <f>B122+E122+H122</f>
        <v>1801</v>
      </c>
      <c r="L122" s="20">
        <f>D122+G122+J122</f>
        <v>1420</v>
      </c>
      <c r="M122" s="13">
        <f t="shared" ref="M122:M127" si="12">100-L122*100/K122</f>
        <v>21.154913936701831</v>
      </c>
      <c r="N122" s="4"/>
    </row>
    <row r="123" spans="1:14" x14ac:dyDescent="0.25">
      <c r="A123" s="23" t="s">
        <v>319</v>
      </c>
      <c r="B123" s="8"/>
      <c r="C123" s="4"/>
      <c r="D123" s="24"/>
      <c r="E123" s="24"/>
      <c r="F123" s="4"/>
      <c r="G123" s="27"/>
      <c r="H123" s="24"/>
      <c r="I123" s="4"/>
      <c r="J123" s="24"/>
      <c r="K123" s="20">
        <f>B123+E123+H123</f>
        <v>0</v>
      </c>
      <c r="L123" s="20">
        <f>D123+G123+J123</f>
        <v>0</v>
      </c>
      <c r="M123" s="13" t="e">
        <f t="shared" si="12"/>
        <v>#DIV/0!</v>
      </c>
      <c r="N123" s="4"/>
    </row>
    <row r="124" spans="1:14" x14ac:dyDescent="0.25">
      <c r="A124" s="23" t="s">
        <v>320</v>
      </c>
      <c r="B124" s="8"/>
      <c r="C124" s="4"/>
      <c r="D124" s="24"/>
      <c r="E124" s="24"/>
      <c r="F124" s="4"/>
      <c r="G124" s="27"/>
      <c r="H124" s="24"/>
      <c r="I124" s="4"/>
      <c r="J124" s="24"/>
      <c r="K124" s="20">
        <f>B124+E124+H124</f>
        <v>0</v>
      </c>
      <c r="L124" s="20">
        <f>D124+G124+J124</f>
        <v>0</v>
      </c>
      <c r="M124" s="13" t="e">
        <f t="shared" si="12"/>
        <v>#DIV/0!</v>
      </c>
      <c r="N124" s="4"/>
    </row>
    <row r="125" spans="1:14" x14ac:dyDescent="0.25">
      <c r="A125" s="23"/>
      <c r="B125" s="8"/>
      <c r="C125" s="4"/>
      <c r="D125" s="24"/>
      <c r="E125" s="24"/>
      <c r="F125" s="4"/>
      <c r="G125" s="27"/>
      <c r="H125" s="24"/>
      <c r="I125" s="4"/>
      <c r="J125" s="24"/>
      <c r="K125" s="20">
        <f>B125+E125+H125</f>
        <v>0</v>
      </c>
      <c r="L125" s="20">
        <f>D125+G125+J125</f>
        <v>0</v>
      </c>
      <c r="M125" s="13" t="e">
        <f t="shared" si="12"/>
        <v>#DIV/0!</v>
      </c>
      <c r="N125" s="4"/>
    </row>
    <row r="126" spans="1:14" x14ac:dyDescent="0.25">
      <c r="A126" s="23"/>
      <c r="B126" s="8"/>
      <c r="C126" s="4"/>
      <c r="D126" s="24"/>
      <c r="E126" s="24"/>
      <c r="F126" s="4"/>
      <c r="G126" s="27"/>
      <c r="H126" s="24"/>
      <c r="I126" s="4"/>
      <c r="J126" s="24"/>
      <c r="K126" s="20">
        <f>B126+E126+H126</f>
        <v>0</v>
      </c>
      <c r="L126" s="20">
        <f>D126+G126+J126</f>
        <v>0</v>
      </c>
      <c r="M126" s="13" t="e">
        <f t="shared" si="12"/>
        <v>#DIV/0!</v>
      </c>
      <c r="N126" s="4"/>
    </row>
    <row r="127" spans="1:14" x14ac:dyDescent="0.25">
      <c r="A127" s="23"/>
      <c r="B127" s="8"/>
      <c r="C127" s="4"/>
      <c r="D127" s="24"/>
      <c r="E127" s="24"/>
      <c r="F127" s="4"/>
      <c r="G127" s="15"/>
      <c r="H127" s="9"/>
      <c r="I127" s="4"/>
      <c r="J127" s="24"/>
      <c r="K127" s="39">
        <f>SUM(K2:K126)</f>
        <v>1548164.1</v>
      </c>
      <c r="L127" s="39">
        <f>SUM(L2:L126)</f>
        <v>1421067.9192000006</v>
      </c>
      <c r="M127" s="49">
        <f t="shared" si="12"/>
        <v>8.2094773286629987</v>
      </c>
      <c r="N127" s="50">
        <f>K127-L127</f>
        <v>127096.18079999951</v>
      </c>
    </row>
    <row r="131" spans="1:14" ht="30" x14ac:dyDescent="0.25">
      <c r="A131" s="2" t="s">
        <v>0</v>
      </c>
      <c r="B131" s="3" t="s">
        <v>2</v>
      </c>
      <c r="C131" s="3" t="s">
        <v>9</v>
      </c>
      <c r="D131" s="3" t="s">
        <v>3</v>
      </c>
      <c r="E131" s="3" t="s">
        <v>4</v>
      </c>
      <c r="F131" s="7" t="s">
        <v>9</v>
      </c>
      <c r="G131" s="3" t="s">
        <v>5</v>
      </c>
      <c r="H131" s="3" t="s">
        <v>252</v>
      </c>
      <c r="I131" s="7" t="s">
        <v>9</v>
      </c>
      <c r="J131" s="3" t="s">
        <v>253</v>
      </c>
      <c r="K131" s="5" t="s">
        <v>10</v>
      </c>
      <c r="L131" s="5" t="s">
        <v>11</v>
      </c>
      <c r="M131" s="12" t="s">
        <v>61</v>
      </c>
      <c r="N131" s="34"/>
    </row>
    <row r="132" spans="1:14" x14ac:dyDescent="0.25">
      <c r="A132" s="23"/>
      <c r="B132" s="26"/>
      <c r="C132" s="4"/>
      <c r="D132" s="24"/>
      <c r="E132" s="24"/>
      <c r="F132" s="4"/>
      <c r="G132" s="27"/>
      <c r="H132" s="24"/>
      <c r="I132" s="4"/>
      <c r="J132" s="24"/>
      <c r="K132" s="20"/>
      <c r="L132" s="20"/>
      <c r="M132" s="13"/>
      <c r="N132" s="4"/>
    </row>
    <row r="133" spans="1:14" x14ac:dyDescent="0.25">
      <c r="A133" s="23"/>
      <c r="B133" s="26"/>
      <c r="C133" s="4"/>
      <c r="D133" s="24"/>
      <c r="E133" s="24"/>
      <c r="F133" s="4"/>
      <c r="G133" s="27"/>
      <c r="H133" s="24"/>
      <c r="I133" s="4"/>
      <c r="J133" s="24"/>
      <c r="K133" s="20"/>
      <c r="L133" s="20"/>
      <c r="M133" s="14"/>
      <c r="N133" s="4"/>
    </row>
    <row r="134" spans="1:14" x14ac:dyDescent="0.25">
      <c r="A134" s="23"/>
      <c r="B134" s="26"/>
      <c r="C134" s="4"/>
      <c r="D134" s="24"/>
      <c r="E134" s="24"/>
      <c r="F134" s="4"/>
      <c r="G134" s="27"/>
      <c r="H134" s="24"/>
      <c r="I134" s="4"/>
      <c r="J134" s="24"/>
      <c r="K134" s="20"/>
      <c r="L134" s="20"/>
      <c r="M134" s="13"/>
      <c r="N134" s="4"/>
    </row>
    <row r="135" spans="1:14" x14ac:dyDescent="0.25">
      <c r="A135" s="23"/>
      <c r="B135" s="26"/>
      <c r="C135" s="4"/>
      <c r="D135" s="24"/>
      <c r="E135" s="24"/>
      <c r="F135" s="4"/>
      <c r="G135" s="27"/>
      <c r="H135" s="24"/>
      <c r="I135" s="4"/>
      <c r="J135" s="24"/>
      <c r="K135" s="20"/>
      <c r="L135" s="20"/>
      <c r="M135" s="13"/>
      <c r="N135" s="4"/>
    </row>
    <row r="136" spans="1:14" x14ac:dyDescent="0.25">
      <c r="A136" s="23"/>
      <c r="B136" s="26"/>
      <c r="C136" s="4"/>
      <c r="D136" s="24"/>
      <c r="E136" s="24"/>
      <c r="F136" s="4"/>
      <c r="G136" s="27"/>
      <c r="H136" s="24"/>
      <c r="I136" s="4"/>
      <c r="J136" s="24"/>
      <c r="K136" s="20"/>
      <c r="L136" s="20"/>
      <c r="M136" s="13"/>
      <c r="N136" s="4"/>
    </row>
    <row r="137" spans="1:14" x14ac:dyDescent="0.25">
      <c r="A137" s="23"/>
      <c r="B137" s="26"/>
      <c r="C137" s="4"/>
      <c r="D137" s="24"/>
      <c r="E137" s="24"/>
      <c r="F137" s="4"/>
      <c r="G137" s="27"/>
      <c r="H137" s="24"/>
      <c r="I137" s="4"/>
      <c r="J137" s="24"/>
      <c r="K137" s="20"/>
      <c r="L137" s="20"/>
      <c r="M137" s="14"/>
      <c r="N137" s="4"/>
    </row>
    <row r="138" spans="1:14" x14ac:dyDescent="0.25">
      <c r="A138" s="23"/>
      <c r="B138" s="26"/>
      <c r="C138" s="4"/>
      <c r="D138" s="24"/>
      <c r="E138" s="24"/>
      <c r="F138" s="4"/>
      <c r="G138" s="27"/>
      <c r="H138" s="24"/>
      <c r="I138" s="4"/>
      <c r="J138" s="24"/>
      <c r="K138" s="20"/>
      <c r="L138" s="20"/>
      <c r="M138" s="14"/>
      <c r="N138" s="4"/>
    </row>
    <row r="139" spans="1:14" x14ac:dyDescent="0.25">
      <c r="A139" s="23"/>
      <c r="B139" s="26"/>
      <c r="C139" s="4"/>
      <c r="D139" s="24"/>
      <c r="E139" s="24"/>
      <c r="F139" s="4"/>
      <c r="G139" s="27"/>
      <c r="H139" s="24"/>
      <c r="I139" s="4"/>
      <c r="J139" s="24"/>
      <c r="K139" s="20"/>
      <c r="L139" s="20"/>
      <c r="M139" s="14"/>
      <c r="N139" s="4"/>
    </row>
    <row r="140" spans="1:14" x14ac:dyDescent="0.25">
      <c r="A140" s="23"/>
      <c r="B140" s="26"/>
      <c r="C140" s="4"/>
      <c r="D140" s="24"/>
      <c r="E140" s="24"/>
      <c r="F140" s="4"/>
      <c r="G140" s="27"/>
      <c r="H140" s="24"/>
      <c r="I140" s="4"/>
      <c r="J140" s="24"/>
      <c r="K140" s="20"/>
      <c r="L140" s="20"/>
      <c r="M140" s="14"/>
      <c r="N140" s="4"/>
    </row>
    <row r="141" spans="1:14" x14ac:dyDescent="0.25">
      <c r="A141" s="23"/>
      <c r="B141" s="26"/>
      <c r="C141" s="4"/>
      <c r="D141" s="24"/>
      <c r="E141" s="24"/>
      <c r="F141" s="4"/>
      <c r="G141" s="27"/>
      <c r="H141" s="24"/>
      <c r="I141" s="4"/>
      <c r="J141" s="24"/>
      <c r="K141" s="20"/>
      <c r="L141" s="20"/>
      <c r="M141" s="13"/>
      <c r="N141" s="4"/>
    </row>
    <row r="142" spans="1:14" x14ac:dyDescent="0.25">
      <c r="K142" s="52">
        <f>SUM(K132:K141)</f>
        <v>0</v>
      </c>
      <c r="L142" s="52">
        <f>SUM(L132:L141)</f>
        <v>0</v>
      </c>
      <c r="M142" s="52"/>
    </row>
    <row r="144" spans="1:14" x14ac:dyDescent="0.25">
      <c r="J144" t="s">
        <v>277</v>
      </c>
      <c r="K144" s="52">
        <f>K142-L142</f>
        <v>0</v>
      </c>
    </row>
  </sheetData>
  <printOptions horizontalCentered="1" verticalCentered="1"/>
  <pageMargins left="0.25" right="0.25" top="0.75" bottom="0.75" header="0.3" footer="0.3"/>
  <pageSetup scale="40" fitToHeight="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62"/>
  <sheetViews>
    <sheetView workbookViewId="0">
      <pane ySplit="1" topLeftCell="A125" activePane="bottomLeft" state="frozen"/>
      <selection pane="bottomLeft" activeCell="O1" sqref="O1:P1048576"/>
    </sheetView>
  </sheetViews>
  <sheetFormatPr defaultRowHeight="15" x14ac:dyDescent="0.25"/>
  <cols>
    <col min="1" max="1" width="4" bestFit="1" customWidth="1"/>
    <col min="2" max="2" width="8.28515625" customWidth="1"/>
    <col min="3" max="3" width="19.140625" customWidth="1"/>
    <col min="4" max="4" width="9" bestFit="1" customWidth="1"/>
    <col min="5" max="5" width="6" bestFit="1" customWidth="1"/>
    <col min="6" max="6" width="18.140625" customWidth="1"/>
    <col min="7" max="7" width="6" bestFit="1" customWidth="1"/>
    <col min="8" max="8" width="6.85546875" bestFit="1" customWidth="1"/>
    <col min="9" max="9" width="18.140625" customWidth="1"/>
    <col min="10" max="10" width="6.85546875" bestFit="1" customWidth="1"/>
    <col min="11" max="11" width="9.140625" bestFit="1" customWidth="1"/>
    <col min="13" max="13" width="8.5703125" bestFit="1" customWidth="1"/>
    <col min="14" max="14" width="32.140625" bestFit="1" customWidth="1"/>
  </cols>
  <sheetData>
    <row r="1" spans="1:14" ht="30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252</v>
      </c>
      <c r="I1" s="7" t="s">
        <v>9</v>
      </c>
      <c r="J1" s="3" t="s">
        <v>253</v>
      </c>
      <c r="K1" s="5" t="s">
        <v>10</v>
      </c>
      <c r="L1" s="5" t="s">
        <v>11</v>
      </c>
      <c r="M1" s="12" t="s">
        <v>61</v>
      </c>
      <c r="N1" s="7" t="s">
        <v>1</v>
      </c>
    </row>
    <row r="2" spans="1:14" x14ac:dyDescent="0.25">
      <c r="A2" s="23" t="s">
        <v>19</v>
      </c>
      <c r="B2" s="26">
        <f>(3794+6754+8105+3036)</f>
        <v>21689</v>
      </c>
      <c r="C2" s="4" t="s">
        <v>238</v>
      </c>
      <c r="D2" s="24">
        <f>19089.6</f>
        <v>19089.599999999999</v>
      </c>
      <c r="E2" s="24"/>
      <c r="F2" s="4"/>
      <c r="G2" s="27"/>
      <c r="H2" s="24"/>
      <c r="I2" s="4"/>
      <c r="J2" s="24"/>
      <c r="K2" s="20">
        <f>B2+E2+H2</f>
        <v>21689</v>
      </c>
      <c r="L2" s="20">
        <f>D2+G2+J2</f>
        <v>19089.599999999999</v>
      </c>
      <c r="M2" s="13">
        <f t="shared" ref="M2:M19" si="0">100-L2*100/K2</f>
        <v>11.984877126654069</v>
      </c>
      <c r="N2" s="4"/>
    </row>
    <row r="3" spans="1:14" x14ac:dyDescent="0.25">
      <c r="A3" s="23" t="s">
        <v>20</v>
      </c>
      <c r="B3" s="26">
        <f>1200</f>
        <v>1200</v>
      </c>
      <c r="C3" s="4" t="s">
        <v>136</v>
      </c>
      <c r="D3" s="24">
        <v>663.5</v>
      </c>
      <c r="E3" s="24">
        <f>788+788</f>
        <v>1576</v>
      </c>
      <c r="F3" s="4" t="s">
        <v>146</v>
      </c>
      <c r="G3" s="27">
        <v>1506.36</v>
      </c>
      <c r="H3" s="24"/>
      <c r="I3" s="4"/>
      <c r="J3" s="24"/>
      <c r="K3" s="20">
        <f t="shared" ref="K3:K64" si="1">B3+E3+H3</f>
        <v>2776</v>
      </c>
      <c r="L3" s="20">
        <f t="shared" ref="L3:L64" si="2">D3+G3+J3</f>
        <v>2169.8599999999997</v>
      </c>
      <c r="M3" s="14">
        <f t="shared" si="0"/>
        <v>21.835014409221913</v>
      </c>
      <c r="N3" s="4"/>
    </row>
    <row r="4" spans="1:14" x14ac:dyDescent="0.25">
      <c r="A4" s="23" t="s">
        <v>21</v>
      </c>
      <c r="B4" s="47"/>
      <c r="C4" s="4"/>
      <c r="D4" s="24"/>
      <c r="E4" s="26"/>
      <c r="F4" s="4"/>
      <c r="G4" s="27"/>
      <c r="H4" s="24"/>
      <c r="I4" s="4"/>
      <c r="J4" s="24"/>
      <c r="K4" s="20">
        <f t="shared" si="1"/>
        <v>0</v>
      </c>
      <c r="L4" s="20">
        <f t="shared" si="2"/>
        <v>0</v>
      </c>
      <c r="M4" s="14" t="e">
        <f t="shared" si="0"/>
        <v>#DIV/0!</v>
      </c>
      <c r="N4" s="4"/>
    </row>
    <row r="5" spans="1:14" x14ac:dyDescent="0.25">
      <c r="A5" s="23" t="s">
        <v>22</v>
      </c>
      <c r="B5" s="26">
        <v>583</v>
      </c>
      <c r="C5" s="4" t="s">
        <v>136</v>
      </c>
      <c r="D5" s="24">
        <v>645</v>
      </c>
      <c r="E5" s="26"/>
      <c r="F5" s="4"/>
      <c r="G5" s="27"/>
      <c r="H5" s="24"/>
      <c r="I5" s="4"/>
      <c r="J5" s="24"/>
      <c r="K5" s="20">
        <f t="shared" si="1"/>
        <v>583</v>
      </c>
      <c r="L5" s="20">
        <f t="shared" si="2"/>
        <v>645</v>
      </c>
      <c r="M5" s="13">
        <f t="shared" si="0"/>
        <v>-10.63464837049743</v>
      </c>
      <c r="N5" s="4"/>
    </row>
    <row r="6" spans="1:14" x14ac:dyDescent="0.25">
      <c r="A6" s="23" t="s">
        <v>23</v>
      </c>
      <c r="B6" s="26">
        <v>932</v>
      </c>
      <c r="C6" s="4" t="s">
        <v>136</v>
      </c>
      <c r="D6" s="24">
        <v>905</v>
      </c>
      <c r="E6" s="24">
        <f>730+730</f>
        <v>1460</v>
      </c>
      <c r="F6" s="4" t="s">
        <v>146</v>
      </c>
      <c r="G6" s="27">
        <f>538+538</f>
        <v>1076</v>
      </c>
      <c r="H6" s="24"/>
      <c r="I6" s="4"/>
      <c r="J6" s="24"/>
      <c r="K6" s="20">
        <f t="shared" si="1"/>
        <v>2392</v>
      </c>
      <c r="L6" s="20">
        <f t="shared" si="2"/>
        <v>1981</v>
      </c>
      <c r="M6" s="14">
        <f t="shared" si="0"/>
        <v>17.182274247491634</v>
      </c>
      <c r="N6" s="4"/>
    </row>
    <row r="7" spans="1:14" ht="16.5" customHeight="1" x14ac:dyDescent="0.25">
      <c r="A7" s="23" t="s">
        <v>24</v>
      </c>
      <c r="B7" s="26">
        <v>777</v>
      </c>
      <c r="C7" s="4" t="s">
        <v>136</v>
      </c>
      <c r="D7" s="24">
        <v>753.74</v>
      </c>
      <c r="E7" s="24">
        <f>612+612</f>
        <v>1224</v>
      </c>
      <c r="F7" s="4" t="s">
        <v>146</v>
      </c>
      <c r="G7" s="27">
        <f>467+467</f>
        <v>934</v>
      </c>
      <c r="H7" s="24"/>
      <c r="I7" s="4"/>
      <c r="J7" s="24"/>
      <c r="K7" s="20">
        <f t="shared" si="1"/>
        <v>2001</v>
      </c>
      <c r="L7" s="20">
        <f t="shared" si="2"/>
        <v>1687.74</v>
      </c>
      <c r="M7" s="13">
        <f t="shared" si="0"/>
        <v>15.65517241379311</v>
      </c>
      <c r="N7" s="4"/>
    </row>
    <row r="8" spans="1:14" ht="17.25" customHeight="1" x14ac:dyDescent="0.25">
      <c r="A8" s="23" t="s">
        <v>25</v>
      </c>
      <c r="B8" s="26">
        <v>932</v>
      </c>
      <c r="C8" s="4" t="s">
        <v>136</v>
      </c>
      <c r="D8" s="24">
        <v>905</v>
      </c>
      <c r="E8" s="24">
        <f>730+730</f>
        <v>1460</v>
      </c>
      <c r="F8" s="4" t="s">
        <v>146</v>
      </c>
      <c r="G8" s="27">
        <f>538+538</f>
        <v>1076</v>
      </c>
      <c r="H8" s="24"/>
      <c r="I8" s="4"/>
      <c r="J8" s="24"/>
      <c r="K8" s="20">
        <f t="shared" si="1"/>
        <v>2392</v>
      </c>
      <c r="L8" s="20">
        <f t="shared" si="2"/>
        <v>1981</v>
      </c>
      <c r="M8" s="13">
        <f t="shared" si="0"/>
        <v>17.182274247491634</v>
      </c>
      <c r="N8" s="4"/>
    </row>
    <row r="9" spans="1:14" x14ac:dyDescent="0.25">
      <c r="A9" s="23" t="s">
        <v>26</v>
      </c>
      <c r="B9" s="26">
        <v>932</v>
      </c>
      <c r="C9" s="4" t="s">
        <v>136</v>
      </c>
      <c r="D9" s="24">
        <v>905</v>
      </c>
      <c r="E9" s="24">
        <f>730+730</f>
        <v>1460</v>
      </c>
      <c r="F9" s="4" t="s">
        <v>146</v>
      </c>
      <c r="G9" s="27">
        <f>538+538</f>
        <v>1076</v>
      </c>
      <c r="H9" s="24"/>
      <c r="I9" s="4"/>
      <c r="J9" s="24"/>
      <c r="K9" s="20">
        <f t="shared" si="1"/>
        <v>2392</v>
      </c>
      <c r="L9" s="20">
        <f t="shared" si="2"/>
        <v>1981</v>
      </c>
      <c r="M9" s="13">
        <f t="shared" si="0"/>
        <v>17.182274247491634</v>
      </c>
      <c r="N9" s="4"/>
    </row>
    <row r="10" spans="1:14" x14ac:dyDescent="0.25">
      <c r="A10" s="23" t="s">
        <v>27</v>
      </c>
      <c r="B10" s="26">
        <v>932</v>
      </c>
      <c r="C10" s="4" t="s">
        <v>136</v>
      </c>
      <c r="D10" s="24">
        <v>905</v>
      </c>
      <c r="E10" s="24">
        <f>730+730</f>
        <v>1460</v>
      </c>
      <c r="F10" s="4" t="s">
        <v>146</v>
      </c>
      <c r="G10" s="27">
        <f>538+538</f>
        <v>1076</v>
      </c>
      <c r="H10" s="24"/>
      <c r="I10" s="4"/>
      <c r="J10" s="24"/>
      <c r="K10" s="20">
        <f t="shared" si="1"/>
        <v>2392</v>
      </c>
      <c r="L10" s="20">
        <f t="shared" si="2"/>
        <v>1981</v>
      </c>
      <c r="M10" s="13">
        <f t="shared" si="0"/>
        <v>17.182274247491634</v>
      </c>
      <c r="N10" s="4"/>
    </row>
    <row r="11" spans="1:14" x14ac:dyDescent="0.25">
      <c r="A11" s="23" t="s">
        <v>28</v>
      </c>
      <c r="B11" s="26">
        <v>932</v>
      </c>
      <c r="C11" s="4" t="s">
        <v>136</v>
      </c>
      <c r="D11" s="24">
        <v>905</v>
      </c>
      <c r="E11" s="24">
        <f>730+730</f>
        <v>1460</v>
      </c>
      <c r="F11" s="4" t="s">
        <v>146</v>
      </c>
      <c r="G11" s="27">
        <f>538+538</f>
        <v>1076</v>
      </c>
      <c r="H11" s="24"/>
      <c r="I11" s="4"/>
      <c r="J11" s="24"/>
      <c r="K11" s="20">
        <f t="shared" si="1"/>
        <v>2392</v>
      </c>
      <c r="L11" s="20">
        <f t="shared" si="2"/>
        <v>1981</v>
      </c>
      <c r="M11" s="13">
        <f t="shared" si="0"/>
        <v>17.182274247491634</v>
      </c>
      <c r="N11" s="4"/>
    </row>
    <row r="12" spans="1:14" x14ac:dyDescent="0.25">
      <c r="A12" s="23" t="s">
        <v>29</v>
      </c>
      <c r="B12" s="26">
        <v>700</v>
      </c>
      <c r="C12" s="4" t="s">
        <v>136</v>
      </c>
      <c r="D12" s="24">
        <v>682.11</v>
      </c>
      <c r="E12" s="24">
        <f>477+477</f>
        <v>954</v>
      </c>
      <c r="F12" s="4" t="s">
        <v>146</v>
      </c>
      <c r="G12" s="27">
        <f>337+337</f>
        <v>674</v>
      </c>
      <c r="H12" s="24"/>
      <c r="I12" s="4"/>
      <c r="J12" s="24"/>
      <c r="K12" s="20">
        <f t="shared" si="1"/>
        <v>1654</v>
      </c>
      <c r="L12" s="20">
        <f t="shared" si="2"/>
        <v>1356.1100000000001</v>
      </c>
      <c r="M12" s="13">
        <f t="shared" si="0"/>
        <v>18.010278113663844</v>
      </c>
      <c r="N12" s="4"/>
    </row>
    <row r="13" spans="1:14" x14ac:dyDescent="0.25">
      <c r="A13" s="23" t="s">
        <v>30</v>
      </c>
      <c r="B13" s="26">
        <f>(1030+1373+2375+1484)</f>
        <v>6262</v>
      </c>
      <c r="C13" s="4" t="s">
        <v>238</v>
      </c>
      <c r="D13" s="24">
        <f>960.96+2216.48+1385.44+1283.4</f>
        <v>5846.2800000000007</v>
      </c>
      <c r="E13" s="24"/>
      <c r="F13" s="4"/>
      <c r="G13" s="27"/>
      <c r="H13" s="26"/>
      <c r="I13" s="4"/>
      <c r="J13" s="24"/>
      <c r="K13" s="20">
        <f>B13+E13+H13</f>
        <v>6262</v>
      </c>
      <c r="L13" s="20">
        <f>D13+G13+J13</f>
        <v>5846.2800000000007</v>
      </c>
      <c r="M13" s="14">
        <f t="shared" si="0"/>
        <v>6.638773554774815</v>
      </c>
      <c r="N13" s="4"/>
    </row>
    <row r="14" spans="1:14" x14ac:dyDescent="0.25">
      <c r="A14" s="23" t="s">
        <v>35</v>
      </c>
      <c r="B14" s="47"/>
      <c r="C14" s="4"/>
      <c r="D14" s="24"/>
      <c r="E14" s="24"/>
      <c r="F14" s="4"/>
      <c r="G14" s="27"/>
      <c r="H14" s="24"/>
      <c r="I14" s="4"/>
      <c r="J14" s="24"/>
      <c r="K14" s="20">
        <f t="shared" si="1"/>
        <v>0</v>
      </c>
      <c r="L14" s="20">
        <f t="shared" si="2"/>
        <v>0</v>
      </c>
      <c r="M14" s="13" t="e">
        <f t="shared" si="0"/>
        <v>#DIV/0!</v>
      </c>
      <c r="N14" s="4"/>
    </row>
    <row r="15" spans="1:14" x14ac:dyDescent="0.25">
      <c r="A15" s="23" t="s">
        <v>36</v>
      </c>
      <c r="B15" s="26">
        <v>9000</v>
      </c>
      <c r="C15" s="4" t="s">
        <v>325</v>
      </c>
      <c r="D15" s="24">
        <v>9270</v>
      </c>
      <c r="E15" s="24"/>
      <c r="F15" s="4"/>
      <c r="G15" s="27"/>
      <c r="H15" s="24"/>
      <c r="I15" s="4"/>
      <c r="J15" s="24"/>
      <c r="K15" s="20">
        <f t="shared" si="1"/>
        <v>9000</v>
      </c>
      <c r="L15" s="20">
        <f t="shared" si="2"/>
        <v>9270</v>
      </c>
      <c r="M15" s="13">
        <f t="shared" si="0"/>
        <v>-3</v>
      </c>
      <c r="N15" s="4" t="s">
        <v>327</v>
      </c>
    </row>
    <row r="16" spans="1:14" x14ac:dyDescent="0.25">
      <c r="A16" s="23" t="s">
        <v>37</v>
      </c>
      <c r="B16" s="26">
        <f>2263+4974+1990+1697</f>
        <v>10924</v>
      </c>
      <c r="C16" s="4" t="s">
        <v>238</v>
      </c>
      <c r="D16" s="26">
        <v>10351.01</v>
      </c>
      <c r="E16" s="24"/>
      <c r="F16" s="4"/>
      <c r="G16" s="27"/>
      <c r="H16" s="24">
        <v>4875</v>
      </c>
      <c r="I16" s="4" t="s">
        <v>326</v>
      </c>
      <c r="J16" s="24">
        <f>4529+87.6</f>
        <v>4616.6000000000004</v>
      </c>
      <c r="K16" s="20">
        <f t="shared" si="1"/>
        <v>15799</v>
      </c>
      <c r="L16" s="20">
        <f t="shared" si="2"/>
        <v>14967.61</v>
      </c>
      <c r="M16" s="14">
        <f t="shared" si="0"/>
        <v>5.2622950819672099</v>
      </c>
      <c r="N16" s="4"/>
    </row>
    <row r="17" spans="1:17" x14ac:dyDescent="0.25">
      <c r="A17" s="23" t="s">
        <v>38</v>
      </c>
      <c r="B17" s="26">
        <f>2263+4974+1990+1697</f>
        <v>10924</v>
      </c>
      <c r="C17" s="4" t="s">
        <v>238</v>
      </c>
      <c r="D17" s="24">
        <v>10351.01</v>
      </c>
      <c r="E17" s="24"/>
      <c r="F17" s="4"/>
      <c r="G17" s="27"/>
      <c r="H17" s="24">
        <v>4875</v>
      </c>
      <c r="I17" s="4" t="s">
        <v>326</v>
      </c>
      <c r="J17" s="24">
        <f>4529+87.6</f>
        <v>4616.6000000000004</v>
      </c>
      <c r="K17" s="20">
        <f t="shared" si="1"/>
        <v>15799</v>
      </c>
      <c r="L17" s="20">
        <f t="shared" si="2"/>
        <v>14967.61</v>
      </c>
      <c r="M17" s="13">
        <f t="shared" si="0"/>
        <v>5.2622950819672099</v>
      </c>
      <c r="N17" s="4"/>
    </row>
    <row r="18" spans="1:17" x14ac:dyDescent="0.25">
      <c r="A18" s="23" t="s">
        <v>39</v>
      </c>
      <c r="B18" s="26">
        <f>797+1062+3802+2664+598+797</f>
        <v>9720</v>
      </c>
      <c r="C18" s="4" t="s">
        <v>238</v>
      </c>
      <c r="D18" s="24">
        <v>9200.2800000000007</v>
      </c>
      <c r="E18" s="24"/>
      <c r="F18" s="4"/>
      <c r="G18" s="27"/>
      <c r="H18" s="24">
        <v>4280</v>
      </c>
      <c r="I18" s="4" t="s">
        <v>326</v>
      </c>
      <c r="J18" s="24">
        <f>3938+87.6</f>
        <v>4025.6</v>
      </c>
      <c r="K18" s="20">
        <f t="shared" si="1"/>
        <v>14000</v>
      </c>
      <c r="L18" s="20">
        <f t="shared" si="2"/>
        <v>13225.880000000001</v>
      </c>
      <c r="M18" s="14">
        <f t="shared" si="0"/>
        <v>5.5294285714285678</v>
      </c>
      <c r="N18" s="4"/>
      <c r="O18" s="55"/>
      <c r="P18" s="57"/>
      <c r="Q18" s="55"/>
    </row>
    <row r="19" spans="1:17" x14ac:dyDescent="0.25">
      <c r="A19" s="23" t="s">
        <v>40</v>
      </c>
      <c r="B19" s="26">
        <f>797+1062+3802+2664+598+797</f>
        <v>9720</v>
      </c>
      <c r="C19" s="4" t="s">
        <v>238</v>
      </c>
      <c r="D19" s="24">
        <v>9200.2800000000007</v>
      </c>
      <c r="E19" s="24"/>
      <c r="F19" s="4"/>
      <c r="G19" s="27"/>
      <c r="H19" s="24">
        <v>4280</v>
      </c>
      <c r="I19" s="4" t="s">
        <v>326</v>
      </c>
      <c r="J19" s="24">
        <f>3938+87.6</f>
        <v>4025.6</v>
      </c>
      <c r="K19" s="20">
        <f t="shared" si="1"/>
        <v>14000</v>
      </c>
      <c r="L19" s="20">
        <f t="shared" si="2"/>
        <v>13225.880000000001</v>
      </c>
      <c r="M19" s="13">
        <f t="shared" si="0"/>
        <v>5.5294285714285678</v>
      </c>
      <c r="N19" s="4"/>
      <c r="O19" s="55"/>
      <c r="P19" s="58"/>
      <c r="Q19" s="55"/>
    </row>
    <row r="20" spans="1:17" x14ac:dyDescent="0.25">
      <c r="A20" s="23" t="s">
        <v>60</v>
      </c>
      <c r="B20" s="26">
        <f>797+1062+3802+2664+598+797</f>
        <v>9720</v>
      </c>
      <c r="C20" s="4" t="s">
        <v>238</v>
      </c>
      <c r="D20" s="24">
        <v>9200.2800000000007</v>
      </c>
      <c r="E20" s="24"/>
      <c r="F20" s="4"/>
      <c r="G20" s="27"/>
      <c r="H20" s="24">
        <v>4280</v>
      </c>
      <c r="I20" s="4" t="s">
        <v>326</v>
      </c>
      <c r="J20" s="24">
        <f>3938+87.6</f>
        <v>4025.6</v>
      </c>
      <c r="K20" s="20">
        <f t="shared" si="1"/>
        <v>14000</v>
      </c>
      <c r="L20" s="20">
        <f t="shared" si="2"/>
        <v>13225.880000000001</v>
      </c>
      <c r="M20" s="13">
        <f>100-L20*100/K20</f>
        <v>5.5294285714285678</v>
      </c>
      <c r="N20" s="4"/>
      <c r="O20" s="55"/>
      <c r="P20" s="58"/>
      <c r="Q20" s="55"/>
    </row>
    <row r="21" spans="1:17" x14ac:dyDescent="0.25">
      <c r="A21" s="23" t="s">
        <v>41</v>
      </c>
      <c r="B21" s="26">
        <f>1328+4468+996</f>
        <v>6792</v>
      </c>
      <c r="C21" s="4" t="s">
        <v>238</v>
      </c>
      <c r="D21" s="24">
        <v>6296.68</v>
      </c>
      <c r="E21" s="24"/>
      <c r="F21" s="4"/>
      <c r="G21" s="27"/>
      <c r="H21" s="24">
        <v>4280</v>
      </c>
      <c r="I21" s="4" t="s">
        <v>326</v>
      </c>
      <c r="J21" s="24">
        <f>3938+87.6</f>
        <v>4025.6</v>
      </c>
      <c r="K21" s="20">
        <f t="shared" si="1"/>
        <v>11072</v>
      </c>
      <c r="L21" s="20">
        <f t="shared" si="2"/>
        <v>10322.280000000001</v>
      </c>
      <c r="M21" s="13">
        <f t="shared" ref="M21:M65" si="3">100-L21*100/K21</f>
        <v>6.771315028901725</v>
      </c>
      <c r="N21" s="4"/>
      <c r="O21" s="55"/>
      <c r="P21" s="58"/>
      <c r="Q21" s="55"/>
    </row>
    <row r="22" spans="1:17" x14ac:dyDescent="0.25">
      <c r="A22" s="23" t="s">
        <v>42</v>
      </c>
      <c r="B22" s="26">
        <f>1328+6375+996</f>
        <v>8699</v>
      </c>
      <c r="C22" s="4" t="s">
        <v>238</v>
      </c>
      <c r="D22" s="24">
        <v>8360.7999999999993</v>
      </c>
      <c r="E22" s="26"/>
      <c r="F22" s="4"/>
      <c r="G22" s="27"/>
      <c r="H22" s="24">
        <v>4280</v>
      </c>
      <c r="I22" s="4" t="s">
        <v>326</v>
      </c>
      <c r="J22" s="24">
        <f>3938+87.6</f>
        <v>4025.6</v>
      </c>
      <c r="K22" s="20">
        <f t="shared" si="1"/>
        <v>12979</v>
      </c>
      <c r="L22" s="20">
        <f t="shared" si="2"/>
        <v>12386.4</v>
      </c>
      <c r="M22" s="13">
        <f t="shared" si="3"/>
        <v>4.565837121503975</v>
      </c>
      <c r="N22" s="4"/>
      <c r="O22" s="55"/>
      <c r="P22" s="58"/>
      <c r="Q22" s="55"/>
    </row>
    <row r="23" spans="1:17" x14ac:dyDescent="0.25">
      <c r="A23" s="23" t="s">
        <v>43</v>
      </c>
      <c r="B23" s="26">
        <f>1132+1509+10798+2160+849+1132</f>
        <v>17580</v>
      </c>
      <c r="C23" s="4" t="s">
        <v>238</v>
      </c>
      <c r="D23" s="24">
        <v>16678.11</v>
      </c>
      <c r="E23" s="24"/>
      <c r="F23" s="4"/>
      <c r="G23" s="27"/>
      <c r="H23" s="24">
        <v>4875</v>
      </c>
      <c r="I23" s="4" t="s">
        <v>326</v>
      </c>
      <c r="J23" s="24">
        <f>4529+87.6</f>
        <v>4616.6000000000004</v>
      </c>
      <c r="K23" s="20">
        <f t="shared" si="1"/>
        <v>22455</v>
      </c>
      <c r="L23" s="20">
        <f t="shared" si="2"/>
        <v>21294.71</v>
      </c>
      <c r="M23" s="13">
        <f t="shared" si="3"/>
        <v>5.1671788020485394</v>
      </c>
      <c r="N23" s="4"/>
      <c r="O23" s="55"/>
      <c r="P23" s="58"/>
      <c r="Q23" s="55"/>
    </row>
    <row r="24" spans="1:17" x14ac:dyDescent="0.25">
      <c r="A24" s="23" t="s">
        <v>44</v>
      </c>
      <c r="B24" s="26">
        <f>1132+1509+10798+2160+849+1132</f>
        <v>17580</v>
      </c>
      <c r="C24" s="4" t="s">
        <v>238</v>
      </c>
      <c r="D24" s="24">
        <v>16678.11</v>
      </c>
      <c r="E24" s="24"/>
      <c r="F24" s="4"/>
      <c r="G24" s="27"/>
      <c r="H24" s="24">
        <v>4875</v>
      </c>
      <c r="I24" s="4" t="s">
        <v>326</v>
      </c>
      <c r="J24" s="24">
        <f>4529+87.6</f>
        <v>4616.6000000000004</v>
      </c>
      <c r="K24" s="20">
        <f t="shared" si="1"/>
        <v>22455</v>
      </c>
      <c r="L24" s="20">
        <f t="shared" si="2"/>
        <v>21294.71</v>
      </c>
      <c r="M24" s="13">
        <f t="shared" si="3"/>
        <v>5.1671788020485394</v>
      </c>
      <c r="N24" s="4"/>
      <c r="O24" s="55"/>
      <c r="P24" s="58"/>
      <c r="Q24" s="55"/>
    </row>
    <row r="25" spans="1:17" x14ac:dyDescent="0.25">
      <c r="A25" s="23" t="s">
        <v>45</v>
      </c>
      <c r="B25" s="26">
        <f>1328+4468+996</f>
        <v>6792</v>
      </c>
      <c r="C25" s="4" t="s">
        <v>238</v>
      </c>
      <c r="D25" s="24">
        <v>6296.68</v>
      </c>
      <c r="E25" s="24"/>
      <c r="F25" s="4"/>
      <c r="G25" s="27"/>
      <c r="H25" s="24">
        <v>4280</v>
      </c>
      <c r="I25" s="4" t="s">
        <v>326</v>
      </c>
      <c r="J25" s="24">
        <f>3938+87.6</f>
        <v>4025.6</v>
      </c>
      <c r="K25" s="20">
        <f t="shared" si="1"/>
        <v>11072</v>
      </c>
      <c r="L25" s="20">
        <f t="shared" si="2"/>
        <v>10322.280000000001</v>
      </c>
      <c r="M25" s="13">
        <f t="shared" si="3"/>
        <v>6.771315028901725</v>
      </c>
      <c r="N25" s="4"/>
      <c r="O25" s="55"/>
      <c r="P25" s="58"/>
      <c r="Q25" s="55"/>
    </row>
    <row r="26" spans="1:17" x14ac:dyDescent="0.25">
      <c r="A26" s="23" t="s">
        <v>46</v>
      </c>
      <c r="B26" s="26">
        <v>3548</v>
      </c>
      <c r="C26" s="4" t="s">
        <v>136</v>
      </c>
      <c r="D26" s="24">
        <v>3245.08</v>
      </c>
      <c r="E26" s="24">
        <v>6378</v>
      </c>
      <c r="F26" s="4" t="s">
        <v>146</v>
      </c>
      <c r="G26" s="27">
        <v>7227.92</v>
      </c>
      <c r="H26" s="24">
        <v>4280</v>
      </c>
      <c r="I26" s="4" t="s">
        <v>326</v>
      </c>
      <c r="J26" s="24">
        <f>3938+87.6</f>
        <v>4025.6</v>
      </c>
      <c r="K26" s="20">
        <f t="shared" si="1"/>
        <v>14206</v>
      </c>
      <c r="L26" s="20">
        <f t="shared" si="2"/>
        <v>14498.6</v>
      </c>
      <c r="M26" s="13">
        <f t="shared" si="3"/>
        <v>-2.0596930874278456</v>
      </c>
      <c r="N26" s="4"/>
      <c r="O26" s="55"/>
      <c r="P26" s="58"/>
      <c r="Q26" s="55"/>
    </row>
    <row r="27" spans="1:17" x14ac:dyDescent="0.25">
      <c r="A27" s="23" t="s">
        <v>47</v>
      </c>
      <c r="B27" s="26">
        <v>747</v>
      </c>
      <c r="C27" s="4" t="s">
        <v>238</v>
      </c>
      <c r="D27" s="24">
        <v>720.16</v>
      </c>
      <c r="E27" s="24"/>
      <c r="F27" s="4"/>
      <c r="G27" s="27"/>
      <c r="H27" s="24"/>
      <c r="I27" s="4"/>
      <c r="J27" s="24"/>
      <c r="K27" s="20">
        <f t="shared" si="1"/>
        <v>747</v>
      </c>
      <c r="L27" s="20">
        <f t="shared" si="2"/>
        <v>720.16</v>
      </c>
      <c r="M27" s="13">
        <f t="shared" si="3"/>
        <v>3.5930388219544795</v>
      </c>
      <c r="N27" s="4"/>
      <c r="O27" s="55"/>
      <c r="P27" s="58"/>
      <c r="Q27" s="55"/>
    </row>
    <row r="28" spans="1:17" x14ac:dyDescent="0.25">
      <c r="A28" s="23" t="s">
        <v>48</v>
      </c>
      <c r="B28" s="26">
        <f>2390+1332</f>
        <v>3722</v>
      </c>
      <c r="C28" s="4" t="s">
        <v>238</v>
      </c>
      <c r="D28" s="24">
        <v>3523.76</v>
      </c>
      <c r="E28" s="24"/>
      <c r="F28" s="4"/>
      <c r="G28" s="27"/>
      <c r="H28" s="24"/>
      <c r="I28" s="4"/>
      <c r="J28" s="24"/>
      <c r="K28" s="20">
        <f t="shared" si="1"/>
        <v>3722</v>
      </c>
      <c r="L28" s="20">
        <f t="shared" si="2"/>
        <v>3523.76</v>
      </c>
      <c r="M28" s="14">
        <f t="shared" si="3"/>
        <v>5.326168726491133</v>
      </c>
      <c r="N28" s="4"/>
    </row>
    <row r="29" spans="1:17" x14ac:dyDescent="0.25">
      <c r="A29" s="23" t="s">
        <v>49</v>
      </c>
      <c r="B29" s="26">
        <f>1594+478</f>
        <v>2072</v>
      </c>
      <c r="C29" s="4" t="s">
        <v>238</v>
      </c>
      <c r="D29" s="24">
        <v>1999.2</v>
      </c>
      <c r="E29" s="24"/>
      <c r="F29" s="4"/>
      <c r="G29" s="27"/>
      <c r="H29" s="24"/>
      <c r="I29" s="4"/>
      <c r="J29" s="24"/>
      <c r="K29" s="20">
        <f t="shared" si="1"/>
        <v>2072</v>
      </c>
      <c r="L29" s="20">
        <f t="shared" si="2"/>
        <v>1999.2</v>
      </c>
      <c r="M29" s="13">
        <f t="shared" si="3"/>
        <v>3.5135135135135158</v>
      </c>
      <c r="N29" s="4"/>
    </row>
    <row r="30" spans="1:17" x14ac:dyDescent="0.25">
      <c r="A30" s="23" t="s">
        <v>50</v>
      </c>
      <c r="B30" s="26">
        <f>2263+6790+3395+1697</f>
        <v>14145</v>
      </c>
      <c r="C30" s="4" t="s">
        <v>238</v>
      </c>
      <c r="D30" s="24">
        <v>13417.22</v>
      </c>
      <c r="E30" s="24"/>
      <c r="F30" s="4"/>
      <c r="G30" s="27"/>
      <c r="H30" s="24">
        <v>4875</v>
      </c>
      <c r="I30" s="4" t="s">
        <v>326</v>
      </c>
      <c r="J30" s="24">
        <f>4529+87.6</f>
        <v>4616.6000000000004</v>
      </c>
      <c r="K30" s="20">
        <f t="shared" si="1"/>
        <v>19020</v>
      </c>
      <c r="L30" s="20">
        <f t="shared" si="2"/>
        <v>18033.82</v>
      </c>
      <c r="M30" s="13">
        <f t="shared" si="3"/>
        <v>5.1849631966351239</v>
      </c>
      <c r="N30" s="4"/>
    </row>
    <row r="31" spans="1:17" x14ac:dyDescent="0.25">
      <c r="A31" s="23" t="s">
        <v>51</v>
      </c>
      <c r="B31" s="26">
        <v>646</v>
      </c>
      <c r="C31" s="4" t="s">
        <v>136</v>
      </c>
      <c r="D31" s="24">
        <v>465</v>
      </c>
      <c r="E31" s="24">
        <f>618+618</f>
        <v>1236</v>
      </c>
      <c r="F31" s="4" t="s">
        <v>146</v>
      </c>
      <c r="G31" s="27">
        <v>1090</v>
      </c>
      <c r="H31" s="24"/>
      <c r="I31" s="4"/>
      <c r="J31" s="24"/>
      <c r="K31" s="20">
        <f t="shared" si="1"/>
        <v>1882</v>
      </c>
      <c r="L31" s="20">
        <f t="shared" si="2"/>
        <v>1555</v>
      </c>
      <c r="M31" s="13">
        <f t="shared" si="3"/>
        <v>17.375132837407008</v>
      </c>
      <c r="N31" s="4"/>
    </row>
    <row r="32" spans="1:17" x14ac:dyDescent="0.25">
      <c r="A32" s="23" t="s">
        <v>52</v>
      </c>
      <c r="B32" s="26">
        <f>3920</f>
        <v>3920</v>
      </c>
      <c r="C32" s="4" t="s">
        <v>238</v>
      </c>
      <c r="D32" s="24">
        <v>567</v>
      </c>
      <c r="E32" s="24"/>
      <c r="F32" s="4"/>
      <c r="G32" s="24"/>
      <c r="H32" s="24"/>
      <c r="I32" s="4"/>
      <c r="J32" s="24"/>
      <c r="K32" s="20">
        <f t="shared" si="1"/>
        <v>3920</v>
      </c>
      <c r="L32" s="20">
        <f t="shared" si="2"/>
        <v>567</v>
      </c>
      <c r="M32" s="13">
        <f t="shared" si="3"/>
        <v>85.535714285714292</v>
      </c>
      <c r="N32" s="4"/>
    </row>
    <row r="33" spans="1:14" x14ac:dyDescent="0.25">
      <c r="A33" s="23" t="s">
        <v>53</v>
      </c>
      <c r="B33" s="26">
        <f>7111+3161</f>
        <v>10272</v>
      </c>
      <c r="C33" s="4" t="s">
        <v>136</v>
      </c>
      <c r="D33" s="24">
        <v>8766.8799999999992</v>
      </c>
      <c r="E33" s="24">
        <f>9323+9323</f>
        <v>18646</v>
      </c>
      <c r="F33" s="4" t="s">
        <v>146</v>
      </c>
      <c r="G33" s="27">
        <f>9956.18*2</f>
        <v>19912.36</v>
      </c>
      <c r="H33" s="24"/>
      <c r="I33" s="4"/>
      <c r="J33" s="24"/>
      <c r="K33" s="20">
        <f t="shared" si="1"/>
        <v>28918</v>
      </c>
      <c r="L33" s="20">
        <f t="shared" si="2"/>
        <v>28679.239999999998</v>
      </c>
      <c r="M33" s="13">
        <f t="shared" si="3"/>
        <v>0.82564492703507142</v>
      </c>
      <c r="N33" s="4"/>
    </row>
    <row r="34" spans="1:14" x14ac:dyDescent="0.25">
      <c r="A34" s="23" t="s">
        <v>54</v>
      </c>
      <c r="B34" s="26">
        <f>7111+3161</f>
        <v>10272</v>
      </c>
      <c r="C34" s="4" t="s">
        <v>136</v>
      </c>
      <c r="D34" s="24">
        <v>8766.8799999999992</v>
      </c>
      <c r="E34" s="24">
        <f>9323+9323</f>
        <v>18646</v>
      </c>
      <c r="F34" s="4" t="s">
        <v>146</v>
      </c>
      <c r="G34" s="27">
        <f>9956.18*2</f>
        <v>19912.36</v>
      </c>
      <c r="H34" s="24"/>
      <c r="I34" s="4"/>
      <c r="J34" s="24"/>
      <c r="K34" s="20">
        <f t="shared" si="1"/>
        <v>28918</v>
      </c>
      <c r="L34" s="20">
        <f t="shared" si="2"/>
        <v>28679.239999999998</v>
      </c>
      <c r="M34" s="13">
        <f t="shared" si="3"/>
        <v>0.82564492703507142</v>
      </c>
      <c r="N34" s="4"/>
    </row>
    <row r="35" spans="1:14" x14ac:dyDescent="0.25">
      <c r="A35" s="23" t="s">
        <v>55</v>
      </c>
      <c r="B35" s="26">
        <f>535</f>
        <v>535</v>
      </c>
      <c r="C35" s="4" t="s">
        <v>136</v>
      </c>
      <c r="D35" s="24">
        <v>400</v>
      </c>
      <c r="E35" s="24">
        <f>615+615</f>
        <v>1230</v>
      </c>
      <c r="F35" s="4" t="s">
        <v>146</v>
      </c>
      <c r="G35" s="27">
        <f>385+385</f>
        <v>770</v>
      </c>
      <c r="H35" s="24"/>
      <c r="I35" s="4"/>
      <c r="J35" s="24"/>
      <c r="K35" s="20">
        <f t="shared" si="1"/>
        <v>1765</v>
      </c>
      <c r="L35" s="20">
        <f t="shared" si="2"/>
        <v>1170</v>
      </c>
      <c r="M35" s="13">
        <f t="shared" si="3"/>
        <v>33.711048158640224</v>
      </c>
      <c r="N35" s="4"/>
    </row>
    <row r="36" spans="1:14" x14ac:dyDescent="0.25">
      <c r="A36" s="23" t="s">
        <v>56</v>
      </c>
      <c r="B36" s="26">
        <f>1316+33</f>
        <v>1349</v>
      </c>
      <c r="C36" s="4" t="s">
        <v>136</v>
      </c>
      <c r="D36" s="24">
        <v>1346.63</v>
      </c>
      <c r="E36" s="24">
        <f>969+969</f>
        <v>1938</v>
      </c>
      <c r="F36" s="4" t="s">
        <v>146</v>
      </c>
      <c r="G36" s="27">
        <f>634+634</f>
        <v>1268</v>
      </c>
      <c r="H36" s="24"/>
      <c r="I36" s="4"/>
      <c r="J36" s="24"/>
      <c r="K36" s="20">
        <f t="shared" si="1"/>
        <v>3287</v>
      </c>
      <c r="L36" s="20">
        <f t="shared" si="2"/>
        <v>2614.63</v>
      </c>
      <c r="M36" s="13">
        <f t="shared" si="3"/>
        <v>20.455430483723759</v>
      </c>
      <c r="N36" s="42"/>
    </row>
    <row r="37" spans="1:14" x14ac:dyDescent="0.25">
      <c r="A37" s="23" t="s">
        <v>57</v>
      </c>
      <c r="B37" s="47"/>
      <c r="C37" s="4"/>
      <c r="D37" s="24"/>
      <c r="E37" s="24"/>
      <c r="F37" s="4"/>
      <c r="G37" s="27"/>
      <c r="H37" s="24"/>
      <c r="I37" s="4"/>
      <c r="J37" s="24"/>
      <c r="K37" s="20">
        <f t="shared" si="1"/>
        <v>0</v>
      </c>
      <c r="L37" s="20">
        <f t="shared" si="2"/>
        <v>0</v>
      </c>
      <c r="M37" s="14" t="e">
        <f t="shared" si="3"/>
        <v>#DIV/0!</v>
      </c>
      <c r="N37" s="4"/>
    </row>
    <row r="38" spans="1:14" x14ac:dyDescent="0.25">
      <c r="A38" s="23" t="s">
        <v>58</v>
      </c>
      <c r="B38" s="26">
        <f>9516+9516+32017+11770</f>
        <v>62819</v>
      </c>
      <c r="C38" s="4" t="s">
        <v>238</v>
      </c>
      <c r="D38" s="24">
        <v>56434.07</v>
      </c>
      <c r="E38" s="4"/>
      <c r="F38" s="16"/>
      <c r="G38" s="27"/>
      <c r="H38" s="24"/>
      <c r="I38" s="4"/>
      <c r="J38" s="24"/>
      <c r="K38" s="20">
        <f t="shared" si="1"/>
        <v>62819</v>
      </c>
      <c r="L38" s="20">
        <f t="shared" si="2"/>
        <v>56434.07</v>
      </c>
      <c r="M38" s="13">
        <f t="shared" si="3"/>
        <v>10.16401088842548</v>
      </c>
      <c r="N38" s="4"/>
    </row>
    <row r="39" spans="1:14" x14ac:dyDescent="0.25">
      <c r="A39" s="23" t="s">
        <v>59</v>
      </c>
      <c r="B39" s="26">
        <f>562+750+750+1000+4125+1719</f>
        <v>8906</v>
      </c>
      <c r="C39" s="4" t="s">
        <v>238</v>
      </c>
      <c r="D39" s="24">
        <f>576.8+768.32+1746.08+4189.92+750.4+1000.16</f>
        <v>9031.68</v>
      </c>
      <c r="E39" s="24"/>
      <c r="F39" s="4"/>
      <c r="G39" s="27"/>
      <c r="H39" s="24"/>
      <c r="I39" s="4"/>
      <c r="J39" s="24"/>
      <c r="K39" s="20">
        <f t="shared" si="1"/>
        <v>8906</v>
      </c>
      <c r="L39" s="20">
        <f t="shared" si="2"/>
        <v>9031.68</v>
      </c>
      <c r="M39" s="13">
        <f t="shared" si="3"/>
        <v>-1.4111834718167557</v>
      </c>
      <c r="N39" s="4"/>
    </row>
    <row r="40" spans="1:14" x14ac:dyDescent="0.25">
      <c r="A40" s="23" t="s">
        <v>64</v>
      </c>
      <c r="B40" s="26">
        <v>628</v>
      </c>
      <c r="C40" s="4" t="s">
        <v>136</v>
      </c>
      <c r="D40" s="24">
        <v>496.16</v>
      </c>
      <c r="E40" s="24">
        <f>800+800</f>
        <v>1600</v>
      </c>
      <c r="F40" s="4" t="s">
        <v>146</v>
      </c>
      <c r="G40" s="27">
        <f>507+507</f>
        <v>1014</v>
      </c>
      <c r="H40" s="24"/>
      <c r="I40" s="4"/>
      <c r="J40" s="24"/>
      <c r="K40" s="20">
        <f t="shared" si="1"/>
        <v>2228</v>
      </c>
      <c r="L40" s="20">
        <f t="shared" si="2"/>
        <v>1510.16</v>
      </c>
      <c r="M40" s="13">
        <f t="shared" si="3"/>
        <v>32.219030520646314</v>
      </c>
      <c r="N40" s="4"/>
    </row>
    <row r="41" spans="1:14" x14ac:dyDescent="0.25">
      <c r="A41" s="23" t="s">
        <v>65</v>
      </c>
      <c r="B41" s="47"/>
      <c r="C41" s="4"/>
      <c r="D41" s="24"/>
      <c r="E41" s="24"/>
      <c r="F41" s="4"/>
      <c r="G41" s="24"/>
      <c r="H41" s="24"/>
      <c r="I41" s="4"/>
      <c r="J41" s="24"/>
      <c r="K41" s="20">
        <f t="shared" si="1"/>
        <v>0</v>
      </c>
      <c r="L41" s="20">
        <f t="shared" si="2"/>
        <v>0</v>
      </c>
      <c r="M41" s="13" t="e">
        <f t="shared" si="3"/>
        <v>#DIV/0!</v>
      </c>
      <c r="N41" s="4"/>
    </row>
    <row r="42" spans="1:14" x14ac:dyDescent="0.25">
      <c r="A42" s="23" t="s">
        <v>70</v>
      </c>
      <c r="B42" s="26">
        <f>61900+37910</f>
        <v>99810</v>
      </c>
      <c r="C42" s="4" t="s">
        <v>136</v>
      </c>
      <c r="D42" s="24">
        <f>51659.25+32287.03</f>
        <v>83946.28</v>
      </c>
      <c r="E42" s="24">
        <v>65572</v>
      </c>
      <c r="F42" s="4" t="s">
        <v>146</v>
      </c>
      <c r="G42" s="27">
        <f>27394.51*2</f>
        <v>54789.02</v>
      </c>
      <c r="H42" s="24"/>
      <c r="I42" s="4"/>
      <c r="J42" s="24"/>
      <c r="K42" s="20">
        <f t="shared" si="1"/>
        <v>165382</v>
      </c>
      <c r="L42" s="20">
        <f t="shared" si="2"/>
        <v>138735.29999999999</v>
      </c>
      <c r="M42" s="13">
        <f t="shared" si="3"/>
        <v>16.112212937320876</v>
      </c>
      <c r="N42" s="4"/>
    </row>
    <row r="43" spans="1:14" x14ac:dyDescent="0.25">
      <c r="A43" s="23" t="s">
        <v>71</v>
      </c>
      <c r="B43" s="26">
        <f>1046+785+1207+2011+670+419</f>
        <v>6138</v>
      </c>
      <c r="C43" s="4" t="s">
        <v>238</v>
      </c>
      <c r="D43" s="24">
        <f>1802.08+1150+2715</f>
        <v>5667.08</v>
      </c>
      <c r="E43" s="24"/>
      <c r="F43" s="4"/>
      <c r="G43" s="24"/>
      <c r="H43" s="24"/>
      <c r="I43" s="4"/>
      <c r="J43" s="24"/>
      <c r="K43" s="20">
        <f t="shared" si="1"/>
        <v>6138</v>
      </c>
      <c r="L43" s="20">
        <f t="shared" si="2"/>
        <v>5667.08</v>
      </c>
      <c r="M43" s="13">
        <f t="shared" si="3"/>
        <v>7.6722059302704508</v>
      </c>
      <c r="N43" s="4"/>
    </row>
    <row r="44" spans="1:14" x14ac:dyDescent="0.25">
      <c r="A44" s="23" t="s">
        <v>73</v>
      </c>
      <c r="B44" s="47"/>
      <c r="C44" s="4"/>
      <c r="D44" s="24"/>
      <c r="E44" s="24"/>
      <c r="F44" s="4"/>
      <c r="G44" s="27"/>
      <c r="H44" s="24"/>
      <c r="I44" s="4"/>
      <c r="J44" s="24"/>
      <c r="K44" s="20">
        <f t="shared" si="1"/>
        <v>0</v>
      </c>
      <c r="L44" s="20">
        <f t="shared" si="2"/>
        <v>0</v>
      </c>
      <c r="M44" s="13" t="e">
        <f t="shared" si="3"/>
        <v>#DIV/0!</v>
      </c>
      <c r="N44" s="4"/>
    </row>
    <row r="45" spans="1:14" x14ac:dyDescent="0.25">
      <c r="A45" s="23" t="s">
        <v>74</v>
      </c>
      <c r="B45" s="26">
        <v>1723</v>
      </c>
      <c r="C45" s="4" t="s">
        <v>332</v>
      </c>
      <c r="D45" s="24">
        <v>1715</v>
      </c>
      <c r="E45" s="26"/>
      <c r="F45" s="4"/>
      <c r="G45" s="27"/>
      <c r="H45" s="26"/>
      <c r="I45" s="4"/>
      <c r="J45" s="24"/>
      <c r="K45" s="20">
        <f t="shared" si="1"/>
        <v>1723</v>
      </c>
      <c r="L45" s="20">
        <f t="shared" si="2"/>
        <v>1715</v>
      </c>
      <c r="M45" s="14">
        <f t="shared" si="3"/>
        <v>0.46430644225188189</v>
      </c>
      <c r="N45" s="4"/>
    </row>
    <row r="46" spans="1:14" x14ac:dyDescent="0.25">
      <c r="A46" s="23" t="s">
        <v>75</v>
      </c>
      <c r="B46" s="47"/>
      <c r="C46" s="4"/>
      <c r="D46" s="24"/>
      <c r="E46" s="24"/>
      <c r="F46" s="4"/>
      <c r="G46" s="27"/>
      <c r="H46" s="24"/>
      <c r="I46" s="28"/>
      <c r="J46" s="24"/>
      <c r="K46" s="20">
        <f t="shared" si="1"/>
        <v>0</v>
      </c>
      <c r="L46" s="20">
        <f t="shared" si="2"/>
        <v>0</v>
      </c>
      <c r="M46" s="13" t="e">
        <f t="shared" si="3"/>
        <v>#DIV/0!</v>
      </c>
      <c r="N46" s="4"/>
    </row>
    <row r="47" spans="1:14" x14ac:dyDescent="0.25">
      <c r="A47" s="23" t="s">
        <v>76</v>
      </c>
      <c r="B47" s="26">
        <f>13135+8075+3300+1165+390+875</f>
        <v>26940</v>
      </c>
      <c r="C47" s="4" t="s">
        <v>328</v>
      </c>
      <c r="D47" s="24">
        <v>22004.17</v>
      </c>
      <c r="E47" s="24">
        <v>10820</v>
      </c>
      <c r="F47" s="4" t="s">
        <v>212</v>
      </c>
      <c r="G47" s="27">
        <v>10724.5</v>
      </c>
      <c r="H47" s="24"/>
      <c r="I47" s="4"/>
      <c r="J47" s="24"/>
      <c r="K47" s="20">
        <f t="shared" si="1"/>
        <v>37760</v>
      </c>
      <c r="L47" s="20">
        <f t="shared" si="2"/>
        <v>32728.67</v>
      </c>
      <c r="M47" s="13">
        <f t="shared" si="3"/>
        <v>13.324496822033893</v>
      </c>
      <c r="N47" s="4"/>
    </row>
    <row r="48" spans="1:14" x14ac:dyDescent="0.25">
      <c r="A48" s="23" t="s">
        <v>77</v>
      </c>
      <c r="B48" s="26">
        <f>3011+1505+295</f>
        <v>4811</v>
      </c>
      <c r="C48" s="4" t="s">
        <v>136</v>
      </c>
      <c r="D48" s="24">
        <v>3866.3</v>
      </c>
      <c r="E48" s="24">
        <f>1648+1648+1618+3000</f>
        <v>7914</v>
      </c>
      <c r="F48" s="4" t="s">
        <v>338</v>
      </c>
      <c r="G48" s="27">
        <f>1406+1406+1759+3375</f>
        <v>7946</v>
      </c>
      <c r="H48" s="24">
        <v>3600</v>
      </c>
      <c r="I48" s="4" t="s">
        <v>236</v>
      </c>
      <c r="J48" s="24">
        <v>3475</v>
      </c>
      <c r="K48" s="20">
        <f t="shared" si="1"/>
        <v>16325</v>
      </c>
      <c r="L48" s="20">
        <f t="shared" si="2"/>
        <v>15287.3</v>
      </c>
      <c r="M48" s="13">
        <f t="shared" si="3"/>
        <v>6.3565084226646178</v>
      </c>
      <c r="N48" s="4"/>
    </row>
    <row r="49" spans="1:14" x14ac:dyDescent="0.25">
      <c r="A49" s="23" t="s">
        <v>78</v>
      </c>
      <c r="B49" s="26">
        <f>3011+1505+295</f>
        <v>4811</v>
      </c>
      <c r="C49" s="4" t="s">
        <v>136</v>
      </c>
      <c r="D49" s="24">
        <v>3866.3</v>
      </c>
      <c r="E49" s="24">
        <f>1648+1648+1618+3000</f>
        <v>7914</v>
      </c>
      <c r="F49" s="4" t="s">
        <v>338</v>
      </c>
      <c r="G49" s="27">
        <f>1406+1406+1759+3375</f>
        <v>7946</v>
      </c>
      <c r="H49" s="24">
        <v>3600</v>
      </c>
      <c r="I49" s="4" t="s">
        <v>236</v>
      </c>
      <c r="J49" s="24">
        <v>3475</v>
      </c>
      <c r="K49" s="20">
        <f t="shared" si="1"/>
        <v>16325</v>
      </c>
      <c r="L49" s="20">
        <f t="shared" si="2"/>
        <v>15287.3</v>
      </c>
      <c r="M49" s="13">
        <f t="shared" si="3"/>
        <v>6.3565084226646178</v>
      </c>
      <c r="N49" s="4"/>
    </row>
    <row r="50" spans="1:14" x14ac:dyDescent="0.25">
      <c r="A50" s="23" t="s">
        <v>225</v>
      </c>
      <c r="B50" s="26">
        <f>941+2352</f>
        <v>3293</v>
      </c>
      <c r="C50" s="4" t="s">
        <v>330</v>
      </c>
      <c r="D50" s="24">
        <f>738.225+617.4</f>
        <v>1355.625</v>
      </c>
      <c r="E50" s="24">
        <f>1267+455</f>
        <v>1722</v>
      </c>
      <c r="F50" s="4" t="s">
        <v>334</v>
      </c>
      <c r="G50" s="27">
        <f>874+217.42</f>
        <v>1091.42</v>
      </c>
      <c r="H50" s="24">
        <v>1230</v>
      </c>
      <c r="I50" s="4" t="s">
        <v>236</v>
      </c>
      <c r="J50" s="24">
        <v>1180</v>
      </c>
      <c r="K50" s="20">
        <f t="shared" si="1"/>
        <v>6245</v>
      </c>
      <c r="L50" s="20">
        <f t="shared" si="2"/>
        <v>3627.0450000000001</v>
      </c>
      <c r="M50" s="13">
        <f t="shared" si="3"/>
        <v>41.92081665332266</v>
      </c>
      <c r="N50" s="4"/>
    </row>
    <row r="51" spans="1:14" x14ac:dyDescent="0.25">
      <c r="A51" s="23" t="s">
        <v>226</v>
      </c>
      <c r="B51" s="26">
        <f>941+2352</f>
        <v>3293</v>
      </c>
      <c r="C51" s="4" t="s">
        <v>330</v>
      </c>
      <c r="D51" s="24">
        <f>738.225+617.4</f>
        <v>1355.625</v>
      </c>
      <c r="E51" s="24">
        <f>1267+455</f>
        <v>1722</v>
      </c>
      <c r="F51" s="4" t="s">
        <v>334</v>
      </c>
      <c r="G51" s="27">
        <f>874+217.42</f>
        <v>1091.42</v>
      </c>
      <c r="H51" s="24">
        <v>1230</v>
      </c>
      <c r="I51" s="4" t="s">
        <v>236</v>
      </c>
      <c r="J51" s="24">
        <v>1180</v>
      </c>
      <c r="K51" s="20">
        <f t="shared" si="1"/>
        <v>6245</v>
      </c>
      <c r="L51" s="20">
        <f t="shared" si="2"/>
        <v>3627.0450000000001</v>
      </c>
      <c r="M51" s="13">
        <f t="shared" si="3"/>
        <v>41.92081665332266</v>
      </c>
      <c r="N51" s="4"/>
    </row>
    <row r="52" spans="1:14" x14ac:dyDescent="0.25">
      <c r="A52" s="23" t="s">
        <v>227</v>
      </c>
      <c r="B52" s="26">
        <f>941+1882</f>
        <v>2823</v>
      </c>
      <c r="C52" s="4" t="s">
        <v>330</v>
      </c>
      <c r="D52" s="24">
        <f>738.225</f>
        <v>738.22500000000002</v>
      </c>
      <c r="E52" s="24">
        <f>1267+2116</f>
        <v>3383</v>
      </c>
      <c r="F52" s="4" t="s">
        <v>336</v>
      </c>
      <c r="G52" s="27">
        <f>874+1759</f>
        <v>2633</v>
      </c>
      <c r="H52" s="24">
        <v>1230</v>
      </c>
      <c r="I52" s="4" t="s">
        <v>236</v>
      </c>
      <c r="J52" s="24">
        <v>1182</v>
      </c>
      <c r="K52" s="20">
        <f t="shared" si="1"/>
        <v>7436</v>
      </c>
      <c r="L52" s="20">
        <f t="shared" si="2"/>
        <v>4553.2250000000004</v>
      </c>
      <c r="M52" s="13">
        <f t="shared" si="3"/>
        <v>38.76781871974179</v>
      </c>
      <c r="N52" s="4"/>
    </row>
    <row r="53" spans="1:14" x14ac:dyDescent="0.25">
      <c r="A53" s="23" t="s">
        <v>176</v>
      </c>
      <c r="B53" s="26">
        <f>941+1882</f>
        <v>2823</v>
      </c>
      <c r="C53" s="4" t="s">
        <v>330</v>
      </c>
      <c r="D53" s="24">
        <f>738.225</f>
        <v>738.22500000000002</v>
      </c>
      <c r="E53" s="24">
        <f>1267+2116</f>
        <v>3383</v>
      </c>
      <c r="F53" s="4" t="s">
        <v>336</v>
      </c>
      <c r="G53" s="27">
        <f>874+1759</f>
        <v>2633</v>
      </c>
      <c r="H53" s="24">
        <v>1230</v>
      </c>
      <c r="I53" s="4" t="s">
        <v>236</v>
      </c>
      <c r="J53" s="24">
        <v>1182</v>
      </c>
      <c r="K53" s="20">
        <f t="shared" si="1"/>
        <v>7436</v>
      </c>
      <c r="L53" s="20">
        <f t="shared" si="2"/>
        <v>4553.2250000000004</v>
      </c>
      <c r="M53" s="13">
        <f t="shared" si="3"/>
        <v>38.76781871974179</v>
      </c>
      <c r="N53" s="4"/>
    </row>
    <row r="54" spans="1:14" x14ac:dyDescent="0.25">
      <c r="A54" s="23" t="s">
        <v>177</v>
      </c>
      <c r="B54" s="26">
        <f>3764</f>
        <v>3764</v>
      </c>
      <c r="C54" s="4" t="s">
        <v>331</v>
      </c>
      <c r="D54" s="24">
        <f>1831.675</f>
        <v>1831.675</v>
      </c>
      <c r="E54" s="24">
        <f>1200+9775</f>
        <v>10975</v>
      </c>
      <c r="F54" s="4" t="s">
        <v>337</v>
      </c>
      <c r="G54" s="27">
        <f>647+7075</f>
        <v>7722</v>
      </c>
      <c r="H54" s="24">
        <v>1250</v>
      </c>
      <c r="I54" s="4" t="s">
        <v>236</v>
      </c>
      <c r="J54" s="24">
        <v>1272</v>
      </c>
      <c r="K54" s="20">
        <f t="shared" si="1"/>
        <v>15989</v>
      </c>
      <c r="L54" s="20">
        <f t="shared" si="2"/>
        <v>10825.674999999999</v>
      </c>
      <c r="M54" s="13">
        <f t="shared" si="3"/>
        <v>32.292982675589471</v>
      </c>
      <c r="N54" s="4"/>
    </row>
    <row r="55" spans="1:14" x14ac:dyDescent="0.25">
      <c r="A55" s="23" t="s">
        <v>86</v>
      </c>
      <c r="B55" s="26">
        <f>3764</f>
        <v>3764</v>
      </c>
      <c r="C55" s="4" t="s">
        <v>331</v>
      </c>
      <c r="D55" s="24">
        <f>1831.675</f>
        <v>1831.675</v>
      </c>
      <c r="E55" s="24">
        <f>1200+9775</f>
        <v>10975</v>
      </c>
      <c r="F55" s="4" t="s">
        <v>337</v>
      </c>
      <c r="G55" s="27">
        <f>647+7075</f>
        <v>7722</v>
      </c>
      <c r="H55" s="24">
        <v>1250</v>
      </c>
      <c r="I55" s="4" t="s">
        <v>236</v>
      </c>
      <c r="J55" s="24">
        <v>1272</v>
      </c>
      <c r="K55" s="20">
        <f t="shared" si="1"/>
        <v>15989</v>
      </c>
      <c r="L55" s="20">
        <f t="shared" si="2"/>
        <v>10825.674999999999</v>
      </c>
      <c r="M55" s="13">
        <f t="shared" si="3"/>
        <v>32.292982675589471</v>
      </c>
      <c r="N55" s="4"/>
    </row>
    <row r="56" spans="1:14" x14ac:dyDescent="0.25">
      <c r="A56" s="23" t="s">
        <v>87</v>
      </c>
      <c r="B56" s="26">
        <f>1882</f>
        <v>1882</v>
      </c>
      <c r="C56" s="4" t="s">
        <v>331</v>
      </c>
      <c r="D56" s="24">
        <f>931.925</f>
        <v>931.92499999999995</v>
      </c>
      <c r="E56" s="24">
        <f>1648+1648+2118+2500</f>
        <v>7914</v>
      </c>
      <c r="F56" s="4" t="s">
        <v>338</v>
      </c>
      <c r="G56" s="27">
        <f>1406+1406+1759+3375</f>
        <v>7946</v>
      </c>
      <c r="H56" s="24">
        <v>1240</v>
      </c>
      <c r="I56" s="4" t="s">
        <v>236</v>
      </c>
      <c r="J56" s="24">
        <v>1239</v>
      </c>
      <c r="K56" s="20">
        <f t="shared" si="1"/>
        <v>11036</v>
      </c>
      <c r="L56" s="20">
        <f t="shared" si="2"/>
        <v>10116.924999999999</v>
      </c>
      <c r="M56" s="14">
        <f t="shared" si="3"/>
        <v>8.3279720913374575</v>
      </c>
      <c r="N56" s="4"/>
    </row>
    <row r="57" spans="1:14" x14ac:dyDescent="0.25">
      <c r="A57" s="23" t="s">
        <v>88</v>
      </c>
      <c r="B57" s="26">
        <f>1882</f>
        <v>1882</v>
      </c>
      <c r="C57" s="4" t="s">
        <v>331</v>
      </c>
      <c r="D57" s="24">
        <f>931.925</f>
        <v>931.92499999999995</v>
      </c>
      <c r="E57" s="24">
        <f>1648+1648+2118+2500</f>
        <v>7914</v>
      </c>
      <c r="F57" s="4" t="s">
        <v>338</v>
      </c>
      <c r="G57" s="27">
        <f>1406+1406+1759+3375</f>
        <v>7946</v>
      </c>
      <c r="H57" s="24">
        <v>1240</v>
      </c>
      <c r="I57" s="4" t="s">
        <v>236</v>
      </c>
      <c r="J57" s="24">
        <v>1239</v>
      </c>
      <c r="K57" s="20">
        <f t="shared" si="1"/>
        <v>11036</v>
      </c>
      <c r="L57" s="20">
        <f t="shared" si="2"/>
        <v>10116.924999999999</v>
      </c>
      <c r="M57" s="13">
        <f t="shared" si="3"/>
        <v>8.3279720913374575</v>
      </c>
      <c r="N57" s="4"/>
    </row>
    <row r="58" spans="1:14" x14ac:dyDescent="0.25">
      <c r="A58" s="23" t="s">
        <v>89</v>
      </c>
      <c r="B58" s="26">
        <f>1553</f>
        <v>1553</v>
      </c>
      <c r="C58" s="4" t="s">
        <v>331</v>
      </c>
      <c r="D58" s="24">
        <f>654.475</f>
        <v>654.47500000000002</v>
      </c>
      <c r="E58" s="24">
        <f>576+576+344+454</f>
        <v>1950</v>
      </c>
      <c r="F58" s="4" t="s">
        <v>335</v>
      </c>
      <c r="G58" s="27">
        <f>405+405+149.38+257.68</f>
        <v>1217.06</v>
      </c>
      <c r="H58" s="24">
        <v>1300</v>
      </c>
      <c r="I58" s="4" t="s">
        <v>236</v>
      </c>
      <c r="J58" s="24">
        <v>1230</v>
      </c>
      <c r="K58" s="20">
        <f>B58+E58+H58</f>
        <v>4803</v>
      </c>
      <c r="L58" s="20">
        <f t="shared" si="2"/>
        <v>3101.5349999999999</v>
      </c>
      <c r="M58" s="13">
        <f>100-L58*100/K58</f>
        <v>35.425046845721425</v>
      </c>
      <c r="N58" s="4"/>
    </row>
    <row r="59" spans="1:14" x14ac:dyDescent="0.25">
      <c r="A59" s="23" t="s">
        <v>90</v>
      </c>
      <c r="B59" s="26">
        <f>1553</f>
        <v>1553</v>
      </c>
      <c r="C59" s="4" t="s">
        <v>331</v>
      </c>
      <c r="D59" s="24">
        <f>654.475</f>
        <v>654.47500000000002</v>
      </c>
      <c r="E59" s="24">
        <f>576+576+344+454</f>
        <v>1950</v>
      </c>
      <c r="F59" s="4" t="s">
        <v>335</v>
      </c>
      <c r="G59" s="27">
        <f>405+405+149.38+257.68</f>
        <v>1217.06</v>
      </c>
      <c r="H59" s="24">
        <v>1300</v>
      </c>
      <c r="I59" s="4" t="s">
        <v>236</v>
      </c>
      <c r="J59" s="24">
        <v>1230</v>
      </c>
      <c r="K59" s="20">
        <f t="shared" si="1"/>
        <v>4803</v>
      </c>
      <c r="L59" s="20">
        <f t="shared" si="2"/>
        <v>3101.5349999999999</v>
      </c>
      <c r="M59" s="13">
        <f t="shared" si="3"/>
        <v>35.425046845721425</v>
      </c>
      <c r="N59" s="4"/>
    </row>
    <row r="60" spans="1:14" x14ac:dyDescent="0.25">
      <c r="A60" s="23" t="s">
        <v>96</v>
      </c>
      <c r="B60" s="26">
        <f>21094+2817</f>
        <v>23911</v>
      </c>
      <c r="C60" s="4" t="s">
        <v>295</v>
      </c>
      <c r="D60" s="24">
        <f>21045+2303</f>
        <v>23348</v>
      </c>
      <c r="E60" s="24">
        <f>16629+16629</f>
        <v>33258</v>
      </c>
      <c r="F60" s="4" t="s">
        <v>146</v>
      </c>
      <c r="G60" s="27">
        <v>31743.34</v>
      </c>
      <c r="H60" s="24">
        <f>6950+5169+3594</f>
        <v>15713</v>
      </c>
      <c r="I60" s="4" t="s">
        <v>329</v>
      </c>
      <c r="J60" s="24">
        <v>16183</v>
      </c>
      <c r="K60" s="20">
        <f t="shared" si="1"/>
        <v>72882</v>
      </c>
      <c r="L60" s="20">
        <f t="shared" si="2"/>
        <v>71274.34</v>
      </c>
      <c r="M60" s="13">
        <f t="shared" si="3"/>
        <v>2.2058395763014147</v>
      </c>
      <c r="N60" s="4"/>
    </row>
    <row r="61" spans="1:14" x14ac:dyDescent="0.25">
      <c r="A61" s="23" t="s">
        <v>97</v>
      </c>
      <c r="B61" s="26">
        <f>952+5250+1239</f>
        <v>7441</v>
      </c>
      <c r="C61" s="4" t="s">
        <v>238</v>
      </c>
      <c r="D61" s="24">
        <v>7070</v>
      </c>
      <c r="E61" s="24"/>
      <c r="F61" s="4"/>
      <c r="G61" s="27"/>
      <c r="H61" s="24"/>
      <c r="I61" s="4"/>
      <c r="J61" s="24"/>
      <c r="K61" s="20">
        <f t="shared" si="1"/>
        <v>7441</v>
      </c>
      <c r="L61" s="20">
        <f t="shared" si="2"/>
        <v>7070</v>
      </c>
      <c r="M61" s="14">
        <f t="shared" si="3"/>
        <v>4.9858889934148607</v>
      </c>
      <c r="N61" s="4"/>
    </row>
    <row r="62" spans="1:14" x14ac:dyDescent="0.25">
      <c r="A62" s="23" t="s">
        <v>98</v>
      </c>
      <c r="B62" s="26">
        <v>2852</v>
      </c>
      <c r="C62" s="4" t="s">
        <v>136</v>
      </c>
      <c r="D62" s="24">
        <v>1921.2</v>
      </c>
      <c r="E62" s="24">
        <f>1283+1283</f>
        <v>2566</v>
      </c>
      <c r="F62" s="4" t="s">
        <v>146</v>
      </c>
      <c r="G62" s="27">
        <f>1104.72+1104.72</f>
        <v>2209.44</v>
      </c>
      <c r="H62" s="24"/>
      <c r="I62" s="28"/>
      <c r="J62" s="24"/>
      <c r="K62" s="20">
        <f t="shared" si="1"/>
        <v>5418</v>
      </c>
      <c r="L62" s="20">
        <f t="shared" si="2"/>
        <v>4130.6400000000003</v>
      </c>
      <c r="M62" s="13">
        <f t="shared" si="3"/>
        <v>23.760797342192674</v>
      </c>
      <c r="N62" s="4"/>
    </row>
    <row r="63" spans="1:14" x14ac:dyDescent="0.25">
      <c r="A63" s="23" t="s">
        <v>99</v>
      </c>
      <c r="B63" s="26">
        <f>12254+6700</f>
        <v>18954</v>
      </c>
      <c r="C63" s="4" t="s">
        <v>136</v>
      </c>
      <c r="D63" s="24">
        <f>11338.27+5763.58</f>
        <v>17101.849999999999</v>
      </c>
      <c r="E63" s="24">
        <f>17375+17375+1330</f>
        <v>36080</v>
      </c>
      <c r="F63" s="4" t="s">
        <v>146</v>
      </c>
      <c r="G63" s="27">
        <f>17300.36+17300.36+1104.72</f>
        <v>35705.440000000002</v>
      </c>
      <c r="H63" s="24"/>
      <c r="I63" s="4"/>
      <c r="J63" s="24"/>
      <c r="K63" s="20">
        <f t="shared" si="1"/>
        <v>55034</v>
      </c>
      <c r="L63" s="20">
        <f t="shared" si="2"/>
        <v>52807.29</v>
      </c>
      <c r="M63" s="13">
        <f t="shared" si="3"/>
        <v>4.0460624341316276</v>
      </c>
      <c r="N63" s="4"/>
    </row>
    <row r="64" spans="1:14" x14ac:dyDescent="0.25">
      <c r="A64" s="23" t="s">
        <v>100</v>
      </c>
      <c r="B64" s="47"/>
      <c r="C64" s="4"/>
      <c r="D64" s="24"/>
      <c r="E64" s="24"/>
      <c r="F64" s="4"/>
      <c r="G64" s="27"/>
      <c r="H64" s="24"/>
      <c r="I64" s="4"/>
      <c r="J64" s="24"/>
      <c r="K64" s="20">
        <f t="shared" si="1"/>
        <v>0</v>
      </c>
      <c r="L64" s="20">
        <f t="shared" si="2"/>
        <v>0</v>
      </c>
      <c r="M64" s="13" t="e">
        <f t="shared" si="3"/>
        <v>#DIV/0!</v>
      </c>
      <c r="N64" s="4"/>
    </row>
    <row r="65" spans="1:14" x14ac:dyDescent="0.25">
      <c r="A65" s="23" t="s">
        <v>102</v>
      </c>
      <c r="B65" s="47"/>
      <c r="C65" s="4"/>
      <c r="D65" s="24"/>
      <c r="E65" s="24"/>
      <c r="F65" s="4"/>
      <c r="G65" s="27"/>
      <c r="H65" s="24"/>
      <c r="I65" s="4"/>
      <c r="J65" s="24"/>
      <c r="K65" s="20">
        <f>B65+E65+H65</f>
        <v>0</v>
      </c>
      <c r="L65" s="20">
        <f>D65+G65+J65</f>
        <v>0</v>
      </c>
      <c r="M65" s="13" t="e">
        <f t="shared" si="3"/>
        <v>#DIV/0!</v>
      </c>
      <c r="N65" s="4"/>
    </row>
    <row r="66" spans="1:14" x14ac:dyDescent="0.25">
      <c r="A66" s="23" t="s">
        <v>103</v>
      </c>
      <c r="B66" s="26">
        <f>5070</f>
        <v>5070</v>
      </c>
      <c r="C66" s="4" t="s">
        <v>136</v>
      </c>
      <c r="D66" s="24">
        <v>4762.2</v>
      </c>
      <c r="E66" s="24">
        <f>3523+3523</f>
        <v>7046</v>
      </c>
      <c r="F66" s="4" t="s">
        <v>146</v>
      </c>
      <c r="G66" s="27">
        <v>6815.54</v>
      </c>
      <c r="H66" s="24">
        <v>1350</v>
      </c>
      <c r="I66" s="4" t="s">
        <v>263</v>
      </c>
      <c r="J66" s="24">
        <v>735</v>
      </c>
      <c r="K66" s="20">
        <f>B66+E66+H66</f>
        <v>13466</v>
      </c>
      <c r="L66" s="20">
        <f>D66+G66+J66</f>
        <v>12312.74</v>
      </c>
      <c r="M66" s="13">
        <f>100-L66*100/K66</f>
        <v>8.5642358532600582</v>
      </c>
      <c r="N66" s="4"/>
    </row>
    <row r="67" spans="1:14" x14ac:dyDescent="0.25">
      <c r="A67" s="23" t="s">
        <v>104</v>
      </c>
      <c r="B67" s="47"/>
      <c r="C67" s="4"/>
      <c r="D67" s="24"/>
      <c r="E67" s="24"/>
      <c r="F67" s="4"/>
      <c r="G67" s="27"/>
      <c r="H67" s="24"/>
      <c r="I67" s="4"/>
      <c r="J67" s="24"/>
      <c r="K67" s="20">
        <f t="shared" ref="K67:K120" si="4">B67+E67+H67</f>
        <v>0</v>
      </c>
      <c r="L67" s="20">
        <f t="shared" ref="L67:L120" si="5">D67+G67+J67</f>
        <v>0</v>
      </c>
      <c r="M67" s="13" t="e">
        <f t="shared" ref="M67:M120" si="6">100-L67*100/K67</f>
        <v>#DIV/0!</v>
      </c>
      <c r="N67" s="4"/>
    </row>
    <row r="68" spans="1:14" x14ac:dyDescent="0.25">
      <c r="A68" s="23" t="s">
        <v>106</v>
      </c>
      <c r="B68" s="26">
        <f>11602+2900+2900</f>
        <v>17402</v>
      </c>
      <c r="C68" s="4" t="s">
        <v>333</v>
      </c>
      <c r="D68" s="24">
        <v>15446.24</v>
      </c>
      <c r="E68" s="24">
        <f>7490+7490</f>
        <v>14980</v>
      </c>
      <c r="F68" s="4" t="s">
        <v>146</v>
      </c>
      <c r="G68" s="27">
        <f>6629.94+6629.94</f>
        <v>13259.88</v>
      </c>
      <c r="H68" s="24"/>
      <c r="I68" s="4"/>
      <c r="J68" s="24"/>
      <c r="K68" s="20">
        <f t="shared" si="4"/>
        <v>32382</v>
      </c>
      <c r="L68" s="20">
        <f t="shared" si="5"/>
        <v>28706.12</v>
      </c>
      <c r="M68" s="13">
        <f t="shared" si="6"/>
        <v>11.351615094805751</v>
      </c>
      <c r="N68" s="4"/>
    </row>
    <row r="69" spans="1:14" x14ac:dyDescent="0.25">
      <c r="A69" s="23" t="s">
        <v>107</v>
      </c>
      <c r="B69" s="26">
        <f>11602+2900+2900</f>
        <v>17402</v>
      </c>
      <c r="C69" s="4" t="s">
        <v>333</v>
      </c>
      <c r="D69" s="24">
        <v>15446.24</v>
      </c>
      <c r="E69" s="24">
        <f>7490+7490</f>
        <v>14980</v>
      </c>
      <c r="F69" s="4" t="s">
        <v>146</v>
      </c>
      <c r="G69" s="27">
        <f>6629.94+6629.94</f>
        <v>13259.88</v>
      </c>
      <c r="H69" s="24"/>
      <c r="I69" s="4"/>
      <c r="J69" s="24"/>
      <c r="K69" s="20">
        <f t="shared" si="4"/>
        <v>32382</v>
      </c>
      <c r="L69" s="20">
        <f t="shared" si="5"/>
        <v>28706.12</v>
      </c>
      <c r="M69" s="13">
        <f t="shared" si="6"/>
        <v>11.351615094805751</v>
      </c>
      <c r="N69" s="4"/>
    </row>
    <row r="70" spans="1:14" x14ac:dyDescent="0.25">
      <c r="A70" s="23" t="s">
        <v>108</v>
      </c>
      <c r="B70" s="47"/>
      <c r="C70" s="4"/>
      <c r="D70" s="24"/>
      <c r="E70" s="24"/>
      <c r="F70" s="4"/>
      <c r="G70" s="27"/>
      <c r="H70" s="24"/>
      <c r="I70" s="4"/>
      <c r="J70" s="24"/>
      <c r="K70" s="20">
        <f t="shared" si="4"/>
        <v>0</v>
      </c>
      <c r="L70" s="20">
        <f t="shared" si="5"/>
        <v>0</v>
      </c>
      <c r="M70" s="13" t="e">
        <f t="shared" si="6"/>
        <v>#DIV/0!</v>
      </c>
      <c r="N70" s="41"/>
    </row>
    <row r="71" spans="1:14" x14ac:dyDescent="0.25">
      <c r="A71" s="23" t="s">
        <v>109</v>
      </c>
      <c r="B71" s="26">
        <v>1056</v>
      </c>
      <c r="C71" s="4" t="s">
        <v>325</v>
      </c>
      <c r="D71" s="24">
        <v>884.4</v>
      </c>
      <c r="E71" s="24">
        <f>615+615</f>
        <v>1230</v>
      </c>
      <c r="F71" s="4" t="s">
        <v>146</v>
      </c>
      <c r="G71" s="27">
        <v>951.6</v>
      </c>
      <c r="H71" s="24"/>
      <c r="I71" s="4"/>
      <c r="J71" s="24"/>
      <c r="K71" s="20">
        <f t="shared" si="4"/>
        <v>2286</v>
      </c>
      <c r="L71" s="20">
        <f t="shared" si="5"/>
        <v>1836</v>
      </c>
      <c r="M71" s="13">
        <f t="shared" si="6"/>
        <v>19.685039370078741</v>
      </c>
      <c r="N71" s="4"/>
    </row>
    <row r="72" spans="1:14" x14ac:dyDescent="0.25">
      <c r="A72" s="23" t="s">
        <v>111</v>
      </c>
      <c r="B72" s="26">
        <v>579</v>
      </c>
      <c r="C72" s="4" t="s">
        <v>325</v>
      </c>
      <c r="D72" s="24">
        <v>728</v>
      </c>
      <c r="E72" s="24">
        <f>115+115</f>
        <v>230</v>
      </c>
      <c r="F72" s="4" t="s">
        <v>146</v>
      </c>
      <c r="G72" s="27">
        <v>242.8</v>
      </c>
      <c r="H72" s="24"/>
      <c r="I72" s="4"/>
      <c r="J72" s="24"/>
      <c r="K72" s="20">
        <f t="shared" si="4"/>
        <v>809</v>
      </c>
      <c r="L72" s="20">
        <f t="shared" si="5"/>
        <v>970.8</v>
      </c>
      <c r="M72" s="13">
        <f t="shared" si="6"/>
        <v>-20</v>
      </c>
      <c r="N72" s="4"/>
    </row>
    <row r="73" spans="1:14" x14ac:dyDescent="0.25">
      <c r="A73" s="23" t="s">
        <v>117</v>
      </c>
      <c r="B73" s="47"/>
      <c r="C73" s="4"/>
      <c r="D73" s="24"/>
      <c r="E73" s="24"/>
      <c r="F73" s="4"/>
      <c r="G73" s="27"/>
      <c r="H73" s="24"/>
      <c r="I73" s="4"/>
      <c r="J73" s="24"/>
      <c r="K73" s="20">
        <f t="shared" si="4"/>
        <v>0</v>
      </c>
      <c r="L73" s="20">
        <f t="shared" si="5"/>
        <v>0</v>
      </c>
      <c r="M73" s="13" t="e">
        <f t="shared" si="6"/>
        <v>#DIV/0!</v>
      </c>
      <c r="N73" s="4"/>
    </row>
    <row r="74" spans="1:14" x14ac:dyDescent="0.25">
      <c r="A74" s="23" t="s">
        <v>118</v>
      </c>
      <c r="B74" s="26">
        <f>23505+2863.2+3428.4</f>
        <v>29796.600000000002</v>
      </c>
      <c r="C74" s="4" t="s">
        <v>340</v>
      </c>
      <c r="D74" s="24">
        <f>22748+1830+2534</f>
        <v>27112</v>
      </c>
      <c r="E74" s="24">
        <f>8239+8239+2863.2</f>
        <v>19341.2</v>
      </c>
      <c r="F74" s="4" t="s">
        <v>146</v>
      </c>
      <c r="G74" s="27">
        <v>16953.54</v>
      </c>
      <c r="H74" s="24">
        <f>13800</f>
        <v>13800</v>
      </c>
      <c r="I74" s="4" t="s">
        <v>339</v>
      </c>
      <c r="J74" s="24">
        <v>7594</v>
      </c>
      <c r="K74" s="20">
        <f t="shared" si="4"/>
        <v>62937.8</v>
      </c>
      <c r="L74" s="20">
        <f t="shared" si="5"/>
        <v>51659.54</v>
      </c>
      <c r="M74" s="14">
        <f t="shared" si="6"/>
        <v>17.919692140494263</v>
      </c>
      <c r="N74" s="4" t="s">
        <v>341</v>
      </c>
    </row>
    <row r="75" spans="1:14" x14ac:dyDescent="0.25">
      <c r="A75" s="23" t="s">
        <v>119</v>
      </c>
      <c r="B75" s="26">
        <f>2182+2617+3565</f>
        <v>8364</v>
      </c>
      <c r="C75" s="4" t="s">
        <v>136</v>
      </c>
      <c r="D75" s="24">
        <f>2192+2908+1567</f>
        <v>6667</v>
      </c>
      <c r="E75" s="24">
        <v>6185</v>
      </c>
      <c r="F75" s="4" t="s">
        <v>146</v>
      </c>
      <c r="G75" s="27">
        <v>6006.05</v>
      </c>
      <c r="H75" s="24"/>
      <c r="I75" s="4"/>
      <c r="J75" s="24"/>
      <c r="K75" s="20">
        <f t="shared" si="4"/>
        <v>14549</v>
      </c>
      <c r="L75" s="20">
        <f t="shared" si="5"/>
        <v>12673.05</v>
      </c>
      <c r="M75" s="13">
        <f t="shared" si="6"/>
        <v>12.894013334249777</v>
      </c>
      <c r="N75" s="4"/>
    </row>
    <row r="76" spans="1:14" x14ac:dyDescent="0.25">
      <c r="A76" s="23" t="s">
        <v>120</v>
      </c>
      <c r="B76" s="26">
        <v>600</v>
      </c>
      <c r="C76" s="4" t="s">
        <v>325</v>
      </c>
      <c r="D76" s="24">
        <v>466.68</v>
      </c>
      <c r="E76" s="24">
        <f>43+43</f>
        <v>86</v>
      </c>
      <c r="F76" s="4" t="s">
        <v>146</v>
      </c>
      <c r="G76" s="27">
        <v>182</v>
      </c>
      <c r="H76" s="24"/>
      <c r="I76" s="4"/>
      <c r="J76" s="24"/>
      <c r="K76" s="20">
        <f t="shared" si="4"/>
        <v>686</v>
      </c>
      <c r="L76" s="20">
        <f t="shared" si="5"/>
        <v>648.68000000000006</v>
      </c>
      <c r="M76" s="13">
        <f t="shared" si="6"/>
        <v>5.4402332361515988</v>
      </c>
      <c r="N76" s="4"/>
    </row>
    <row r="77" spans="1:14" x14ac:dyDescent="0.25">
      <c r="A77" s="23" t="s">
        <v>121</v>
      </c>
      <c r="B77" s="26">
        <f>937+1250+576+769+6149+769+576</f>
        <v>11026</v>
      </c>
      <c r="C77" s="4" t="s">
        <v>238</v>
      </c>
      <c r="D77" s="24">
        <v>10458.545</v>
      </c>
      <c r="E77" s="24"/>
      <c r="F77" s="4"/>
      <c r="G77" s="27"/>
      <c r="H77" s="24"/>
      <c r="I77" s="16"/>
      <c r="J77" s="24"/>
      <c r="K77" s="20">
        <f t="shared" si="4"/>
        <v>11026</v>
      </c>
      <c r="L77" s="20">
        <f t="shared" si="5"/>
        <v>10458.545</v>
      </c>
      <c r="M77" s="13">
        <f t="shared" si="6"/>
        <v>5.1465173226918211</v>
      </c>
      <c r="N77" s="4"/>
    </row>
    <row r="78" spans="1:14" x14ac:dyDescent="0.25">
      <c r="A78" s="23" t="s">
        <v>122</v>
      </c>
      <c r="B78" s="26">
        <f>937+1250+576+769+6149+769+576</f>
        <v>11026</v>
      </c>
      <c r="C78" s="4" t="s">
        <v>238</v>
      </c>
      <c r="D78" s="24">
        <v>10458.545</v>
      </c>
      <c r="E78" s="24"/>
      <c r="F78" s="4"/>
      <c r="G78" s="27"/>
      <c r="H78" s="24"/>
      <c r="I78" s="4"/>
      <c r="J78" s="24"/>
      <c r="K78" s="20">
        <f t="shared" si="4"/>
        <v>11026</v>
      </c>
      <c r="L78" s="20">
        <f t="shared" si="5"/>
        <v>10458.545</v>
      </c>
      <c r="M78" s="13">
        <f t="shared" si="6"/>
        <v>5.1465173226918211</v>
      </c>
      <c r="N78" s="4"/>
    </row>
    <row r="79" spans="1:14" x14ac:dyDescent="0.25">
      <c r="A79" s="23" t="s">
        <v>123</v>
      </c>
      <c r="B79" s="26">
        <f>1056+660</f>
        <v>1716</v>
      </c>
      <c r="C79" s="4" t="s">
        <v>136</v>
      </c>
      <c r="D79" s="24">
        <v>1492.8150000000001</v>
      </c>
      <c r="E79" s="24">
        <f>747+747</f>
        <v>1494</v>
      </c>
      <c r="F79" s="4" t="s">
        <v>146</v>
      </c>
      <c r="G79" s="27">
        <f>496+496</f>
        <v>992</v>
      </c>
      <c r="H79" s="24"/>
      <c r="I79" s="4"/>
      <c r="J79" s="24"/>
      <c r="K79" s="20">
        <f>B79+E79+H79</f>
        <v>3210</v>
      </c>
      <c r="L79" s="20">
        <f t="shared" si="5"/>
        <v>2484.8150000000001</v>
      </c>
      <c r="M79" s="13">
        <f t="shared" si="6"/>
        <v>22.59143302180685</v>
      </c>
      <c r="N79" s="4" t="s">
        <v>342</v>
      </c>
    </row>
    <row r="80" spans="1:14" x14ac:dyDescent="0.25">
      <c r="A80" s="23" t="s">
        <v>124</v>
      </c>
      <c r="B80" s="26">
        <f>1056+660</f>
        <v>1716</v>
      </c>
      <c r="C80" s="4" t="s">
        <v>136</v>
      </c>
      <c r="D80" s="24">
        <v>1492.8150000000001</v>
      </c>
      <c r="E80" s="24">
        <f>747+747</f>
        <v>1494</v>
      </c>
      <c r="F80" s="4" t="s">
        <v>146</v>
      </c>
      <c r="G80" s="27">
        <f>496+496</f>
        <v>992</v>
      </c>
      <c r="H80" s="24"/>
      <c r="I80" s="4"/>
      <c r="J80" s="24"/>
      <c r="K80" s="20">
        <f>B80+E80+H80</f>
        <v>3210</v>
      </c>
      <c r="L80" s="20">
        <f t="shared" si="5"/>
        <v>2484.8150000000001</v>
      </c>
      <c r="M80" s="13">
        <f t="shared" si="6"/>
        <v>22.59143302180685</v>
      </c>
      <c r="N80" s="4" t="s">
        <v>342</v>
      </c>
    </row>
    <row r="81" spans="1:14" x14ac:dyDescent="0.25">
      <c r="A81" s="23" t="s">
        <v>125</v>
      </c>
      <c r="B81" s="47"/>
      <c r="C81" s="4"/>
      <c r="D81" s="24"/>
      <c r="E81" s="24"/>
      <c r="F81" s="4"/>
      <c r="G81" s="27"/>
      <c r="H81" s="24"/>
      <c r="I81" s="4"/>
      <c r="J81" s="24"/>
      <c r="K81" s="20">
        <f t="shared" si="4"/>
        <v>0</v>
      </c>
      <c r="L81" s="20">
        <f t="shared" si="5"/>
        <v>0</v>
      </c>
      <c r="M81" s="13" t="e">
        <f t="shared" si="6"/>
        <v>#DIV/0!</v>
      </c>
      <c r="N81" s="4"/>
    </row>
    <row r="82" spans="1:14" x14ac:dyDescent="0.25">
      <c r="A82" s="23" t="s">
        <v>126</v>
      </c>
      <c r="B82" s="26">
        <f>5293+1323.2</f>
        <v>6616.2</v>
      </c>
      <c r="C82" s="4" t="s">
        <v>136</v>
      </c>
      <c r="D82" s="24">
        <v>4417.0600000000004</v>
      </c>
      <c r="E82" s="24">
        <f>1733+1733</f>
        <v>3466</v>
      </c>
      <c r="F82" s="4" t="s">
        <v>146</v>
      </c>
      <c r="G82" s="27">
        <v>1990</v>
      </c>
      <c r="H82" s="24">
        <f>1890</f>
        <v>1890</v>
      </c>
      <c r="I82" s="4" t="s">
        <v>349</v>
      </c>
      <c r="J82" s="24">
        <v>1559.24</v>
      </c>
      <c r="K82" s="20">
        <f>B82+E82+H82</f>
        <v>11972.2</v>
      </c>
      <c r="L82" s="20">
        <f t="shared" si="5"/>
        <v>7966.3</v>
      </c>
      <c r="M82" s="13">
        <f t="shared" si="6"/>
        <v>33.460015703045386</v>
      </c>
      <c r="N82" s="4"/>
    </row>
    <row r="83" spans="1:14" x14ac:dyDescent="0.25">
      <c r="A83" s="23" t="s">
        <v>127</v>
      </c>
      <c r="B83" s="26">
        <f>551+551+2117+882+706</f>
        <v>4807</v>
      </c>
      <c r="C83" s="4" t="s">
        <v>238</v>
      </c>
      <c r="D83" s="24">
        <v>3275.48</v>
      </c>
      <c r="E83" s="24"/>
      <c r="F83" s="4"/>
      <c r="G83" s="27"/>
      <c r="H83" s="24"/>
      <c r="I83" s="4"/>
      <c r="J83" s="53"/>
      <c r="K83" s="20">
        <f t="shared" si="4"/>
        <v>4807</v>
      </c>
      <c r="L83" s="20">
        <f t="shared" si="5"/>
        <v>3275.48</v>
      </c>
      <c r="M83" s="13">
        <f t="shared" si="6"/>
        <v>31.860203869357193</v>
      </c>
      <c r="N83" s="4"/>
    </row>
    <row r="84" spans="1:14" x14ac:dyDescent="0.25">
      <c r="A84" s="23" t="s">
        <v>128</v>
      </c>
      <c r="B84" s="26">
        <v>2456</v>
      </c>
      <c r="C84" s="4" t="s">
        <v>238</v>
      </c>
      <c r="D84" s="24">
        <v>874.5</v>
      </c>
      <c r="E84" s="24">
        <f>563+563</f>
        <v>1126</v>
      </c>
      <c r="F84" s="4" t="s">
        <v>146</v>
      </c>
      <c r="G84" s="27">
        <v>784</v>
      </c>
      <c r="H84" s="24"/>
      <c r="I84" s="4"/>
      <c r="J84" s="53"/>
      <c r="K84" s="20">
        <f t="shared" si="4"/>
        <v>3582</v>
      </c>
      <c r="L84" s="20">
        <f t="shared" si="5"/>
        <v>1658.5</v>
      </c>
      <c r="M84" s="14">
        <f t="shared" si="6"/>
        <v>53.699050809603577</v>
      </c>
      <c r="N84" s="4"/>
    </row>
    <row r="85" spans="1:14" x14ac:dyDescent="0.25">
      <c r="A85" s="23" t="s">
        <v>129</v>
      </c>
      <c r="B85" s="26">
        <f>714+535+2117+996+5424+3390</f>
        <v>13176</v>
      </c>
      <c r="C85" s="4" t="s">
        <v>238</v>
      </c>
      <c r="D85" s="24">
        <v>13523.33</v>
      </c>
      <c r="E85" s="24"/>
      <c r="F85" s="4"/>
      <c r="G85" s="27"/>
      <c r="H85" s="24"/>
      <c r="I85" s="4"/>
      <c r="J85" s="53"/>
      <c r="K85" s="20">
        <f t="shared" si="4"/>
        <v>13176</v>
      </c>
      <c r="L85" s="20">
        <f t="shared" si="5"/>
        <v>13523.33</v>
      </c>
      <c r="M85" s="13">
        <f t="shared" si="6"/>
        <v>-2.6360807528840269</v>
      </c>
      <c r="N85" s="4" t="s">
        <v>345</v>
      </c>
    </row>
    <row r="86" spans="1:14" x14ac:dyDescent="0.25">
      <c r="A86" s="23" t="s">
        <v>130</v>
      </c>
      <c r="B86" s="26">
        <f>714+535+2117+996+5424+3390</f>
        <v>13176</v>
      </c>
      <c r="C86" s="4" t="s">
        <v>238</v>
      </c>
      <c r="D86" s="24">
        <v>13523.33</v>
      </c>
      <c r="E86" s="24"/>
      <c r="F86" s="4"/>
      <c r="G86" s="27"/>
      <c r="H86" s="24"/>
      <c r="I86" s="4"/>
      <c r="J86" s="24"/>
      <c r="K86" s="20">
        <f t="shared" si="4"/>
        <v>13176</v>
      </c>
      <c r="L86" s="20">
        <f t="shared" si="5"/>
        <v>13523.33</v>
      </c>
      <c r="M86" s="13">
        <f t="shared" si="6"/>
        <v>-2.6360807528840269</v>
      </c>
      <c r="N86" s="4" t="s">
        <v>345</v>
      </c>
    </row>
    <row r="87" spans="1:14" x14ac:dyDescent="0.25">
      <c r="A87" s="23" t="s">
        <v>131</v>
      </c>
      <c r="B87" s="26">
        <f>714+535+2117+996+5424+3390</f>
        <v>13176</v>
      </c>
      <c r="C87" s="4" t="s">
        <v>238</v>
      </c>
      <c r="D87" s="24">
        <v>13523.33</v>
      </c>
      <c r="E87" s="24"/>
      <c r="F87" s="4"/>
      <c r="G87" s="27"/>
      <c r="H87" s="24"/>
      <c r="I87" s="4"/>
      <c r="J87" s="24"/>
      <c r="K87" s="20">
        <f t="shared" si="4"/>
        <v>13176</v>
      </c>
      <c r="L87" s="20">
        <f t="shared" si="5"/>
        <v>13523.33</v>
      </c>
      <c r="M87" s="13">
        <f t="shared" si="6"/>
        <v>-2.6360807528840269</v>
      </c>
      <c r="N87" s="4" t="s">
        <v>345</v>
      </c>
    </row>
    <row r="88" spans="1:14" x14ac:dyDescent="0.25">
      <c r="A88" s="23" t="s">
        <v>132</v>
      </c>
      <c r="B88" s="26">
        <v>2320</v>
      </c>
      <c r="C88" s="4" t="s">
        <v>238</v>
      </c>
      <c r="D88" s="24">
        <f>1063.15+1063.15</f>
        <v>2126.3000000000002</v>
      </c>
      <c r="E88" s="24"/>
      <c r="F88" s="4"/>
      <c r="G88" s="24"/>
      <c r="H88" s="24">
        <v>750</v>
      </c>
      <c r="I88" s="4" t="s">
        <v>343</v>
      </c>
      <c r="J88" s="24">
        <v>615</v>
      </c>
      <c r="K88" s="20">
        <f t="shared" si="4"/>
        <v>3070</v>
      </c>
      <c r="L88" s="20">
        <f t="shared" si="5"/>
        <v>2741.3</v>
      </c>
      <c r="M88" s="14">
        <f>100-L88*100/K88</f>
        <v>10.706840390879478</v>
      </c>
      <c r="N88" s="4"/>
    </row>
    <row r="89" spans="1:14" x14ac:dyDescent="0.25">
      <c r="A89" s="23" t="s">
        <v>133</v>
      </c>
      <c r="B89" s="26">
        <v>2320</v>
      </c>
      <c r="C89" s="4" t="s">
        <v>238</v>
      </c>
      <c r="D89" s="24">
        <f t="shared" ref="D89:D100" si="7">1063.15+1063.15</f>
        <v>2126.3000000000002</v>
      </c>
      <c r="E89" s="24"/>
      <c r="F89" s="4"/>
      <c r="G89" s="24"/>
      <c r="H89" s="24">
        <v>750</v>
      </c>
      <c r="I89" s="4" t="s">
        <v>343</v>
      </c>
      <c r="J89" s="24">
        <v>615</v>
      </c>
      <c r="K89" s="20">
        <f>B89+E89+H89</f>
        <v>3070</v>
      </c>
      <c r="L89" s="20">
        <f t="shared" si="5"/>
        <v>2741.3</v>
      </c>
      <c r="M89" s="13">
        <f t="shared" si="6"/>
        <v>10.706840390879478</v>
      </c>
      <c r="N89" s="4"/>
    </row>
    <row r="90" spans="1:14" x14ac:dyDescent="0.25">
      <c r="A90" s="23" t="s">
        <v>134</v>
      </c>
      <c r="B90" s="26">
        <v>2320</v>
      </c>
      <c r="C90" s="4" t="s">
        <v>238</v>
      </c>
      <c r="D90" s="24">
        <f t="shared" si="7"/>
        <v>2126.3000000000002</v>
      </c>
      <c r="E90" s="24"/>
      <c r="F90" s="4"/>
      <c r="G90" s="24"/>
      <c r="H90" s="24">
        <v>750</v>
      </c>
      <c r="I90" s="4" t="s">
        <v>343</v>
      </c>
      <c r="J90" s="24">
        <v>615</v>
      </c>
      <c r="K90" s="20">
        <f t="shared" si="4"/>
        <v>3070</v>
      </c>
      <c r="L90" s="20">
        <f t="shared" si="5"/>
        <v>2741.3</v>
      </c>
      <c r="M90" s="13">
        <f t="shared" si="6"/>
        <v>10.706840390879478</v>
      </c>
      <c r="N90" s="4"/>
    </row>
    <row r="91" spans="1:14" x14ac:dyDescent="0.25">
      <c r="A91" s="23" t="s">
        <v>135</v>
      </c>
      <c r="B91" s="26">
        <v>2320</v>
      </c>
      <c r="C91" s="4" t="s">
        <v>238</v>
      </c>
      <c r="D91" s="24">
        <f t="shared" si="7"/>
        <v>2126.3000000000002</v>
      </c>
      <c r="E91" s="24"/>
      <c r="F91" s="4"/>
      <c r="G91" s="24"/>
      <c r="H91" s="24">
        <v>750</v>
      </c>
      <c r="I91" s="4" t="s">
        <v>343</v>
      </c>
      <c r="J91" s="24">
        <v>615</v>
      </c>
      <c r="K91" s="20">
        <f t="shared" si="4"/>
        <v>3070</v>
      </c>
      <c r="L91" s="20">
        <f t="shared" si="5"/>
        <v>2741.3</v>
      </c>
      <c r="M91" s="13">
        <f t="shared" si="6"/>
        <v>10.706840390879478</v>
      </c>
      <c r="N91" s="4"/>
    </row>
    <row r="92" spans="1:14" x14ac:dyDescent="0.25">
      <c r="A92" s="23" t="s">
        <v>140</v>
      </c>
      <c r="B92" s="26">
        <v>2320</v>
      </c>
      <c r="C92" s="4" t="s">
        <v>238</v>
      </c>
      <c r="D92" s="24">
        <f t="shared" si="7"/>
        <v>2126.3000000000002</v>
      </c>
      <c r="E92" s="24"/>
      <c r="F92" s="4"/>
      <c r="G92" s="24"/>
      <c r="H92" s="24">
        <v>750</v>
      </c>
      <c r="I92" s="4" t="s">
        <v>343</v>
      </c>
      <c r="J92" s="24">
        <v>615</v>
      </c>
      <c r="K92" s="20">
        <f t="shared" si="4"/>
        <v>3070</v>
      </c>
      <c r="L92" s="20">
        <f t="shared" si="5"/>
        <v>2741.3</v>
      </c>
      <c r="M92" s="14">
        <f t="shared" si="6"/>
        <v>10.706840390879478</v>
      </c>
      <c r="N92" s="4"/>
    </row>
    <row r="93" spans="1:14" x14ac:dyDescent="0.25">
      <c r="A93" s="23" t="s">
        <v>141</v>
      </c>
      <c r="B93" s="26">
        <v>2320</v>
      </c>
      <c r="C93" s="4" t="s">
        <v>238</v>
      </c>
      <c r="D93" s="24">
        <f t="shared" si="7"/>
        <v>2126.3000000000002</v>
      </c>
      <c r="E93" s="24"/>
      <c r="F93" s="4"/>
      <c r="G93" s="24"/>
      <c r="H93" s="24">
        <v>750</v>
      </c>
      <c r="I93" s="4" t="s">
        <v>343</v>
      </c>
      <c r="J93" s="24">
        <v>615</v>
      </c>
      <c r="K93" s="20">
        <f t="shared" si="4"/>
        <v>3070</v>
      </c>
      <c r="L93" s="20">
        <f t="shared" si="5"/>
        <v>2741.3</v>
      </c>
      <c r="M93" s="13">
        <f t="shared" si="6"/>
        <v>10.706840390879478</v>
      </c>
      <c r="N93" s="4"/>
    </row>
    <row r="94" spans="1:14" x14ac:dyDescent="0.25">
      <c r="A94" s="23" t="s">
        <v>142</v>
      </c>
      <c r="B94" s="26">
        <v>2320</v>
      </c>
      <c r="C94" s="4" t="s">
        <v>238</v>
      </c>
      <c r="D94" s="24">
        <f t="shared" si="7"/>
        <v>2126.3000000000002</v>
      </c>
      <c r="E94" s="24"/>
      <c r="F94" s="4"/>
      <c r="G94" s="24"/>
      <c r="H94" s="24">
        <v>750</v>
      </c>
      <c r="I94" s="4" t="s">
        <v>343</v>
      </c>
      <c r="J94" s="24">
        <v>615</v>
      </c>
      <c r="K94" s="20">
        <f t="shared" si="4"/>
        <v>3070</v>
      </c>
      <c r="L94" s="20">
        <f t="shared" si="5"/>
        <v>2741.3</v>
      </c>
      <c r="M94" s="13">
        <f t="shared" si="6"/>
        <v>10.706840390879478</v>
      </c>
      <c r="N94" s="4"/>
    </row>
    <row r="95" spans="1:14" x14ac:dyDescent="0.25">
      <c r="A95" s="23" t="s">
        <v>143</v>
      </c>
      <c r="B95" s="26">
        <v>2320</v>
      </c>
      <c r="C95" s="4" t="s">
        <v>238</v>
      </c>
      <c r="D95" s="24">
        <f t="shared" si="7"/>
        <v>2126.3000000000002</v>
      </c>
      <c r="E95" s="24"/>
      <c r="F95" s="4"/>
      <c r="G95" s="24"/>
      <c r="H95" s="24">
        <v>750</v>
      </c>
      <c r="I95" s="4" t="s">
        <v>343</v>
      </c>
      <c r="J95" s="24">
        <v>615</v>
      </c>
      <c r="K95" s="20">
        <f t="shared" si="4"/>
        <v>3070</v>
      </c>
      <c r="L95" s="20">
        <f t="shared" si="5"/>
        <v>2741.3</v>
      </c>
      <c r="M95" s="13">
        <f t="shared" si="6"/>
        <v>10.706840390879478</v>
      </c>
      <c r="N95" s="4"/>
    </row>
    <row r="96" spans="1:14" x14ac:dyDescent="0.25">
      <c r="A96" s="23" t="s">
        <v>149</v>
      </c>
      <c r="B96" s="26">
        <v>2320</v>
      </c>
      <c r="C96" s="4" t="s">
        <v>238</v>
      </c>
      <c r="D96" s="24">
        <f t="shared" si="7"/>
        <v>2126.3000000000002</v>
      </c>
      <c r="E96" s="24"/>
      <c r="F96" s="4"/>
      <c r="G96" s="24"/>
      <c r="H96" s="24">
        <v>750</v>
      </c>
      <c r="I96" s="4" t="s">
        <v>343</v>
      </c>
      <c r="J96" s="24">
        <v>615</v>
      </c>
      <c r="K96" s="20">
        <f t="shared" si="4"/>
        <v>3070</v>
      </c>
      <c r="L96" s="20">
        <f t="shared" si="5"/>
        <v>2741.3</v>
      </c>
      <c r="M96" s="13">
        <f t="shared" si="6"/>
        <v>10.706840390879478</v>
      </c>
      <c r="N96" s="4"/>
    </row>
    <row r="97" spans="1:14" x14ac:dyDescent="0.25">
      <c r="A97" s="23" t="s">
        <v>150</v>
      </c>
      <c r="B97" s="26">
        <v>2320</v>
      </c>
      <c r="C97" s="4" t="s">
        <v>238</v>
      </c>
      <c r="D97" s="24">
        <f t="shared" si="7"/>
        <v>2126.3000000000002</v>
      </c>
      <c r="E97" s="24"/>
      <c r="F97" s="4"/>
      <c r="G97" s="24"/>
      <c r="H97" s="24">
        <v>750</v>
      </c>
      <c r="I97" s="4" t="s">
        <v>343</v>
      </c>
      <c r="J97" s="24">
        <v>615</v>
      </c>
      <c r="K97" s="20">
        <f t="shared" si="4"/>
        <v>3070</v>
      </c>
      <c r="L97" s="20">
        <f t="shared" si="5"/>
        <v>2741.3</v>
      </c>
      <c r="M97" s="13">
        <f t="shared" si="6"/>
        <v>10.706840390879478</v>
      </c>
      <c r="N97" s="4"/>
    </row>
    <row r="98" spans="1:14" x14ac:dyDescent="0.25">
      <c r="A98" s="23" t="s">
        <v>151</v>
      </c>
      <c r="B98" s="26">
        <v>2320</v>
      </c>
      <c r="C98" s="4" t="s">
        <v>238</v>
      </c>
      <c r="D98" s="24">
        <f t="shared" si="7"/>
        <v>2126.3000000000002</v>
      </c>
      <c r="E98" s="24"/>
      <c r="F98" s="4"/>
      <c r="G98" s="24"/>
      <c r="H98" s="24">
        <v>750</v>
      </c>
      <c r="I98" s="4" t="s">
        <v>343</v>
      </c>
      <c r="J98" s="24">
        <v>615</v>
      </c>
      <c r="K98" s="20">
        <f t="shared" si="4"/>
        <v>3070</v>
      </c>
      <c r="L98" s="20">
        <f t="shared" si="5"/>
        <v>2741.3</v>
      </c>
      <c r="M98" s="13">
        <f t="shared" si="6"/>
        <v>10.706840390879478</v>
      </c>
      <c r="N98" s="4"/>
    </row>
    <row r="99" spans="1:14" x14ac:dyDescent="0.25">
      <c r="A99" s="23" t="s">
        <v>152</v>
      </c>
      <c r="B99" s="26">
        <v>2320</v>
      </c>
      <c r="C99" s="4" t="s">
        <v>238</v>
      </c>
      <c r="D99" s="24">
        <f t="shared" si="7"/>
        <v>2126.3000000000002</v>
      </c>
      <c r="E99" s="24"/>
      <c r="F99" s="4"/>
      <c r="G99" s="24"/>
      <c r="H99" s="24">
        <v>750</v>
      </c>
      <c r="I99" s="4" t="s">
        <v>343</v>
      </c>
      <c r="J99" s="24">
        <v>615</v>
      </c>
      <c r="K99" s="20">
        <f t="shared" si="4"/>
        <v>3070</v>
      </c>
      <c r="L99" s="20">
        <f t="shared" si="5"/>
        <v>2741.3</v>
      </c>
      <c r="M99" s="13">
        <f t="shared" si="6"/>
        <v>10.706840390879478</v>
      </c>
      <c r="N99" s="4"/>
    </row>
    <row r="100" spans="1:14" x14ac:dyDescent="0.25">
      <c r="A100" s="23" t="s">
        <v>153</v>
      </c>
      <c r="B100" s="26">
        <v>2320</v>
      </c>
      <c r="C100" s="4" t="s">
        <v>238</v>
      </c>
      <c r="D100" s="24">
        <f t="shared" si="7"/>
        <v>2126.3000000000002</v>
      </c>
      <c r="E100" s="24"/>
      <c r="F100" s="4"/>
      <c r="G100" s="24"/>
      <c r="H100" s="24">
        <v>750</v>
      </c>
      <c r="I100" s="4" t="s">
        <v>343</v>
      </c>
      <c r="J100" s="24">
        <v>615</v>
      </c>
      <c r="K100" s="20">
        <f t="shared" si="4"/>
        <v>3070</v>
      </c>
      <c r="L100" s="20">
        <f t="shared" si="5"/>
        <v>2741.3</v>
      </c>
      <c r="M100" s="13">
        <f t="shared" si="6"/>
        <v>10.706840390879478</v>
      </c>
      <c r="N100" s="4"/>
    </row>
    <row r="101" spans="1:14" x14ac:dyDescent="0.25">
      <c r="A101" s="23" t="s">
        <v>154</v>
      </c>
      <c r="B101" s="47"/>
      <c r="C101" s="4"/>
      <c r="D101" s="47"/>
      <c r="E101" s="24"/>
      <c r="F101" s="4"/>
      <c r="G101" s="27"/>
      <c r="H101" s="24"/>
      <c r="I101" s="4"/>
      <c r="J101" s="24"/>
      <c r="K101" s="20">
        <f>B101+E101+H101</f>
        <v>0</v>
      </c>
      <c r="L101" s="20">
        <f t="shared" si="5"/>
        <v>0</v>
      </c>
      <c r="M101" s="13" t="e">
        <f t="shared" si="6"/>
        <v>#DIV/0!</v>
      </c>
      <c r="N101" s="4"/>
    </row>
    <row r="102" spans="1:14" x14ac:dyDescent="0.25">
      <c r="A102" s="23" t="s">
        <v>158</v>
      </c>
      <c r="B102" s="26">
        <f>576+769+10687+750+1000</f>
        <v>13782</v>
      </c>
      <c r="C102" s="4" t="s">
        <v>238</v>
      </c>
      <c r="D102" s="24">
        <v>12999</v>
      </c>
      <c r="E102" s="24"/>
      <c r="F102" s="4"/>
      <c r="G102" s="27"/>
      <c r="H102" s="24"/>
      <c r="I102" s="4"/>
      <c r="J102" s="24"/>
      <c r="K102" s="20">
        <f>B102+E102+H102</f>
        <v>13782</v>
      </c>
      <c r="L102" s="20">
        <f>D102+G102+J102</f>
        <v>12999</v>
      </c>
      <c r="M102" s="13">
        <f>100-L102*100/K102</f>
        <v>5.6813234653896387</v>
      </c>
      <c r="N102" s="4" t="s">
        <v>344</v>
      </c>
    </row>
    <row r="103" spans="1:14" x14ac:dyDescent="0.25">
      <c r="A103" s="23" t="s">
        <v>159</v>
      </c>
      <c r="B103" s="26">
        <f>714+535+2117+996+5424+3390</f>
        <v>13176</v>
      </c>
      <c r="C103" s="4" t="s">
        <v>238</v>
      </c>
      <c r="D103" s="24">
        <v>13632.78</v>
      </c>
      <c r="E103" s="24"/>
      <c r="F103" s="4"/>
      <c r="G103" s="27"/>
      <c r="H103" s="24"/>
      <c r="I103" s="4"/>
      <c r="J103" s="24"/>
      <c r="K103" s="20">
        <f t="shared" si="4"/>
        <v>13176</v>
      </c>
      <c r="L103" s="20">
        <f t="shared" si="5"/>
        <v>13632.78</v>
      </c>
      <c r="M103" s="13">
        <f t="shared" si="6"/>
        <v>-3.4667577413479052</v>
      </c>
      <c r="N103" s="4" t="s">
        <v>345</v>
      </c>
    </row>
    <row r="104" spans="1:14" x14ac:dyDescent="0.25">
      <c r="A104" s="23" t="s">
        <v>160</v>
      </c>
      <c r="B104" s="26">
        <f>714+535+2117+996+5424+3390</f>
        <v>13176</v>
      </c>
      <c r="C104" s="4" t="s">
        <v>238</v>
      </c>
      <c r="D104" s="24">
        <v>13632.78</v>
      </c>
      <c r="E104" s="24"/>
      <c r="F104" s="4"/>
      <c r="G104" s="27"/>
      <c r="H104" s="24"/>
      <c r="I104" s="4"/>
      <c r="J104" s="24"/>
      <c r="K104" s="20">
        <f t="shared" si="4"/>
        <v>13176</v>
      </c>
      <c r="L104" s="20">
        <f t="shared" si="5"/>
        <v>13632.78</v>
      </c>
      <c r="M104" s="13">
        <f t="shared" si="6"/>
        <v>-3.4667577413479052</v>
      </c>
      <c r="N104" s="4" t="s">
        <v>345</v>
      </c>
    </row>
    <row r="105" spans="1:14" x14ac:dyDescent="0.25">
      <c r="A105" s="23" t="s">
        <v>161</v>
      </c>
      <c r="B105" s="8">
        <f>2034+4020+1184</f>
        <v>7238</v>
      </c>
      <c r="C105" s="4" t="s">
        <v>346</v>
      </c>
      <c r="D105" s="24">
        <v>5159.3900000000003</v>
      </c>
      <c r="E105" s="24">
        <f>3059+3059</f>
        <v>6118</v>
      </c>
      <c r="F105" s="4" t="s">
        <v>146</v>
      </c>
      <c r="G105" s="27">
        <f>2610.37+2610.37</f>
        <v>5220.74</v>
      </c>
      <c r="H105" s="24"/>
      <c r="I105" s="4"/>
      <c r="J105" s="24"/>
      <c r="K105" s="20">
        <f t="shared" si="4"/>
        <v>13356</v>
      </c>
      <c r="L105" s="20">
        <f t="shared" si="5"/>
        <v>10380.130000000001</v>
      </c>
      <c r="M105" s="13">
        <f t="shared" si="6"/>
        <v>22.281147050014965</v>
      </c>
      <c r="N105" s="4" t="s">
        <v>347</v>
      </c>
    </row>
    <row r="106" spans="1:14" x14ac:dyDescent="0.25">
      <c r="A106" s="23" t="s">
        <v>162</v>
      </c>
      <c r="B106" s="26">
        <f>1611+1208+1611+1208+11283+1805</f>
        <v>18726</v>
      </c>
      <c r="C106" s="4" t="s">
        <v>238</v>
      </c>
      <c r="D106" s="24">
        <f>4695.78+11088.69+1774.1</f>
        <v>17558.57</v>
      </c>
      <c r="E106" s="24"/>
      <c r="F106" s="4"/>
      <c r="G106" s="27"/>
      <c r="H106" s="24"/>
      <c r="I106" s="4"/>
      <c r="J106" s="24"/>
      <c r="K106" s="20">
        <f t="shared" si="4"/>
        <v>18726</v>
      </c>
      <c r="L106" s="20">
        <f t="shared" si="5"/>
        <v>17558.57</v>
      </c>
      <c r="M106" s="13">
        <f t="shared" si="6"/>
        <v>6.2342732030332115</v>
      </c>
      <c r="N106" s="4"/>
    </row>
    <row r="107" spans="1:14" x14ac:dyDescent="0.25">
      <c r="A107" s="23" t="s">
        <v>163</v>
      </c>
      <c r="B107" s="26">
        <f>2567+2567+19989</f>
        <v>25123</v>
      </c>
      <c r="C107" s="4" t="s">
        <v>238</v>
      </c>
      <c r="D107" s="24">
        <f>2942.52+1839.64+19643.92</f>
        <v>24426.079999999998</v>
      </c>
      <c r="E107" s="24"/>
      <c r="F107" s="4"/>
      <c r="G107" s="27"/>
      <c r="H107" s="24">
        <f>4491.9+1796.8</f>
        <v>6288.7</v>
      </c>
      <c r="I107" s="4" t="s">
        <v>348</v>
      </c>
      <c r="J107" s="24">
        <f>1224.21+714.16+4466.89</f>
        <v>6405.26</v>
      </c>
      <c r="K107" s="20">
        <f t="shared" si="4"/>
        <v>31411.7</v>
      </c>
      <c r="L107" s="20">
        <f t="shared" si="5"/>
        <v>30831.339999999997</v>
      </c>
      <c r="M107" s="13">
        <f t="shared" si="6"/>
        <v>1.8475918208820445</v>
      </c>
      <c r="N107" s="4"/>
    </row>
    <row r="108" spans="1:14" x14ac:dyDescent="0.25">
      <c r="A108" s="23" t="s">
        <v>164</v>
      </c>
      <c r="B108" s="26">
        <f>1786+1143+2277+1821</f>
        <v>7027</v>
      </c>
      <c r="C108" s="4" t="s">
        <v>238</v>
      </c>
      <c r="D108" s="24">
        <v>7062.92</v>
      </c>
      <c r="E108" s="24"/>
      <c r="F108" s="4"/>
      <c r="G108" s="27"/>
      <c r="H108" s="24"/>
      <c r="I108" s="4"/>
      <c r="J108" s="24"/>
      <c r="K108" s="20">
        <f t="shared" si="4"/>
        <v>7027</v>
      </c>
      <c r="L108" s="20">
        <f t="shared" si="5"/>
        <v>7062.92</v>
      </c>
      <c r="M108" s="13">
        <f t="shared" si="6"/>
        <v>-0.51117119681229894</v>
      </c>
      <c r="N108" s="4" t="s">
        <v>344</v>
      </c>
    </row>
    <row r="109" spans="1:14" x14ac:dyDescent="0.25">
      <c r="A109" s="23" t="s">
        <v>172</v>
      </c>
      <c r="B109" s="26">
        <f>1786+1143+2277+1821</f>
        <v>7027</v>
      </c>
      <c r="C109" s="4" t="s">
        <v>238</v>
      </c>
      <c r="D109" s="24">
        <v>7062.92</v>
      </c>
      <c r="E109" s="24"/>
      <c r="F109" s="4"/>
      <c r="G109" s="27"/>
      <c r="H109" s="24"/>
      <c r="I109" s="4"/>
      <c r="J109" s="24"/>
      <c r="K109" s="20">
        <f t="shared" si="4"/>
        <v>7027</v>
      </c>
      <c r="L109" s="20">
        <f t="shared" si="5"/>
        <v>7062.92</v>
      </c>
      <c r="M109" s="13">
        <f t="shared" si="6"/>
        <v>-0.51117119681229894</v>
      </c>
      <c r="N109" s="4" t="s">
        <v>344</v>
      </c>
    </row>
    <row r="110" spans="1:14" x14ac:dyDescent="0.25">
      <c r="A110" s="23" t="s">
        <v>173</v>
      </c>
      <c r="B110" s="8">
        <v>1300</v>
      </c>
      <c r="C110" s="4" t="s">
        <v>324</v>
      </c>
      <c r="D110" s="24">
        <v>950</v>
      </c>
      <c r="E110" s="24">
        <f>395+395</f>
        <v>790</v>
      </c>
      <c r="F110" s="4" t="s">
        <v>146</v>
      </c>
      <c r="G110" s="27">
        <v>436</v>
      </c>
      <c r="H110" s="24"/>
      <c r="I110" s="4"/>
      <c r="J110" s="24"/>
      <c r="K110" s="20">
        <f t="shared" si="4"/>
        <v>2090</v>
      </c>
      <c r="L110" s="20">
        <f t="shared" si="5"/>
        <v>1386</v>
      </c>
      <c r="M110" s="13">
        <f t="shared" si="6"/>
        <v>33.684210526315795</v>
      </c>
      <c r="N110" s="4"/>
    </row>
    <row r="111" spans="1:14" x14ac:dyDescent="0.25">
      <c r="A111" s="23" t="s">
        <v>174</v>
      </c>
      <c r="B111" s="26">
        <f>19284+402+3230.1+2142.4+1450</f>
        <v>26508.5</v>
      </c>
      <c r="C111" s="4" t="s">
        <v>270</v>
      </c>
      <c r="D111" s="24">
        <v>26275.26</v>
      </c>
      <c r="E111" s="24">
        <v>8298</v>
      </c>
      <c r="F111" s="4" t="s">
        <v>212</v>
      </c>
      <c r="G111" s="27">
        <v>8857</v>
      </c>
      <c r="H111" s="24">
        <f>4330+650+10711</f>
        <v>15691</v>
      </c>
      <c r="I111" s="4" t="s">
        <v>350</v>
      </c>
      <c r="J111" s="24">
        <f>3640+4594+795</f>
        <v>9029</v>
      </c>
      <c r="K111" s="20">
        <f t="shared" si="4"/>
        <v>50497.5</v>
      </c>
      <c r="L111" s="20">
        <f t="shared" si="5"/>
        <v>44161.259999999995</v>
      </c>
      <c r="M111" s="13">
        <f t="shared" si="6"/>
        <v>12.547631070845114</v>
      </c>
      <c r="N111" s="4" t="s">
        <v>351</v>
      </c>
    </row>
    <row r="112" spans="1:14" x14ac:dyDescent="0.25">
      <c r="A112" s="23" t="s">
        <v>183</v>
      </c>
      <c r="B112" s="26">
        <v>5329</v>
      </c>
      <c r="C112" s="4" t="s">
        <v>352</v>
      </c>
      <c r="D112" s="24">
        <v>2801</v>
      </c>
      <c r="E112" s="24"/>
      <c r="F112" s="4"/>
      <c r="G112" s="27"/>
      <c r="H112" s="24"/>
      <c r="I112" s="4"/>
      <c r="J112" s="53"/>
      <c r="K112" s="20">
        <f t="shared" si="4"/>
        <v>5329</v>
      </c>
      <c r="L112" s="20">
        <f t="shared" si="5"/>
        <v>2801</v>
      </c>
      <c r="M112" s="13">
        <f t="shared" si="6"/>
        <v>47.438543816851194</v>
      </c>
      <c r="N112" s="4"/>
    </row>
    <row r="113" spans="1:14" x14ac:dyDescent="0.25">
      <c r="A113" s="23" t="s">
        <v>184</v>
      </c>
      <c r="B113" s="26">
        <v>3920</v>
      </c>
      <c r="C113" s="4" t="s">
        <v>353</v>
      </c>
      <c r="D113" s="24">
        <v>790</v>
      </c>
      <c r="E113" s="24"/>
      <c r="F113" s="4"/>
      <c r="G113" s="27"/>
      <c r="H113" s="24"/>
      <c r="I113" s="4"/>
      <c r="J113" s="24"/>
      <c r="K113" s="20">
        <f>B113+E113+H113</f>
        <v>3920</v>
      </c>
      <c r="L113" s="20">
        <f t="shared" si="5"/>
        <v>790</v>
      </c>
      <c r="M113" s="13">
        <f t="shared" si="6"/>
        <v>79.84693877551021</v>
      </c>
      <c r="N113" s="4"/>
    </row>
    <row r="114" spans="1:14" x14ac:dyDescent="0.25">
      <c r="A114" s="23" t="s">
        <v>185</v>
      </c>
      <c r="B114" s="26"/>
      <c r="C114" s="4"/>
      <c r="D114" s="24"/>
      <c r="E114" s="24">
        <f>1650+1650</f>
        <v>3300</v>
      </c>
      <c r="F114" s="4" t="s">
        <v>146</v>
      </c>
      <c r="G114" s="27">
        <v>3331.9</v>
      </c>
      <c r="H114" s="24">
        <f>1066+355</f>
        <v>1421</v>
      </c>
      <c r="I114" s="4" t="s">
        <v>354</v>
      </c>
      <c r="J114" s="24">
        <f>1015.59</f>
        <v>1015.59</v>
      </c>
      <c r="K114" s="20">
        <f t="shared" si="4"/>
        <v>4721</v>
      </c>
      <c r="L114" s="20">
        <f t="shared" si="5"/>
        <v>4347.49</v>
      </c>
      <c r="M114" s="13">
        <f t="shared" si="6"/>
        <v>7.9116712560898179</v>
      </c>
      <c r="N114" s="4"/>
    </row>
    <row r="115" spans="1:14" x14ac:dyDescent="0.25">
      <c r="A115" s="23" t="s">
        <v>288</v>
      </c>
      <c r="B115" s="26">
        <f>5990+3600</f>
        <v>9590</v>
      </c>
      <c r="C115" s="4" t="s">
        <v>355</v>
      </c>
      <c r="D115" s="24">
        <f>5386.25+1529</f>
        <v>6915.25</v>
      </c>
      <c r="E115" s="24"/>
      <c r="F115" s="4"/>
      <c r="G115" s="27"/>
      <c r="H115" s="24"/>
      <c r="I115" s="4"/>
      <c r="J115" s="24"/>
      <c r="K115" s="20">
        <f t="shared" si="4"/>
        <v>9590</v>
      </c>
      <c r="L115" s="20">
        <f t="shared" si="5"/>
        <v>6915.25</v>
      </c>
      <c r="M115" s="13">
        <f t="shared" si="6"/>
        <v>27.891032325338898</v>
      </c>
      <c r="N115" s="4"/>
    </row>
    <row r="116" spans="1:14" x14ac:dyDescent="0.25">
      <c r="A116" s="23" t="s">
        <v>289</v>
      </c>
      <c r="B116" s="26">
        <f>5990+3600</f>
        <v>9590</v>
      </c>
      <c r="C116" s="4" t="s">
        <v>355</v>
      </c>
      <c r="D116" s="24">
        <f>5386.25+1529</f>
        <v>6915.25</v>
      </c>
      <c r="E116" s="24"/>
      <c r="F116" s="4"/>
      <c r="G116" s="27"/>
      <c r="H116" s="24"/>
      <c r="I116" s="4"/>
      <c r="J116" s="24"/>
      <c r="K116" s="20">
        <f t="shared" si="4"/>
        <v>9590</v>
      </c>
      <c r="L116" s="20">
        <f t="shared" si="5"/>
        <v>6915.25</v>
      </c>
      <c r="M116" s="13">
        <f t="shared" si="6"/>
        <v>27.891032325338898</v>
      </c>
      <c r="N116" s="4"/>
    </row>
    <row r="117" spans="1:14" x14ac:dyDescent="0.25">
      <c r="A117" s="23" t="s">
        <v>290</v>
      </c>
      <c r="B117" s="26">
        <f>2125</f>
        <v>2125</v>
      </c>
      <c r="C117" s="4" t="s">
        <v>356</v>
      </c>
      <c r="D117" s="24">
        <f>1433.33</f>
        <v>1433.33</v>
      </c>
      <c r="E117" s="24"/>
      <c r="F117" s="4"/>
      <c r="G117" s="27"/>
      <c r="H117" s="24"/>
      <c r="I117" s="4"/>
      <c r="J117" s="24"/>
      <c r="K117" s="20">
        <f t="shared" si="4"/>
        <v>2125</v>
      </c>
      <c r="L117" s="20">
        <f t="shared" si="5"/>
        <v>1433.33</v>
      </c>
      <c r="M117" s="13">
        <f t="shared" si="6"/>
        <v>32.549176470588236</v>
      </c>
      <c r="N117" s="4"/>
    </row>
    <row r="118" spans="1:14" x14ac:dyDescent="0.25">
      <c r="A118" s="23" t="s">
        <v>291</v>
      </c>
      <c r="B118" s="26">
        <f>2125</f>
        <v>2125</v>
      </c>
      <c r="C118" s="4" t="s">
        <v>356</v>
      </c>
      <c r="D118" s="24">
        <f>1433.33</f>
        <v>1433.33</v>
      </c>
      <c r="E118" s="24"/>
      <c r="F118" s="4"/>
      <c r="G118" s="27"/>
      <c r="H118" s="24"/>
      <c r="I118" s="4"/>
      <c r="J118" s="24"/>
      <c r="K118" s="20">
        <f t="shared" si="4"/>
        <v>2125</v>
      </c>
      <c r="L118" s="20">
        <f t="shared" si="5"/>
        <v>1433.33</v>
      </c>
      <c r="M118" s="13">
        <f t="shared" si="6"/>
        <v>32.549176470588236</v>
      </c>
      <c r="N118" s="4"/>
    </row>
    <row r="119" spans="1:14" x14ac:dyDescent="0.25">
      <c r="A119" s="23" t="s">
        <v>292</v>
      </c>
      <c r="B119" s="26">
        <f>4710+1625</f>
        <v>6335</v>
      </c>
      <c r="C119" s="4" t="s">
        <v>355</v>
      </c>
      <c r="D119" s="24">
        <f>4031.25+1389.6</f>
        <v>5420.85</v>
      </c>
      <c r="E119" s="24"/>
      <c r="F119" s="4"/>
      <c r="G119" s="27"/>
      <c r="H119" s="24"/>
      <c r="I119" s="4"/>
      <c r="J119" s="24"/>
      <c r="K119" s="20">
        <f t="shared" si="4"/>
        <v>6335</v>
      </c>
      <c r="L119" s="20">
        <f t="shared" si="5"/>
        <v>5420.85</v>
      </c>
      <c r="M119" s="13">
        <f t="shared" si="6"/>
        <v>14.430149960536696</v>
      </c>
      <c r="N119" s="4"/>
    </row>
    <row r="120" spans="1:14" x14ac:dyDescent="0.25">
      <c r="A120" s="23" t="s">
        <v>293</v>
      </c>
      <c r="B120" s="26">
        <f>11980+4500+445+100+690+2125</f>
        <v>19840</v>
      </c>
      <c r="C120" s="4" t="s">
        <v>355</v>
      </c>
      <c r="D120" s="24">
        <f>1433.34+4438.2+6807.6+573.18+107.31+550</f>
        <v>13909.63</v>
      </c>
      <c r="E120" s="24"/>
      <c r="F120" s="4"/>
      <c r="G120" s="27"/>
      <c r="H120" s="24"/>
      <c r="I120" s="4"/>
      <c r="J120" s="24"/>
      <c r="K120" s="20">
        <f t="shared" si="4"/>
        <v>19840</v>
      </c>
      <c r="L120" s="20">
        <f t="shared" si="5"/>
        <v>13909.63</v>
      </c>
      <c r="M120" s="13">
        <f t="shared" si="6"/>
        <v>29.890977822580652</v>
      </c>
      <c r="N120" s="4"/>
    </row>
    <row r="121" spans="1:14" x14ac:dyDescent="0.25">
      <c r="A121" s="23" t="s">
        <v>317</v>
      </c>
      <c r="B121" s="8">
        <v>525</v>
      </c>
      <c r="C121" s="4" t="s">
        <v>324</v>
      </c>
      <c r="D121" s="24">
        <v>933.36</v>
      </c>
      <c r="E121" s="24">
        <f>188+188</f>
        <v>376</v>
      </c>
      <c r="F121" s="4" t="s">
        <v>146</v>
      </c>
      <c r="G121" s="27">
        <v>185</v>
      </c>
      <c r="H121" s="24"/>
      <c r="I121" s="4"/>
      <c r="J121" s="24"/>
      <c r="K121" s="20">
        <f t="shared" ref="K121:K132" si="8">B121+E121+H121</f>
        <v>901</v>
      </c>
      <c r="L121" s="20">
        <f t="shared" ref="L121:L132" si="9">D121+G121+J121</f>
        <v>1118.3600000000001</v>
      </c>
      <c r="M121" s="13">
        <f t="shared" ref="M121:M132" si="10">100-L121*100/K121</f>
        <v>-24.124306326304122</v>
      </c>
      <c r="N121" s="4"/>
    </row>
    <row r="122" spans="1:14" x14ac:dyDescent="0.25">
      <c r="A122" s="23" t="s">
        <v>318</v>
      </c>
      <c r="B122" s="26">
        <v>4831</v>
      </c>
      <c r="C122" s="4" t="s">
        <v>270</v>
      </c>
      <c r="D122" s="24">
        <v>4835</v>
      </c>
      <c r="E122" s="24">
        <f>6009+6009</f>
        <v>12018</v>
      </c>
      <c r="F122" s="4" t="s">
        <v>212</v>
      </c>
      <c r="G122" s="27">
        <f>9256+2100</f>
        <v>11356</v>
      </c>
      <c r="H122" s="24">
        <f>5988+3760</f>
        <v>9748</v>
      </c>
      <c r="I122" s="4" t="s">
        <v>208</v>
      </c>
      <c r="J122" s="24">
        <f>6006+2100</f>
        <v>8106</v>
      </c>
      <c r="K122" s="20">
        <f t="shared" si="8"/>
        <v>26597</v>
      </c>
      <c r="L122" s="20">
        <f t="shared" si="9"/>
        <v>24297</v>
      </c>
      <c r="M122" s="13">
        <f t="shared" si="10"/>
        <v>8.6475918336654445</v>
      </c>
      <c r="N122" s="4"/>
    </row>
    <row r="123" spans="1:14" x14ac:dyDescent="0.25">
      <c r="A123" s="23" t="s">
        <v>319</v>
      </c>
      <c r="B123" s="26">
        <f>3131+4437+4697+500</f>
        <v>12765</v>
      </c>
      <c r="C123" s="4" t="s">
        <v>270</v>
      </c>
      <c r="D123" s="24">
        <v>16287</v>
      </c>
      <c r="E123" s="24">
        <v>26910</v>
      </c>
      <c r="F123" s="4" t="s">
        <v>212</v>
      </c>
      <c r="G123" s="27">
        <v>17926</v>
      </c>
      <c r="H123" s="24"/>
      <c r="I123" s="4"/>
      <c r="J123" s="24"/>
      <c r="K123" s="20">
        <f t="shared" si="8"/>
        <v>39675</v>
      </c>
      <c r="L123" s="20">
        <f t="shared" si="9"/>
        <v>34213</v>
      </c>
      <c r="M123" s="13">
        <f t="shared" si="10"/>
        <v>13.766855702583484</v>
      </c>
      <c r="N123" s="4" t="s">
        <v>368</v>
      </c>
    </row>
    <row r="124" spans="1:14" x14ac:dyDescent="0.25">
      <c r="A124" s="23" t="s">
        <v>320</v>
      </c>
      <c r="B124" s="47"/>
      <c r="C124" s="4"/>
      <c r="D124" s="47"/>
      <c r="E124" s="24"/>
      <c r="F124" s="4"/>
      <c r="G124" s="27"/>
      <c r="H124" s="24"/>
      <c r="I124" s="4"/>
      <c r="J124" s="24"/>
      <c r="K124" s="20">
        <f t="shared" si="8"/>
        <v>0</v>
      </c>
      <c r="L124" s="20">
        <f t="shared" si="9"/>
        <v>0</v>
      </c>
      <c r="M124" s="13" t="e">
        <f t="shared" si="10"/>
        <v>#DIV/0!</v>
      </c>
      <c r="N124" s="4"/>
    </row>
    <row r="125" spans="1:14" x14ac:dyDescent="0.25">
      <c r="A125" s="23" t="s">
        <v>357</v>
      </c>
      <c r="B125" s="26">
        <f>3321+1440</f>
        <v>4761</v>
      </c>
      <c r="C125" s="4" t="s">
        <v>270</v>
      </c>
      <c r="D125" s="24">
        <v>4899.6099999999997</v>
      </c>
      <c r="E125" s="24">
        <v>4300</v>
      </c>
      <c r="F125" s="4" t="s">
        <v>212</v>
      </c>
      <c r="G125" s="27">
        <f>3423+602.5</f>
        <v>4025.5</v>
      </c>
      <c r="H125" s="24">
        <f>3611+125</f>
        <v>3736</v>
      </c>
      <c r="I125" s="4" t="s">
        <v>359</v>
      </c>
      <c r="J125" s="24">
        <v>3736</v>
      </c>
      <c r="K125" s="20">
        <f t="shared" si="8"/>
        <v>12797</v>
      </c>
      <c r="L125" s="20">
        <f t="shared" si="9"/>
        <v>12661.11</v>
      </c>
      <c r="M125" s="13">
        <f t="shared" si="10"/>
        <v>1.0618895053528234</v>
      </c>
      <c r="N125" s="4"/>
    </row>
    <row r="126" spans="1:14" x14ac:dyDescent="0.25">
      <c r="A126" s="23" t="s">
        <v>358</v>
      </c>
      <c r="B126" s="26">
        <f>3321+1440</f>
        <v>4761</v>
      </c>
      <c r="C126" s="4" t="s">
        <v>270</v>
      </c>
      <c r="D126" s="24">
        <v>4899.6099999999997</v>
      </c>
      <c r="E126" s="24">
        <v>4300</v>
      </c>
      <c r="F126" s="4" t="s">
        <v>212</v>
      </c>
      <c r="G126" s="27">
        <f>3423+602.5</f>
        <v>4025.5</v>
      </c>
      <c r="H126" s="24">
        <f>3611+125</f>
        <v>3736</v>
      </c>
      <c r="I126" s="4" t="s">
        <v>359</v>
      </c>
      <c r="J126" s="24">
        <v>3736</v>
      </c>
      <c r="K126" s="20">
        <f t="shared" si="8"/>
        <v>12797</v>
      </c>
      <c r="L126" s="20">
        <f t="shared" si="9"/>
        <v>12661.11</v>
      </c>
      <c r="M126" s="13">
        <f t="shared" si="10"/>
        <v>1.0618895053528234</v>
      </c>
      <c r="N126" s="4"/>
    </row>
    <row r="127" spans="1:14" x14ac:dyDescent="0.25">
      <c r="A127" s="23" t="s">
        <v>360</v>
      </c>
      <c r="B127" s="26">
        <f>1930</f>
        <v>1930</v>
      </c>
      <c r="C127" s="4" t="s">
        <v>270</v>
      </c>
      <c r="D127" s="24">
        <v>1859.5350000000001</v>
      </c>
      <c r="E127" s="24">
        <f>927+927</f>
        <v>1854</v>
      </c>
      <c r="F127" s="4" t="s">
        <v>212</v>
      </c>
      <c r="G127" s="27">
        <f>712+712</f>
        <v>1424</v>
      </c>
      <c r="H127" s="24">
        <v>1450</v>
      </c>
      <c r="I127" s="4" t="s">
        <v>263</v>
      </c>
      <c r="J127" s="24">
        <v>1323</v>
      </c>
      <c r="K127" s="20">
        <f t="shared" si="8"/>
        <v>5234</v>
      </c>
      <c r="L127" s="20">
        <f t="shared" si="9"/>
        <v>4606.5349999999999</v>
      </c>
      <c r="M127" s="13">
        <f t="shared" si="10"/>
        <v>11.988249904470763</v>
      </c>
      <c r="N127" s="4"/>
    </row>
    <row r="128" spans="1:14" x14ac:dyDescent="0.25">
      <c r="A128" s="23" t="s">
        <v>361</v>
      </c>
      <c r="B128" s="26">
        <f>1930</f>
        <v>1930</v>
      </c>
      <c r="C128" s="4" t="s">
        <v>270</v>
      </c>
      <c r="D128" s="24">
        <v>1859.5350000000001</v>
      </c>
      <c r="E128" s="24">
        <f>927+927</f>
        <v>1854</v>
      </c>
      <c r="F128" s="4" t="s">
        <v>212</v>
      </c>
      <c r="G128" s="27">
        <f>712+712</f>
        <v>1424</v>
      </c>
      <c r="H128" s="24">
        <v>1450</v>
      </c>
      <c r="I128" s="4" t="s">
        <v>263</v>
      </c>
      <c r="J128" s="24">
        <v>1323</v>
      </c>
      <c r="K128" s="20">
        <f t="shared" si="8"/>
        <v>5234</v>
      </c>
      <c r="L128" s="20">
        <f t="shared" si="9"/>
        <v>4606.5349999999999</v>
      </c>
      <c r="M128" s="13">
        <f t="shared" si="10"/>
        <v>11.988249904470763</v>
      </c>
      <c r="N128" s="4"/>
    </row>
    <row r="129" spans="1:14" x14ac:dyDescent="0.25">
      <c r="A129" s="23" t="s">
        <v>362</v>
      </c>
      <c r="B129" s="26">
        <f>532</f>
        <v>532</v>
      </c>
      <c r="C129" s="4" t="s">
        <v>365</v>
      </c>
      <c r="D129" s="24">
        <v>85</v>
      </c>
      <c r="E129" s="24">
        <f>315+315</f>
        <v>630</v>
      </c>
      <c r="F129" s="4" t="s">
        <v>212</v>
      </c>
      <c r="G129" s="27">
        <f>630</f>
        <v>630</v>
      </c>
      <c r="H129" s="24">
        <v>3450</v>
      </c>
      <c r="I129" s="4" t="s">
        <v>364</v>
      </c>
      <c r="J129" s="24">
        <f>3179+230</f>
        <v>3409</v>
      </c>
      <c r="K129" s="20">
        <f t="shared" si="8"/>
        <v>4612</v>
      </c>
      <c r="L129" s="20">
        <f t="shared" si="9"/>
        <v>4124</v>
      </c>
      <c r="M129" s="13">
        <f t="shared" si="10"/>
        <v>10.581092801387683</v>
      </c>
      <c r="N129" s="4"/>
    </row>
    <row r="130" spans="1:14" x14ac:dyDescent="0.25">
      <c r="A130" s="23" t="s">
        <v>363</v>
      </c>
      <c r="B130" s="26">
        <f>7129+2228</f>
        <v>9357</v>
      </c>
      <c r="C130" s="4" t="s">
        <v>270</v>
      </c>
      <c r="D130" s="24">
        <v>8885.7000000000007</v>
      </c>
      <c r="E130" s="24">
        <f>2280+2280</f>
        <v>4560</v>
      </c>
      <c r="F130" s="4" t="s">
        <v>212</v>
      </c>
      <c r="G130" s="27">
        <v>4931.58</v>
      </c>
      <c r="H130" s="24"/>
      <c r="I130" s="4"/>
      <c r="J130" s="24"/>
      <c r="K130" s="20">
        <f t="shared" si="8"/>
        <v>13917</v>
      </c>
      <c r="L130" s="20">
        <f t="shared" si="9"/>
        <v>13817.28</v>
      </c>
      <c r="M130" s="13">
        <f t="shared" si="10"/>
        <v>0.71653373571891166</v>
      </c>
      <c r="N130" s="4"/>
    </row>
    <row r="131" spans="1:14" x14ac:dyDescent="0.25">
      <c r="A131" s="23" t="s">
        <v>366</v>
      </c>
      <c r="B131" s="26">
        <f>954+715+2835+1334+9062+3168</f>
        <v>18068</v>
      </c>
      <c r="C131" s="4" t="s">
        <v>238</v>
      </c>
      <c r="D131" s="24">
        <v>16408.28</v>
      </c>
      <c r="E131" s="24"/>
      <c r="F131" s="4"/>
      <c r="G131" s="27"/>
      <c r="H131" s="24"/>
      <c r="I131" s="4"/>
      <c r="J131" s="24"/>
      <c r="K131" s="20">
        <f t="shared" si="8"/>
        <v>18068</v>
      </c>
      <c r="L131" s="20">
        <f t="shared" si="9"/>
        <v>16408.28</v>
      </c>
      <c r="M131" s="13">
        <f t="shared" si="10"/>
        <v>9.1859641354881489</v>
      </c>
      <c r="N131" s="4" t="s">
        <v>345</v>
      </c>
    </row>
    <row r="132" spans="1:14" x14ac:dyDescent="0.25">
      <c r="A132" s="23" t="s">
        <v>367</v>
      </c>
      <c r="B132" s="26">
        <f>954+715+2835+1334+9062+3168</f>
        <v>18068</v>
      </c>
      <c r="C132" s="4" t="s">
        <v>238</v>
      </c>
      <c r="D132" s="24">
        <v>16408.28</v>
      </c>
      <c r="E132" s="24"/>
      <c r="F132" s="4"/>
      <c r="G132" s="27"/>
      <c r="H132" s="24"/>
      <c r="I132" s="4"/>
      <c r="J132" s="24"/>
      <c r="K132" s="20">
        <f t="shared" si="8"/>
        <v>18068</v>
      </c>
      <c r="L132" s="20">
        <f t="shared" si="9"/>
        <v>16408.28</v>
      </c>
      <c r="M132" s="13">
        <f t="shared" si="10"/>
        <v>9.1859641354881489</v>
      </c>
      <c r="N132" s="4" t="s">
        <v>345</v>
      </c>
    </row>
    <row r="133" spans="1:14" x14ac:dyDescent="0.25">
      <c r="A133" s="23"/>
      <c r="B133" s="8"/>
      <c r="C133" s="4"/>
      <c r="D133" s="24"/>
      <c r="E133" s="24"/>
      <c r="F133" s="4"/>
      <c r="G133" s="27"/>
      <c r="H133" s="24"/>
      <c r="I133" s="4"/>
      <c r="J133" s="24"/>
      <c r="K133" s="20"/>
      <c r="L133" s="20"/>
      <c r="M133" s="13"/>
      <c r="N133" s="4"/>
    </row>
    <row r="134" spans="1:14" x14ac:dyDescent="0.25">
      <c r="A134" s="23"/>
      <c r="B134" s="8"/>
      <c r="C134" s="4"/>
      <c r="D134" s="24"/>
      <c r="E134" s="24"/>
      <c r="F134" s="4"/>
      <c r="G134" s="15"/>
      <c r="H134" s="9"/>
      <c r="I134" s="4"/>
      <c r="J134" s="24"/>
      <c r="K134" s="39">
        <f>SUM(K2:K133)</f>
        <v>1546925.2</v>
      </c>
      <c r="L134" s="39">
        <f>SUM(L2:L133)</f>
        <v>1373473.3800000013</v>
      </c>
      <c r="M134" s="49">
        <f>100-L134*100/K134</f>
        <v>11.2126830696144</v>
      </c>
      <c r="N134" s="50">
        <f>K134-L134</f>
        <v>173451.81999999867</v>
      </c>
    </row>
    <row r="138" spans="1:14" ht="30" x14ac:dyDescent="0.25">
      <c r="A138" s="2" t="s">
        <v>0</v>
      </c>
      <c r="B138" s="3" t="s">
        <v>2</v>
      </c>
      <c r="C138" s="3" t="s">
        <v>9</v>
      </c>
      <c r="D138" s="3" t="s">
        <v>3</v>
      </c>
      <c r="E138" s="3" t="s">
        <v>4</v>
      </c>
      <c r="F138" s="7" t="s">
        <v>9</v>
      </c>
      <c r="G138" s="3" t="s">
        <v>5</v>
      </c>
      <c r="H138" s="3" t="s">
        <v>252</v>
      </c>
      <c r="I138" s="7" t="s">
        <v>9</v>
      </c>
      <c r="J138" s="3" t="s">
        <v>253</v>
      </c>
      <c r="K138" s="5" t="s">
        <v>10</v>
      </c>
      <c r="L138" s="5" t="s">
        <v>11</v>
      </c>
      <c r="M138" s="12" t="s">
        <v>61</v>
      </c>
      <c r="N138" s="34"/>
    </row>
    <row r="139" spans="1:14" x14ac:dyDescent="0.25">
      <c r="A139" s="23" t="s">
        <v>77</v>
      </c>
      <c r="B139" s="26">
        <f>3011+1505+295</f>
        <v>4811</v>
      </c>
      <c r="C139" s="4" t="s">
        <v>136</v>
      </c>
      <c r="D139" s="24">
        <v>3866.3</v>
      </c>
      <c r="E139" s="24">
        <f>1648+1648+1618+3000</f>
        <v>7914</v>
      </c>
      <c r="F139" s="4" t="s">
        <v>338</v>
      </c>
      <c r="G139" s="27">
        <f>1406+1406+1759+3375</f>
        <v>7946</v>
      </c>
      <c r="H139" s="24">
        <v>3600</v>
      </c>
      <c r="I139" s="4" t="s">
        <v>236</v>
      </c>
      <c r="J139" s="24">
        <v>3475</v>
      </c>
      <c r="K139" s="20">
        <f t="shared" ref="K139:K148" si="11">B139+E139+H139</f>
        <v>16325</v>
      </c>
      <c r="L139" s="20">
        <f t="shared" ref="L139:L151" si="12">D139+G139+J139</f>
        <v>15287.3</v>
      </c>
      <c r="M139" s="13">
        <f t="shared" ref="M139:M148" si="13">100-L139*100/K139</f>
        <v>6.3565084226646178</v>
      </c>
      <c r="N139" s="4"/>
    </row>
    <row r="140" spans="1:14" x14ac:dyDescent="0.25">
      <c r="A140" s="23" t="s">
        <v>78</v>
      </c>
      <c r="B140" s="26">
        <f>3011+1505+295</f>
        <v>4811</v>
      </c>
      <c r="C140" s="4" t="s">
        <v>136</v>
      </c>
      <c r="D140" s="24">
        <v>3866.3</v>
      </c>
      <c r="E140" s="24">
        <f>1648+1648+1618+3000</f>
        <v>7914</v>
      </c>
      <c r="F140" s="4" t="s">
        <v>338</v>
      </c>
      <c r="G140" s="27">
        <f>1406+1406+1759+3375</f>
        <v>7946</v>
      </c>
      <c r="H140" s="24">
        <v>3600</v>
      </c>
      <c r="I140" s="4" t="s">
        <v>236</v>
      </c>
      <c r="J140" s="24">
        <v>3475</v>
      </c>
      <c r="K140" s="20">
        <f t="shared" si="11"/>
        <v>16325</v>
      </c>
      <c r="L140" s="20">
        <f t="shared" si="12"/>
        <v>15287.3</v>
      </c>
      <c r="M140" s="13">
        <f t="shared" si="13"/>
        <v>6.3565084226646178</v>
      </c>
      <c r="N140" s="4"/>
    </row>
    <row r="141" spans="1:14" x14ac:dyDescent="0.25">
      <c r="A141" s="23" t="s">
        <v>225</v>
      </c>
      <c r="B141" s="26">
        <f>941+2352</f>
        <v>3293</v>
      </c>
      <c r="C141" s="4" t="s">
        <v>330</v>
      </c>
      <c r="D141" s="24">
        <f>738.225+617.4</f>
        <v>1355.625</v>
      </c>
      <c r="E141" s="24">
        <f>1267+455</f>
        <v>1722</v>
      </c>
      <c r="F141" s="4" t="s">
        <v>334</v>
      </c>
      <c r="G141" s="27">
        <f>874+217.42</f>
        <v>1091.42</v>
      </c>
      <c r="H141" s="24">
        <v>1230</v>
      </c>
      <c r="I141" s="4" t="s">
        <v>236</v>
      </c>
      <c r="J141" s="24">
        <v>1180</v>
      </c>
      <c r="K141" s="20">
        <f t="shared" si="11"/>
        <v>6245</v>
      </c>
      <c r="L141" s="20">
        <f t="shared" si="12"/>
        <v>3627.0450000000001</v>
      </c>
      <c r="M141" s="13">
        <f t="shared" si="13"/>
        <v>41.92081665332266</v>
      </c>
      <c r="N141" s="4"/>
    </row>
    <row r="142" spans="1:14" x14ac:dyDescent="0.25">
      <c r="A142" s="23" t="s">
        <v>226</v>
      </c>
      <c r="B142" s="26">
        <f>941+2352</f>
        <v>3293</v>
      </c>
      <c r="C142" s="4" t="s">
        <v>330</v>
      </c>
      <c r="D142" s="24">
        <f>738.225+617.4</f>
        <v>1355.625</v>
      </c>
      <c r="E142" s="24">
        <f>1267+455</f>
        <v>1722</v>
      </c>
      <c r="F142" s="4" t="s">
        <v>334</v>
      </c>
      <c r="G142" s="27">
        <f>874+217.42</f>
        <v>1091.42</v>
      </c>
      <c r="H142" s="24">
        <v>1230</v>
      </c>
      <c r="I142" s="4" t="s">
        <v>236</v>
      </c>
      <c r="J142" s="24">
        <v>1180</v>
      </c>
      <c r="K142" s="20">
        <f t="shared" si="11"/>
        <v>6245</v>
      </c>
      <c r="L142" s="20">
        <f t="shared" si="12"/>
        <v>3627.0450000000001</v>
      </c>
      <c r="M142" s="13">
        <f t="shared" si="13"/>
        <v>41.92081665332266</v>
      </c>
      <c r="N142" s="4"/>
    </row>
    <row r="143" spans="1:14" x14ac:dyDescent="0.25">
      <c r="A143" s="23" t="s">
        <v>227</v>
      </c>
      <c r="B143" s="26">
        <f>941+1882</f>
        <v>2823</v>
      </c>
      <c r="C143" s="4" t="s">
        <v>330</v>
      </c>
      <c r="D143" s="24">
        <f>738.225</f>
        <v>738.22500000000002</v>
      </c>
      <c r="E143" s="24">
        <f>1267+2116</f>
        <v>3383</v>
      </c>
      <c r="F143" s="4" t="s">
        <v>336</v>
      </c>
      <c r="G143" s="27">
        <f>874+1759</f>
        <v>2633</v>
      </c>
      <c r="H143" s="24">
        <v>1230</v>
      </c>
      <c r="I143" s="4" t="s">
        <v>236</v>
      </c>
      <c r="J143" s="24">
        <v>1182</v>
      </c>
      <c r="K143" s="20">
        <f t="shared" si="11"/>
        <v>7436</v>
      </c>
      <c r="L143" s="20">
        <f t="shared" si="12"/>
        <v>4553.2250000000004</v>
      </c>
      <c r="M143" s="13">
        <f t="shared" si="13"/>
        <v>38.76781871974179</v>
      </c>
      <c r="N143" s="4"/>
    </row>
    <row r="144" spans="1:14" x14ac:dyDescent="0.25">
      <c r="A144" s="23" t="s">
        <v>176</v>
      </c>
      <c r="B144" s="26">
        <f>941+1882</f>
        <v>2823</v>
      </c>
      <c r="C144" s="4" t="s">
        <v>330</v>
      </c>
      <c r="D144" s="24">
        <f>738.225</f>
        <v>738.22500000000002</v>
      </c>
      <c r="E144" s="24">
        <f>1267+2116</f>
        <v>3383</v>
      </c>
      <c r="F144" s="4" t="s">
        <v>336</v>
      </c>
      <c r="G144" s="27">
        <f>874+1759</f>
        <v>2633</v>
      </c>
      <c r="H144" s="24">
        <v>1230</v>
      </c>
      <c r="I144" s="4" t="s">
        <v>236</v>
      </c>
      <c r="J144" s="24">
        <v>1182</v>
      </c>
      <c r="K144" s="20">
        <f t="shared" si="11"/>
        <v>7436</v>
      </c>
      <c r="L144" s="20">
        <f t="shared" si="12"/>
        <v>4553.2250000000004</v>
      </c>
      <c r="M144" s="13">
        <f t="shared" si="13"/>
        <v>38.76781871974179</v>
      </c>
      <c r="N144" s="4"/>
    </row>
    <row r="145" spans="1:14" x14ac:dyDescent="0.25">
      <c r="A145" s="23" t="s">
        <v>177</v>
      </c>
      <c r="B145" s="26">
        <f>3764</f>
        <v>3764</v>
      </c>
      <c r="C145" s="4" t="s">
        <v>331</v>
      </c>
      <c r="D145" s="24">
        <f>1831.675</f>
        <v>1831.675</v>
      </c>
      <c r="E145" s="24">
        <f>1200+9775</f>
        <v>10975</v>
      </c>
      <c r="F145" s="4" t="s">
        <v>337</v>
      </c>
      <c r="G145" s="27">
        <f>647+7075</f>
        <v>7722</v>
      </c>
      <c r="H145" s="24">
        <v>1250</v>
      </c>
      <c r="I145" s="4" t="s">
        <v>236</v>
      </c>
      <c r="J145" s="24">
        <v>1272</v>
      </c>
      <c r="K145" s="20">
        <f t="shared" si="11"/>
        <v>15989</v>
      </c>
      <c r="L145" s="20">
        <f t="shared" si="12"/>
        <v>10825.674999999999</v>
      </c>
      <c r="M145" s="13">
        <f t="shared" si="13"/>
        <v>32.292982675589471</v>
      </c>
      <c r="N145" s="4"/>
    </row>
    <row r="146" spans="1:14" x14ac:dyDescent="0.25">
      <c r="A146" s="23" t="s">
        <v>86</v>
      </c>
      <c r="B146" s="26">
        <f>3764</f>
        <v>3764</v>
      </c>
      <c r="C146" s="4" t="s">
        <v>331</v>
      </c>
      <c r="D146" s="24">
        <f>1831.675</f>
        <v>1831.675</v>
      </c>
      <c r="E146" s="24">
        <f>1200+9775</f>
        <v>10975</v>
      </c>
      <c r="F146" s="4" t="s">
        <v>337</v>
      </c>
      <c r="G146" s="27">
        <f>647+7075</f>
        <v>7722</v>
      </c>
      <c r="H146" s="24">
        <v>1250</v>
      </c>
      <c r="I146" s="4" t="s">
        <v>236</v>
      </c>
      <c r="J146" s="24">
        <v>1272</v>
      </c>
      <c r="K146" s="20">
        <f t="shared" si="11"/>
        <v>15989</v>
      </c>
      <c r="L146" s="20">
        <f t="shared" si="12"/>
        <v>10825.674999999999</v>
      </c>
      <c r="M146" s="13">
        <f t="shared" si="13"/>
        <v>32.292982675589471</v>
      </c>
      <c r="N146" s="4"/>
    </row>
    <row r="147" spans="1:14" x14ac:dyDescent="0.25">
      <c r="A147" s="23" t="s">
        <v>87</v>
      </c>
      <c r="B147" s="26">
        <f>1882</f>
        <v>1882</v>
      </c>
      <c r="C147" s="4" t="s">
        <v>331</v>
      </c>
      <c r="D147" s="24">
        <f>931.925</f>
        <v>931.92499999999995</v>
      </c>
      <c r="E147" s="24">
        <f>1648+1648+2118+2500</f>
        <v>7914</v>
      </c>
      <c r="F147" s="4" t="s">
        <v>338</v>
      </c>
      <c r="G147" s="27">
        <f>1406+1406+1759+3375</f>
        <v>7946</v>
      </c>
      <c r="H147" s="24">
        <v>1240</v>
      </c>
      <c r="I147" s="4" t="s">
        <v>236</v>
      </c>
      <c r="J147" s="24">
        <v>1239</v>
      </c>
      <c r="K147" s="20">
        <f t="shared" si="11"/>
        <v>11036</v>
      </c>
      <c r="L147" s="20">
        <f t="shared" si="12"/>
        <v>10116.924999999999</v>
      </c>
      <c r="M147" s="14">
        <f t="shared" si="13"/>
        <v>8.3279720913374575</v>
      </c>
      <c r="N147" s="4"/>
    </row>
    <row r="148" spans="1:14" x14ac:dyDescent="0.25">
      <c r="A148" s="23" t="s">
        <v>88</v>
      </c>
      <c r="B148" s="26">
        <f>1882</f>
        <v>1882</v>
      </c>
      <c r="C148" s="4" t="s">
        <v>331</v>
      </c>
      <c r="D148" s="24">
        <f>931.925</f>
        <v>931.92499999999995</v>
      </c>
      <c r="E148" s="24">
        <f>1648+1648+2118+2500</f>
        <v>7914</v>
      </c>
      <c r="F148" s="4" t="s">
        <v>338</v>
      </c>
      <c r="G148" s="27">
        <f>1406+1406+1759+3375</f>
        <v>7946</v>
      </c>
      <c r="H148" s="24">
        <v>1240</v>
      </c>
      <c r="I148" s="4" t="s">
        <v>236</v>
      </c>
      <c r="J148" s="24">
        <v>1239</v>
      </c>
      <c r="K148" s="20">
        <f t="shared" si="11"/>
        <v>11036</v>
      </c>
      <c r="L148" s="20">
        <f t="shared" si="12"/>
        <v>10116.924999999999</v>
      </c>
      <c r="M148" s="13">
        <f t="shared" si="13"/>
        <v>8.3279720913374575</v>
      </c>
      <c r="N148" s="4"/>
    </row>
    <row r="149" spans="1:14" x14ac:dyDescent="0.25">
      <c r="A149" s="23" t="s">
        <v>89</v>
      </c>
      <c r="B149" s="26">
        <f>1553</f>
        <v>1553</v>
      </c>
      <c r="C149" s="4" t="s">
        <v>331</v>
      </c>
      <c r="D149" s="24">
        <f>654.475</f>
        <v>654.47500000000002</v>
      </c>
      <c r="E149" s="24">
        <f>576+576+344+454</f>
        <v>1950</v>
      </c>
      <c r="F149" s="4" t="s">
        <v>335</v>
      </c>
      <c r="G149" s="27">
        <f>405+405+149.38+257.68</f>
        <v>1217.06</v>
      </c>
      <c r="H149" s="24">
        <v>1300</v>
      </c>
      <c r="I149" s="4" t="s">
        <v>236</v>
      </c>
      <c r="J149" s="24">
        <v>1230</v>
      </c>
      <c r="K149" s="20">
        <f>B149+E149+H149</f>
        <v>4803</v>
      </c>
      <c r="L149" s="20">
        <f t="shared" si="12"/>
        <v>3101.5349999999999</v>
      </c>
      <c r="M149" s="13">
        <f>100-L149*100/K149</f>
        <v>35.425046845721425</v>
      </c>
      <c r="N149" s="34"/>
    </row>
    <row r="150" spans="1:14" x14ac:dyDescent="0.25">
      <c r="A150" s="23" t="s">
        <v>90</v>
      </c>
      <c r="B150" s="26">
        <f>1553</f>
        <v>1553</v>
      </c>
      <c r="C150" s="4" t="s">
        <v>331</v>
      </c>
      <c r="D150" s="24">
        <f>654.475</f>
        <v>654.47500000000002</v>
      </c>
      <c r="E150" s="24">
        <f>576+576+344+454</f>
        <v>1950</v>
      </c>
      <c r="F150" s="4" t="s">
        <v>335</v>
      </c>
      <c r="G150" s="27">
        <f>405+405+149.38+257.68</f>
        <v>1217.06</v>
      </c>
      <c r="H150" s="24">
        <v>1300</v>
      </c>
      <c r="I150" s="4" t="s">
        <v>236</v>
      </c>
      <c r="J150" s="24">
        <v>1230</v>
      </c>
      <c r="K150" s="20">
        <f>B150+E150+H150</f>
        <v>4803</v>
      </c>
      <c r="L150" s="20">
        <f t="shared" si="12"/>
        <v>3101.5349999999999</v>
      </c>
      <c r="M150" s="13">
        <f>100-L150*100/K150</f>
        <v>35.425046845721425</v>
      </c>
      <c r="N150" s="34"/>
    </row>
    <row r="151" spans="1:14" x14ac:dyDescent="0.25">
      <c r="A151" s="23" t="s">
        <v>96</v>
      </c>
      <c r="B151" s="26">
        <f>21094+2817</f>
        <v>23911</v>
      </c>
      <c r="C151" s="4" t="s">
        <v>295</v>
      </c>
      <c r="D151" s="24">
        <f>21045+2303</f>
        <v>23348</v>
      </c>
      <c r="E151" s="24">
        <f>16629+16629</f>
        <v>33258</v>
      </c>
      <c r="F151" s="4" t="s">
        <v>146</v>
      </c>
      <c r="G151" s="27">
        <v>31743.34</v>
      </c>
      <c r="H151" s="24">
        <f>6950+5169+3594</f>
        <v>15713</v>
      </c>
      <c r="I151" s="4" t="s">
        <v>329</v>
      </c>
      <c r="J151" s="24">
        <v>16183</v>
      </c>
      <c r="K151" s="20">
        <f>B151+E151+H151</f>
        <v>72882</v>
      </c>
      <c r="L151" s="20">
        <f t="shared" si="12"/>
        <v>71274.34</v>
      </c>
      <c r="M151" s="13">
        <f>100-L151*100/K151</f>
        <v>2.2058395763014147</v>
      </c>
      <c r="N151" s="34"/>
    </row>
    <row r="152" spans="1:14" x14ac:dyDescent="0.25">
      <c r="A152" s="23"/>
      <c r="B152" s="26"/>
      <c r="C152" s="4"/>
      <c r="D152" s="24"/>
      <c r="E152" s="24"/>
      <c r="F152" s="4"/>
      <c r="G152" s="27"/>
      <c r="H152" s="24"/>
      <c r="I152" s="4"/>
      <c r="J152" s="24"/>
      <c r="K152" s="20"/>
      <c r="L152" s="20"/>
      <c r="M152" s="13"/>
      <c r="N152" s="34"/>
    </row>
    <row r="153" spans="1:14" x14ac:dyDescent="0.25">
      <c r="A153" s="23" t="s">
        <v>288</v>
      </c>
      <c r="B153" s="26">
        <f>5990+3600</f>
        <v>9590</v>
      </c>
      <c r="C153" s="4" t="s">
        <v>355</v>
      </c>
      <c r="D153" s="24">
        <f>5386.25+1529</f>
        <v>6915.25</v>
      </c>
      <c r="E153" s="24"/>
      <c r="F153" s="4"/>
      <c r="G153" s="27"/>
      <c r="H153" s="24"/>
      <c r="I153" s="4"/>
      <c r="J153" s="24"/>
      <c r="K153" s="20">
        <f t="shared" ref="K153:K158" si="14">B153+E153+H153</f>
        <v>9590</v>
      </c>
      <c r="L153" s="20">
        <f t="shared" ref="L153:L158" si="15">D153+G153+J153</f>
        <v>6915.25</v>
      </c>
      <c r="M153" s="13">
        <f t="shared" ref="M153:M158" si="16">100-L153*100/K153</f>
        <v>27.891032325338898</v>
      </c>
      <c r="N153" s="4"/>
    </row>
    <row r="154" spans="1:14" x14ac:dyDescent="0.25">
      <c r="A154" s="23" t="s">
        <v>289</v>
      </c>
      <c r="B154" s="26">
        <f>5990+3600</f>
        <v>9590</v>
      </c>
      <c r="C154" s="4" t="s">
        <v>355</v>
      </c>
      <c r="D154" s="24">
        <f>5386.25+1529</f>
        <v>6915.25</v>
      </c>
      <c r="E154" s="24"/>
      <c r="F154" s="4"/>
      <c r="G154" s="27"/>
      <c r="H154" s="24"/>
      <c r="I154" s="4"/>
      <c r="J154" s="24"/>
      <c r="K154" s="20">
        <f t="shared" si="14"/>
        <v>9590</v>
      </c>
      <c r="L154" s="20">
        <f t="shared" si="15"/>
        <v>6915.25</v>
      </c>
      <c r="M154" s="13">
        <f t="shared" si="16"/>
        <v>27.891032325338898</v>
      </c>
      <c r="N154" s="4"/>
    </row>
    <row r="155" spans="1:14" x14ac:dyDescent="0.25">
      <c r="A155" s="23" t="s">
        <v>290</v>
      </c>
      <c r="B155" s="26">
        <f>2125</f>
        <v>2125</v>
      </c>
      <c r="C155" s="4" t="s">
        <v>356</v>
      </c>
      <c r="D155" s="24">
        <f>1433.33</f>
        <v>1433.33</v>
      </c>
      <c r="E155" s="24"/>
      <c r="F155" s="4"/>
      <c r="G155" s="27"/>
      <c r="H155" s="24"/>
      <c r="I155" s="4"/>
      <c r="J155" s="24"/>
      <c r="K155" s="20">
        <f t="shared" si="14"/>
        <v>2125</v>
      </c>
      <c r="L155" s="20">
        <f t="shared" si="15"/>
        <v>1433.33</v>
      </c>
      <c r="M155" s="13">
        <f t="shared" si="16"/>
        <v>32.549176470588236</v>
      </c>
      <c r="N155" s="4"/>
    </row>
    <row r="156" spans="1:14" x14ac:dyDescent="0.25">
      <c r="A156" s="23" t="s">
        <v>291</v>
      </c>
      <c r="B156" s="26">
        <f>2125</f>
        <v>2125</v>
      </c>
      <c r="C156" s="4" t="s">
        <v>356</v>
      </c>
      <c r="D156" s="24">
        <f>1433.33</f>
        <v>1433.33</v>
      </c>
      <c r="E156" s="24"/>
      <c r="F156" s="4"/>
      <c r="G156" s="27"/>
      <c r="H156" s="24"/>
      <c r="I156" s="4"/>
      <c r="J156" s="24"/>
      <c r="K156" s="20">
        <f t="shared" si="14"/>
        <v>2125</v>
      </c>
      <c r="L156" s="20">
        <f t="shared" si="15"/>
        <v>1433.33</v>
      </c>
      <c r="M156" s="13">
        <f t="shared" si="16"/>
        <v>32.549176470588236</v>
      </c>
      <c r="N156" s="4"/>
    </row>
    <row r="157" spans="1:14" x14ac:dyDescent="0.25">
      <c r="A157" s="23" t="s">
        <v>292</v>
      </c>
      <c r="B157" s="26">
        <f>4710+1625</f>
        <v>6335</v>
      </c>
      <c r="C157" s="4" t="s">
        <v>355</v>
      </c>
      <c r="D157" s="24">
        <f>4031.25+1389.6</f>
        <v>5420.85</v>
      </c>
      <c r="E157" s="24"/>
      <c r="F157" s="4"/>
      <c r="G157" s="27"/>
      <c r="H157" s="24"/>
      <c r="I157" s="4"/>
      <c r="J157" s="24"/>
      <c r="K157" s="20">
        <f t="shared" si="14"/>
        <v>6335</v>
      </c>
      <c r="L157" s="20">
        <f t="shared" si="15"/>
        <v>5420.85</v>
      </c>
      <c r="M157" s="13">
        <f t="shared" si="16"/>
        <v>14.430149960536696</v>
      </c>
      <c r="N157" s="4"/>
    </row>
    <row r="158" spans="1:14" x14ac:dyDescent="0.25">
      <c r="A158" s="23" t="s">
        <v>293</v>
      </c>
      <c r="B158" s="26">
        <f>11980+4500+445+100+690+2125</f>
        <v>19840</v>
      </c>
      <c r="C158" s="4" t="s">
        <v>355</v>
      </c>
      <c r="D158" s="24">
        <f>1433.34+4438.2+6807.6+573.18+107.31+550</f>
        <v>13909.63</v>
      </c>
      <c r="E158" s="24"/>
      <c r="F158" s="4"/>
      <c r="G158" s="27"/>
      <c r="H158" s="24"/>
      <c r="I158" s="4"/>
      <c r="J158" s="24"/>
      <c r="K158" s="20">
        <f t="shared" si="14"/>
        <v>19840</v>
      </c>
      <c r="L158" s="20">
        <f t="shared" si="15"/>
        <v>13909.63</v>
      </c>
      <c r="M158" s="13">
        <f t="shared" si="16"/>
        <v>29.890977822580652</v>
      </c>
      <c r="N158" s="4"/>
    </row>
    <row r="159" spans="1:14" x14ac:dyDescent="0.25">
      <c r="A159" s="23"/>
      <c r="B159" s="26"/>
      <c r="C159" s="4"/>
      <c r="D159" s="24"/>
      <c r="E159" s="24"/>
      <c r="F159" s="4"/>
      <c r="G159" s="27"/>
      <c r="H159" s="24"/>
      <c r="I159" s="4"/>
      <c r="J159" s="24"/>
      <c r="K159" s="20"/>
      <c r="L159" s="20"/>
      <c r="M159" s="13"/>
      <c r="N159" s="34"/>
    </row>
    <row r="160" spans="1:14" x14ac:dyDescent="0.25">
      <c r="K160" s="52">
        <f>SUM(K139:K159)</f>
        <v>246155</v>
      </c>
      <c r="L160" s="52">
        <f>SUM(L139:L159)</f>
        <v>202325.38999999998</v>
      </c>
      <c r="M160" s="52"/>
    </row>
    <row r="162" spans="10:11" x14ac:dyDescent="0.25">
      <c r="J162" t="s">
        <v>277</v>
      </c>
      <c r="K162" s="52">
        <f>K160-L160</f>
        <v>43829.610000000015</v>
      </c>
    </row>
  </sheetData>
  <phoneticPr fontId="9" type="noConversion"/>
  <printOptions horizontalCentered="1" verticalCentered="1"/>
  <pageMargins left="0.25" right="0.25" top="0.75" bottom="0.75" header="0.3" footer="0.3"/>
  <pageSetup scale="63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B416-E80A-4070-AFC3-74F9F79C4348}">
  <sheetPr>
    <pageSetUpPr fitToPage="1"/>
  </sheetPr>
  <dimension ref="A1:N187"/>
  <sheetViews>
    <sheetView workbookViewId="0">
      <pane ySplit="1" topLeftCell="A149" activePane="bottomLeft" state="frozen"/>
      <selection pane="bottomLeft" activeCell="O1" sqref="O1:P1048576"/>
    </sheetView>
  </sheetViews>
  <sheetFormatPr defaultRowHeight="15" x14ac:dyDescent="0.25"/>
  <cols>
    <col min="1" max="1" width="4" bestFit="1" customWidth="1"/>
    <col min="2" max="2" width="7" bestFit="1" customWidth="1"/>
    <col min="3" max="3" width="19.85546875" customWidth="1"/>
    <col min="4" max="4" width="7" bestFit="1" customWidth="1"/>
    <col min="5" max="5" width="6" bestFit="1" customWidth="1"/>
    <col min="6" max="6" width="19.7109375" customWidth="1"/>
    <col min="7" max="7" width="6" bestFit="1" customWidth="1"/>
    <col min="8" max="8" width="6.85546875" bestFit="1" customWidth="1"/>
    <col min="9" max="9" width="19.7109375" customWidth="1"/>
    <col min="10" max="10" width="6.85546875" bestFit="1" customWidth="1"/>
    <col min="11" max="12" width="9.140625" bestFit="1" customWidth="1"/>
    <col min="13" max="13" width="7.7109375" bestFit="1" customWidth="1"/>
    <col min="14" max="14" width="24.28515625" bestFit="1" customWidth="1"/>
  </cols>
  <sheetData>
    <row r="1" spans="1:14" ht="30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252</v>
      </c>
      <c r="I1" s="7" t="s">
        <v>9</v>
      </c>
      <c r="J1" s="3" t="s">
        <v>253</v>
      </c>
      <c r="K1" s="5" t="s">
        <v>10</v>
      </c>
      <c r="L1" s="5" t="s">
        <v>11</v>
      </c>
      <c r="M1" s="12" t="s">
        <v>61</v>
      </c>
      <c r="N1" s="7" t="s">
        <v>1</v>
      </c>
    </row>
    <row r="2" spans="1:14" x14ac:dyDescent="0.25">
      <c r="A2" s="23" t="s">
        <v>19</v>
      </c>
      <c r="B2" s="26">
        <v>5900</v>
      </c>
      <c r="C2" s="4" t="s">
        <v>238</v>
      </c>
      <c r="D2" s="24">
        <v>5819.7</v>
      </c>
      <c r="E2" s="24"/>
      <c r="F2" s="4"/>
      <c r="G2" s="27"/>
      <c r="H2" s="24"/>
      <c r="I2" s="4"/>
      <c r="J2" s="24"/>
      <c r="K2" s="20">
        <f>B2+E2+H2</f>
        <v>5900</v>
      </c>
      <c r="L2" s="20">
        <f>D2+G2+J2</f>
        <v>5819.7</v>
      </c>
      <c r="M2" s="13">
        <f t="shared" ref="M2:M19" si="0">100-L2*100/K2</f>
        <v>1.3610169491525426</v>
      </c>
      <c r="N2" s="4"/>
    </row>
    <row r="3" spans="1:14" x14ac:dyDescent="0.25">
      <c r="A3" s="23" t="s">
        <v>20</v>
      </c>
      <c r="B3" s="26">
        <v>6273</v>
      </c>
      <c r="C3" s="4" t="s">
        <v>238</v>
      </c>
      <c r="D3" s="24">
        <v>6322</v>
      </c>
      <c r="E3" s="24">
        <f>2414+2414</f>
        <v>4828</v>
      </c>
      <c r="F3" s="4" t="s">
        <v>146</v>
      </c>
      <c r="G3" s="27">
        <v>4250</v>
      </c>
      <c r="H3" s="24"/>
      <c r="I3" s="4"/>
      <c r="J3" s="24"/>
      <c r="K3" s="20">
        <f t="shared" ref="K3:K64" si="1">B3+E3+H3</f>
        <v>11101</v>
      </c>
      <c r="L3" s="20">
        <f t="shared" ref="L3:L64" si="2">D3+G3+J3</f>
        <v>10572</v>
      </c>
      <c r="M3" s="14">
        <f t="shared" si="0"/>
        <v>4.7653364561751204</v>
      </c>
      <c r="N3" s="4"/>
    </row>
    <row r="4" spans="1:14" x14ac:dyDescent="0.25">
      <c r="A4" s="23" t="s">
        <v>21</v>
      </c>
      <c r="B4" s="47"/>
      <c r="C4" s="4"/>
      <c r="D4" s="24"/>
      <c r="E4" s="26"/>
      <c r="F4" s="4"/>
      <c r="G4" s="27"/>
      <c r="H4" s="24"/>
      <c r="I4" s="4"/>
      <c r="J4" s="24"/>
      <c r="K4" s="20">
        <f t="shared" si="1"/>
        <v>0</v>
      </c>
      <c r="L4" s="20">
        <f t="shared" si="2"/>
        <v>0</v>
      </c>
      <c r="M4" s="14" t="e">
        <f t="shared" si="0"/>
        <v>#DIV/0!</v>
      </c>
      <c r="N4" s="4"/>
    </row>
    <row r="5" spans="1:14" x14ac:dyDescent="0.25">
      <c r="A5" s="23" t="s">
        <v>22</v>
      </c>
      <c r="B5" s="26">
        <f>1553+120+120+210</f>
        <v>2003</v>
      </c>
      <c r="C5" s="4" t="s">
        <v>238</v>
      </c>
      <c r="D5" s="24">
        <v>1739.26</v>
      </c>
      <c r="E5" s="24">
        <f>2840+2840</f>
        <v>5680</v>
      </c>
      <c r="F5" s="4" t="s">
        <v>146</v>
      </c>
      <c r="G5" s="27">
        <v>4811.46</v>
      </c>
      <c r="H5" s="24"/>
      <c r="I5" s="4"/>
      <c r="J5" s="24"/>
      <c r="K5" s="20">
        <f t="shared" si="1"/>
        <v>7683</v>
      </c>
      <c r="L5" s="20">
        <f t="shared" si="2"/>
        <v>6550.72</v>
      </c>
      <c r="M5" s="13">
        <f t="shared" si="0"/>
        <v>14.737472341533248</v>
      </c>
      <c r="N5" s="4"/>
    </row>
    <row r="6" spans="1:14" x14ac:dyDescent="0.25">
      <c r="A6" s="23" t="s">
        <v>23</v>
      </c>
      <c r="B6" s="47"/>
      <c r="C6" s="4"/>
      <c r="D6" s="24"/>
      <c r="E6" s="24"/>
      <c r="F6" s="4"/>
      <c r="G6" s="27"/>
      <c r="H6" s="24"/>
      <c r="I6" s="4"/>
      <c r="J6" s="24"/>
      <c r="K6" s="20">
        <f t="shared" si="1"/>
        <v>0</v>
      </c>
      <c r="L6" s="20">
        <f t="shared" si="2"/>
        <v>0</v>
      </c>
      <c r="M6" s="14" t="e">
        <f t="shared" si="0"/>
        <v>#DIV/0!</v>
      </c>
      <c r="N6" s="4"/>
    </row>
    <row r="7" spans="1:14" x14ac:dyDescent="0.25">
      <c r="A7" s="23" t="s">
        <v>24</v>
      </c>
      <c r="B7" s="47"/>
      <c r="C7" s="4"/>
      <c r="D7" s="24"/>
      <c r="E7" s="24"/>
      <c r="F7" s="4"/>
      <c r="G7" s="27"/>
      <c r="H7" s="24"/>
      <c r="I7" s="4"/>
      <c r="J7" s="24"/>
      <c r="K7" s="20">
        <f t="shared" si="1"/>
        <v>0</v>
      </c>
      <c r="L7" s="20">
        <f t="shared" si="2"/>
        <v>0</v>
      </c>
      <c r="M7" s="13" t="e">
        <f t="shared" si="0"/>
        <v>#DIV/0!</v>
      </c>
      <c r="N7" s="4"/>
    </row>
    <row r="8" spans="1:14" x14ac:dyDescent="0.25">
      <c r="A8" s="23" t="s">
        <v>25</v>
      </c>
      <c r="B8" s="47"/>
      <c r="C8" s="4"/>
      <c r="D8" s="24"/>
      <c r="E8" s="24"/>
      <c r="F8" s="4"/>
      <c r="G8" s="27"/>
      <c r="H8" s="24"/>
      <c r="I8" s="4"/>
      <c r="J8" s="24"/>
      <c r="K8" s="20">
        <f t="shared" si="1"/>
        <v>0</v>
      </c>
      <c r="L8" s="20">
        <f t="shared" si="2"/>
        <v>0</v>
      </c>
      <c r="M8" s="13" t="e">
        <f t="shared" si="0"/>
        <v>#DIV/0!</v>
      </c>
      <c r="N8" s="4"/>
    </row>
    <row r="9" spans="1:14" x14ac:dyDescent="0.25">
      <c r="A9" s="23" t="s">
        <v>26</v>
      </c>
      <c r="B9" s="47"/>
      <c r="C9" s="4"/>
      <c r="D9" s="24"/>
      <c r="E9" s="24"/>
      <c r="F9" s="4"/>
      <c r="G9" s="27"/>
      <c r="H9" s="24"/>
      <c r="I9" s="4"/>
      <c r="J9" s="24"/>
      <c r="K9" s="20">
        <f t="shared" si="1"/>
        <v>0</v>
      </c>
      <c r="L9" s="20">
        <f t="shared" si="2"/>
        <v>0</v>
      </c>
      <c r="M9" s="13" t="e">
        <f t="shared" si="0"/>
        <v>#DIV/0!</v>
      </c>
      <c r="N9" s="4"/>
    </row>
    <row r="10" spans="1:14" x14ac:dyDescent="0.25">
      <c r="A10" s="23" t="s">
        <v>27</v>
      </c>
      <c r="B10" s="26">
        <f>11695+16760</f>
        <v>28455</v>
      </c>
      <c r="C10" s="4" t="s">
        <v>136</v>
      </c>
      <c r="D10" s="24">
        <v>22380.58</v>
      </c>
      <c r="E10" s="26">
        <f>19510+50138</f>
        <v>69648</v>
      </c>
      <c r="F10" s="4" t="s">
        <v>146</v>
      </c>
      <c r="G10" s="27">
        <v>68869.13</v>
      </c>
      <c r="H10" s="24">
        <f>5898+5445+10541+4474+10950</f>
        <v>37308</v>
      </c>
      <c r="I10" s="4" t="s">
        <v>370</v>
      </c>
      <c r="J10" s="24">
        <f>24435+10595</f>
        <v>35030</v>
      </c>
      <c r="K10" s="20">
        <f t="shared" si="1"/>
        <v>135411</v>
      </c>
      <c r="L10" s="20">
        <f t="shared" si="2"/>
        <v>126279.71</v>
      </c>
      <c r="M10" s="13">
        <f t="shared" si="0"/>
        <v>6.7433886464172019</v>
      </c>
      <c r="N10" s="4"/>
    </row>
    <row r="11" spans="1:14" x14ac:dyDescent="0.25">
      <c r="A11" s="23" t="s">
        <v>28</v>
      </c>
      <c r="B11" s="26">
        <f>8846+4423+8846+2211</f>
        <v>24326</v>
      </c>
      <c r="C11" s="4" t="s">
        <v>270</v>
      </c>
      <c r="D11" s="24">
        <v>26457.75</v>
      </c>
      <c r="E11" s="24">
        <f>42750+6000+980</f>
        <v>49730</v>
      </c>
      <c r="F11" s="4" t="s">
        <v>369</v>
      </c>
      <c r="G11" s="27">
        <f>37500+8000+580</f>
        <v>46080</v>
      </c>
      <c r="H11" s="24"/>
      <c r="I11" s="4"/>
      <c r="J11" s="24"/>
      <c r="K11" s="20">
        <f t="shared" si="1"/>
        <v>74056</v>
      </c>
      <c r="L11" s="20">
        <f t="shared" si="2"/>
        <v>72537.75</v>
      </c>
      <c r="M11" s="13">
        <f t="shared" si="0"/>
        <v>2.0501377336070021</v>
      </c>
      <c r="N11" s="4" t="s">
        <v>371</v>
      </c>
    </row>
    <row r="12" spans="1:14" x14ac:dyDescent="0.25">
      <c r="A12" s="6" t="s">
        <v>29</v>
      </c>
      <c r="B12" s="26">
        <f>8846+4423+8846+2211</f>
        <v>24326</v>
      </c>
      <c r="C12" s="4" t="s">
        <v>270</v>
      </c>
      <c r="D12" s="24">
        <v>26457.75</v>
      </c>
      <c r="E12" s="24">
        <f>42750+6000+980</f>
        <v>49730</v>
      </c>
      <c r="F12" s="4" t="s">
        <v>369</v>
      </c>
      <c r="G12" s="27">
        <f>37500+8000+580</f>
        <v>46080</v>
      </c>
      <c r="H12" s="24"/>
      <c r="I12" s="4"/>
      <c r="J12" s="24"/>
      <c r="K12" s="20">
        <f t="shared" si="1"/>
        <v>74056</v>
      </c>
      <c r="L12" s="20">
        <f t="shared" si="2"/>
        <v>72537.75</v>
      </c>
      <c r="M12" s="13">
        <f t="shared" si="0"/>
        <v>2.0501377336070021</v>
      </c>
      <c r="N12" s="4" t="s">
        <v>371</v>
      </c>
    </row>
    <row r="13" spans="1:14" x14ac:dyDescent="0.25">
      <c r="A13" s="23" t="s">
        <v>30</v>
      </c>
      <c r="B13" s="26">
        <f>1090+5530+1695+45</f>
        <v>8360</v>
      </c>
      <c r="C13" s="4" t="s">
        <v>270</v>
      </c>
      <c r="D13" s="24">
        <f>768+4925.82</f>
        <v>5693.82</v>
      </c>
      <c r="E13" s="24"/>
      <c r="F13" s="4"/>
      <c r="G13" s="27"/>
      <c r="H13" s="26"/>
      <c r="I13" s="4"/>
      <c r="J13" s="24"/>
      <c r="K13" s="20">
        <f>B13+E13+H13</f>
        <v>8360</v>
      </c>
      <c r="L13" s="20">
        <f>D13+G13+J13</f>
        <v>5693.82</v>
      </c>
      <c r="M13" s="14">
        <f t="shared" si="0"/>
        <v>31.892105263157902</v>
      </c>
      <c r="N13" s="4"/>
    </row>
    <row r="14" spans="1:14" x14ac:dyDescent="0.25">
      <c r="A14" s="23" t="s">
        <v>35</v>
      </c>
      <c r="B14" s="47"/>
      <c r="C14" s="4"/>
      <c r="D14" s="24"/>
      <c r="E14" s="24"/>
      <c r="F14" s="4"/>
      <c r="G14" s="27"/>
      <c r="H14" s="24"/>
      <c r="I14" s="4"/>
      <c r="J14" s="24"/>
      <c r="K14" s="20">
        <f t="shared" si="1"/>
        <v>0</v>
      </c>
      <c r="L14" s="20">
        <f t="shared" si="2"/>
        <v>0</v>
      </c>
      <c r="M14" s="13" t="e">
        <f t="shared" si="0"/>
        <v>#DIV/0!</v>
      </c>
      <c r="N14" s="4"/>
    </row>
    <row r="15" spans="1:14" x14ac:dyDescent="0.25">
      <c r="A15" s="23" t="s">
        <v>36</v>
      </c>
      <c r="B15" s="47"/>
      <c r="C15" s="4"/>
      <c r="D15" s="24"/>
      <c r="E15" s="24"/>
      <c r="F15" s="4"/>
      <c r="G15" s="27"/>
      <c r="H15" s="24"/>
      <c r="I15" s="4"/>
      <c r="J15" s="24"/>
      <c r="K15" s="20">
        <f t="shared" si="1"/>
        <v>0</v>
      </c>
      <c r="L15" s="20">
        <f t="shared" si="2"/>
        <v>0</v>
      </c>
      <c r="M15" s="13" t="e">
        <f t="shared" si="0"/>
        <v>#DIV/0!</v>
      </c>
      <c r="N15" s="4"/>
    </row>
    <row r="16" spans="1:14" x14ac:dyDescent="0.25">
      <c r="A16" s="23" t="s">
        <v>37</v>
      </c>
      <c r="B16" s="26">
        <f>3861+12356+1545</f>
        <v>17762</v>
      </c>
      <c r="C16" s="4" t="s">
        <v>136</v>
      </c>
      <c r="D16" s="24">
        <v>18013.650000000001</v>
      </c>
      <c r="E16" s="24">
        <f>17520</f>
        <v>17520</v>
      </c>
      <c r="F16" s="4" t="s">
        <v>146</v>
      </c>
      <c r="G16" s="27">
        <f>8905+2250</f>
        <v>11155</v>
      </c>
      <c r="H16" s="24"/>
      <c r="I16" s="4"/>
      <c r="J16" s="24"/>
      <c r="K16" s="20">
        <f t="shared" si="1"/>
        <v>35282</v>
      </c>
      <c r="L16" s="20">
        <f t="shared" si="2"/>
        <v>29168.65</v>
      </c>
      <c r="M16" s="14">
        <f t="shared" si="0"/>
        <v>17.327107306842009</v>
      </c>
      <c r="N16" s="4"/>
    </row>
    <row r="17" spans="1:14" x14ac:dyDescent="0.25">
      <c r="A17" s="23" t="s">
        <v>38</v>
      </c>
      <c r="B17" s="26">
        <f>7064+8830</f>
        <v>15894</v>
      </c>
      <c r="C17" s="4" t="s">
        <v>136</v>
      </c>
      <c r="D17" s="24">
        <v>16173</v>
      </c>
      <c r="E17" s="24">
        <f>7058+7058</f>
        <v>14116</v>
      </c>
      <c r="F17" s="4" t="s">
        <v>146</v>
      </c>
      <c r="G17" s="27">
        <f>12766+4400</f>
        <v>17166</v>
      </c>
      <c r="H17" s="24"/>
      <c r="I17" s="4"/>
      <c r="J17" s="24"/>
      <c r="K17" s="20">
        <f t="shared" si="1"/>
        <v>30010</v>
      </c>
      <c r="L17" s="20">
        <f t="shared" si="2"/>
        <v>33339</v>
      </c>
      <c r="M17" s="13">
        <f t="shared" si="0"/>
        <v>-11.092969010329895</v>
      </c>
      <c r="N17" s="4"/>
    </row>
    <row r="18" spans="1:14" x14ac:dyDescent="0.25">
      <c r="A18" s="23" t="s">
        <v>39</v>
      </c>
      <c r="B18" s="47"/>
      <c r="C18" s="4"/>
      <c r="D18" s="24"/>
      <c r="E18" s="24"/>
      <c r="F18" s="4"/>
      <c r="G18" s="27"/>
      <c r="H18" s="24"/>
      <c r="I18" s="4"/>
      <c r="J18" s="24"/>
      <c r="K18" s="20">
        <f t="shared" si="1"/>
        <v>0</v>
      </c>
      <c r="L18" s="20">
        <f t="shared" si="2"/>
        <v>0</v>
      </c>
      <c r="M18" s="14" t="e">
        <f t="shared" si="0"/>
        <v>#DIV/0!</v>
      </c>
      <c r="N18" s="4"/>
    </row>
    <row r="19" spans="1:14" x14ac:dyDescent="0.25">
      <c r="A19" s="23" t="s">
        <v>40</v>
      </c>
      <c r="B19" s="26">
        <f>35872+7174</f>
        <v>43046</v>
      </c>
      <c r="C19" s="4" t="s">
        <v>136</v>
      </c>
      <c r="D19" s="24">
        <f>41411.93+ 4045</f>
        <v>45456.93</v>
      </c>
      <c r="E19" s="24">
        <f>12908+16677</f>
        <v>29585</v>
      </c>
      <c r="F19" s="4" t="s">
        <v>146</v>
      </c>
      <c r="G19" s="27">
        <f>31271.2</f>
        <v>31271.200000000001</v>
      </c>
      <c r="H19" s="24">
        <f>7000</f>
        <v>7000</v>
      </c>
      <c r="I19" s="4" t="s">
        <v>372</v>
      </c>
      <c r="J19" s="27">
        <v>4317.3</v>
      </c>
      <c r="K19" s="20">
        <f t="shared" si="1"/>
        <v>79631</v>
      </c>
      <c r="L19" s="20">
        <f t="shared" si="2"/>
        <v>81045.430000000008</v>
      </c>
      <c r="M19" s="13">
        <f t="shared" si="0"/>
        <v>-1.7762303625472669</v>
      </c>
      <c r="N19" s="4"/>
    </row>
    <row r="20" spans="1:14" x14ac:dyDescent="0.25">
      <c r="A20" s="23" t="s">
        <v>60</v>
      </c>
      <c r="B20" s="26">
        <v>9465</v>
      </c>
      <c r="C20" s="4" t="s">
        <v>136</v>
      </c>
      <c r="D20" s="24">
        <v>9610</v>
      </c>
      <c r="E20" s="26">
        <f>10141+8354</f>
        <v>18495</v>
      </c>
      <c r="F20" s="4" t="s">
        <v>146</v>
      </c>
      <c r="G20" s="27">
        <v>19595.689999999999</v>
      </c>
      <c r="H20" s="24">
        <f>11605+18273+5736</f>
        <v>35614</v>
      </c>
      <c r="I20" s="4" t="s">
        <v>373</v>
      </c>
      <c r="J20" s="27">
        <v>35380</v>
      </c>
      <c r="K20" s="20">
        <f t="shared" si="1"/>
        <v>63574</v>
      </c>
      <c r="L20" s="20">
        <f t="shared" si="2"/>
        <v>64585.69</v>
      </c>
      <c r="M20" s="13">
        <f>100-L20*100/K20</f>
        <v>-1.5913581023688863</v>
      </c>
      <c r="N20" s="4"/>
    </row>
    <row r="21" spans="1:14" x14ac:dyDescent="0.25">
      <c r="A21" s="23" t="s">
        <v>41</v>
      </c>
      <c r="B21" s="47"/>
      <c r="C21" s="4"/>
      <c r="D21" s="24"/>
      <c r="E21" s="24"/>
      <c r="F21" s="4"/>
      <c r="G21" s="27"/>
      <c r="H21" s="24"/>
      <c r="I21" s="4"/>
      <c r="J21" s="24"/>
      <c r="K21" s="20">
        <f t="shared" si="1"/>
        <v>0</v>
      </c>
      <c r="L21" s="20">
        <f t="shared" si="2"/>
        <v>0</v>
      </c>
      <c r="M21" s="13" t="e">
        <f t="shared" ref="M21:M65" si="3">100-L21*100/K21</f>
        <v>#DIV/0!</v>
      </c>
      <c r="N21" s="4"/>
    </row>
    <row r="22" spans="1:14" x14ac:dyDescent="0.25">
      <c r="A22" s="23" t="s">
        <v>42</v>
      </c>
      <c r="B22" s="26">
        <f>2928+2210+2928+2210+26911+1584+480+244</f>
        <v>39495</v>
      </c>
      <c r="C22" s="4" t="s">
        <v>270</v>
      </c>
      <c r="D22" s="24">
        <v>37329.6875</v>
      </c>
      <c r="E22" s="26"/>
      <c r="F22" s="4"/>
      <c r="G22" s="27"/>
      <c r="H22" s="24"/>
      <c r="I22" s="4"/>
      <c r="J22" s="24"/>
      <c r="K22" s="20">
        <f t="shared" si="1"/>
        <v>39495</v>
      </c>
      <c r="L22" s="20">
        <f t="shared" si="2"/>
        <v>37329.6875</v>
      </c>
      <c r="M22" s="13">
        <f t="shared" si="3"/>
        <v>5.4824977845296843</v>
      </c>
      <c r="N22" s="4"/>
    </row>
    <row r="23" spans="1:14" x14ac:dyDescent="0.25">
      <c r="A23" s="23" t="s">
        <v>43</v>
      </c>
      <c r="B23" s="26">
        <f t="shared" ref="B23:B25" si="4">2928+2210+2928+2210+26911+1584+480+244</f>
        <v>39495</v>
      </c>
      <c r="C23" s="4" t="s">
        <v>270</v>
      </c>
      <c r="D23" s="24">
        <v>37329.6875</v>
      </c>
      <c r="E23" s="24"/>
      <c r="F23" s="4"/>
      <c r="G23" s="27"/>
      <c r="H23" s="24"/>
      <c r="I23" s="4"/>
      <c r="J23" s="24"/>
      <c r="K23" s="20">
        <f t="shared" si="1"/>
        <v>39495</v>
      </c>
      <c r="L23" s="20">
        <f t="shared" si="2"/>
        <v>37329.6875</v>
      </c>
      <c r="M23" s="13">
        <f t="shared" si="3"/>
        <v>5.4824977845296843</v>
      </c>
      <c r="N23" s="4"/>
    </row>
    <row r="24" spans="1:14" x14ac:dyDescent="0.25">
      <c r="A24" s="23" t="s">
        <v>44</v>
      </c>
      <c r="B24" s="26">
        <f t="shared" si="4"/>
        <v>39495</v>
      </c>
      <c r="C24" s="4" t="s">
        <v>270</v>
      </c>
      <c r="D24" s="24">
        <v>37329.6875</v>
      </c>
      <c r="E24" s="24"/>
      <c r="F24" s="4"/>
      <c r="G24" s="27"/>
      <c r="H24" s="24"/>
      <c r="I24" s="4"/>
      <c r="J24" s="24"/>
      <c r="K24" s="20">
        <f t="shared" si="1"/>
        <v>39495</v>
      </c>
      <c r="L24" s="20">
        <f t="shared" si="2"/>
        <v>37329.6875</v>
      </c>
      <c r="M24" s="13">
        <f t="shared" si="3"/>
        <v>5.4824977845296843</v>
      </c>
      <c r="N24" s="4"/>
    </row>
    <row r="25" spans="1:14" x14ac:dyDescent="0.25">
      <c r="A25" s="23" t="s">
        <v>45</v>
      </c>
      <c r="B25" s="26">
        <f t="shared" si="4"/>
        <v>39495</v>
      </c>
      <c r="C25" s="4" t="s">
        <v>270</v>
      </c>
      <c r="D25" s="24">
        <v>37329.6875</v>
      </c>
      <c r="E25" s="24"/>
      <c r="F25" s="4"/>
      <c r="G25" s="27"/>
      <c r="H25" s="24"/>
      <c r="I25" s="4"/>
      <c r="J25" s="24"/>
      <c r="K25" s="20">
        <f t="shared" si="1"/>
        <v>39495</v>
      </c>
      <c r="L25" s="20">
        <f t="shared" si="2"/>
        <v>37329.6875</v>
      </c>
      <c r="M25" s="13">
        <f t="shared" si="3"/>
        <v>5.4824977845296843</v>
      </c>
      <c r="N25" s="4"/>
    </row>
    <row r="26" spans="1:14" x14ac:dyDescent="0.25">
      <c r="A26" s="23" t="s">
        <v>46</v>
      </c>
      <c r="B26" s="24">
        <f>6643</f>
        <v>6643</v>
      </c>
      <c r="C26" s="4" t="s">
        <v>136</v>
      </c>
      <c r="D26" s="24">
        <v>6808.28</v>
      </c>
      <c r="E26" s="24">
        <f>5371+5371</f>
        <v>10742</v>
      </c>
      <c r="F26" s="4" t="s">
        <v>146</v>
      </c>
      <c r="G26" s="27">
        <f>10368+1372.5</f>
        <v>11740.5</v>
      </c>
      <c r="H26" s="24"/>
      <c r="I26" s="4"/>
      <c r="J26" s="24"/>
      <c r="K26" s="20">
        <f t="shared" si="1"/>
        <v>17385</v>
      </c>
      <c r="L26" s="20">
        <f t="shared" si="2"/>
        <v>18548.78</v>
      </c>
      <c r="M26" s="13">
        <f t="shared" si="3"/>
        <v>-6.6941616335921736</v>
      </c>
      <c r="N26" s="4"/>
    </row>
    <row r="27" spans="1:14" x14ac:dyDescent="0.25">
      <c r="A27" s="23" t="s">
        <v>47</v>
      </c>
      <c r="B27" s="26">
        <f>4498+2811</f>
        <v>7309</v>
      </c>
      <c r="C27" s="4" t="s">
        <v>136</v>
      </c>
      <c r="D27" s="24">
        <f>2916.32+4666.12</f>
        <v>7582.4400000000005</v>
      </c>
      <c r="E27" s="24">
        <f>4302+4302</f>
        <v>8604</v>
      </c>
      <c r="F27" s="4" t="s">
        <v>146</v>
      </c>
      <c r="G27" s="27">
        <f>7432+1372.5</f>
        <v>8804.5</v>
      </c>
      <c r="H27" s="24"/>
      <c r="I27" s="4"/>
      <c r="J27" s="24"/>
      <c r="K27" s="20">
        <f t="shared" si="1"/>
        <v>15913</v>
      </c>
      <c r="L27" s="20">
        <f t="shared" si="2"/>
        <v>16386.940000000002</v>
      </c>
      <c r="M27" s="13">
        <f t="shared" si="3"/>
        <v>-2.9783196128951346</v>
      </c>
      <c r="N27" s="4"/>
    </row>
    <row r="28" spans="1:14" x14ac:dyDescent="0.25">
      <c r="A28" s="23" t="s">
        <v>48</v>
      </c>
      <c r="B28" s="26">
        <f>3414+1398</f>
        <v>4812</v>
      </c>
      <c r="C28" s="4" t="s">
        <v>136</v>
      </c>
      <c r="D28" s="24">
        <f>3827.5+1612.5</f>
        <v>5440</v>
      </c>
      <c r="E28" s="24">
        <f>1633+1187</f>
        <v>2820</v>
      </c>
      <c r="F28" s="4" t="s">
        <v>146</v>
      </c>
      <c r="G28" s="27">
        <f>1924+1116</f>
        <v>3040</v>
      </c>
      <c r="H28" s="24"/>
      <c r="I28" s="4"/>
      <c r="J28" s="24"/>
      <c r="K28" s="20">
        <f t="shared" si="1"/>
        <v>7632</v>
      </c>
      <c r="L28" s="20">
        <f t="shared" si="2"/>
        <v>8480</v>
      </c>
      <c r="M28" s="14">
        <f t="shared" si="3"/>
        <v>-11.111111111111114</v>
      </c>
      <c r="N28" s="4"/>
    </row>
    <row r="29" spans="1:14" x14ac:dyDescent="0.25">
      <c r="A29" s="23" t="s">
        <v>49</v>
      </c>
      <c r="B29" s="26">
        <f>3414+1398</f>
        <v>4812</v>
      </c>
      <c r="C29" s="4" t="s">
        <v>136</v>
      </c>
      <c r="D29" s="24">
        <f>3827.5+1612.5</f>
        <v>5440</v>
      </c>
      <c r="E29" s="24">
        <f>1633+1187</f>
        <v>2820</v>
      </c>
      <c r="F29" s="4" t="s">
        <v>146</v>
      </c>
      <c r="G29" s="27">
        <f>1924+1116</f>
        <v>3040</v>
      </c>
      <c r="H29" s="24"/>
      <c r="I29" s="4"/>
      <c r="J29" s="24"/>
      <c r="K29" s="20">
        <f t="shared" si="1"/>
        <v>7632</v>
      </c>
      <c r="L29" s="20">
        <f t="shared" si="2"/>
        <v>8480</v>
      </c>
      <c r="M29" s="13">
        <f t="shared" si="3"/>
        <v>-11.111111111111114</v>
      </c>
      <c r="N29" s="4"/>
    </row>
    <row r="30" spans="1:14" x14ac:dyDescent="0.25">
      <c r="A30" s="23" t="s">
        <v>50</v>
      </c>
      <c r="B30" s="26">
        <f>752+848</f>
        <v>1600</v>
      </c>
      <c r="C30" s="4" t="s">
        <v>136</v>
      </c>
      <c r="D30" s="24">
        <f>758+884</f>
        <v>1642</v>
      </c>
      <c r="E30" s="24">
        <f>755+655</f>
        <v>1410</v>
      </c>
      <c r="F30" s="4" t="s">
        <v>146</v>
      </c>
      <c r="G30" s="27">
        <f>669+485</f>
        <v>1154</v>
      </c>
      <c r="H30" s="24"/>
      <c r="I30" s="4"/>
      <c r="J30" s="24"/>
      <c r="K30" s="20">
        <f t="shared" si="1"/>
        <v>3010</v>
      </c>
      <c r="L30" s="20">
        <f t="shared" si="2"/>
        <v>2796</v>
      </c>
      <c r="M30" s="13">
        <f t="shared" si="3"/>
        <v>7.1096345514950201</v>
      </c>
      <c r="N30" s="4"/>
    </row>
    <row r="31" spans="1:14" x14ac:dyDescent="0.25">
      <c r="A31" s="23" t="s">
        <v>51</v>
      </c>
      <c r="B31" s="26">
        <f>1714+2286+1714+2286+38012</f>
        <v>46012</v>
      </c>
      <c r="C31" s="4" t="s">
        <v>270</v>
      </c>
      <c r="D31" s="24">
        <f>1667.67+2223.57+1667.67+2223.57+36962.8</f>
        <v>44745.279999999999</v>
      </c>
      <c r="E31" s="24"/>
      <c r="F31" s="4"/>
      <c r="G31" s="27"/>
      <c r="H31" s="24">
        <f>574</f>
        <v>574</v>
      </c>
      <c r="I31" s="4" t="s">
        <v>374</v>
      </c>
      <c r="J31" s="24">
        <v>454.815</v>
      </c>
      <c r="K31" s="20">
        <f t="shared" si="1"/>
        <v>46586</v>
      </c>
      <c r="L31" s="20">
        <f t="shared" si="2"/>
        <v>45200.095000000001</v>
      </c>
      <c r="M31" s="13">
        <f t="shared" si="3"/>
        <v>2.9749388228223097</v>
      </c>
      <c r="N31" s="4"/>
    </row>
    <row r="32" spans="1:14" x14ac:dyDescent="0.25">
      <c r="A32" s="23" t="s">
        <v>52</v>
      </c>
      <c r="B32" s="26">
        <f>1714+2286+1714+2286+38012</f>
        <v>46012</v>
      </c>
      <c r="C32" s="4" t="s">
        <v>270</v>
      </c>
      <c r="D32" s="24">
        <f>1667.67+2223.57+1667.67+2223.57+36962.8</f>
        <v>44745.279999999999</v>
      </c>
      <c r="E32" s="24"/>
      <c r="F32" s="4"/>
      <c r="G32" s="27"/>
      <c r="H32" s="24">
        <f>574</f>
        <v>574</v>
      </c>
      <c r="I32" s="4" t="s">
        <v>374</v>
      </c>
      <c r="J32" s="24">
        <v>454.815</v>
      </c>
      <c r="K32" s="20">
        <f t="shared" si="1"/>
        <v>46586</v>
      </c>
      <c r="L32" s="20">
        <f t="shared" si="2"/>
        <v>45200.095000000001</v>
      </c>
      <c r="M32" s="13">
        <f t="shared" si="3"/>
        <v>2.9749388228223097</v>
      </c>
      <c r="N32" s="4"/>
    </row>
    <row r="33" spans="1:14" x14ac:dyDescent="0.25">
      <c r="A33" s="23" t="s">
        <v>53</v>
      </c>
      <c r="B33" s="26">
        <f>1451+980+2328+982+1960</f>
        <v>7701</v>
      </c>
      <c r="C33" s="4" t="s">
        <v>270</v>
      </c>
      <c r="D33" s="24">
        <v>7693</v>
      </c>
      <c r="E33" s="24"/>
      <c r="F33" s="4"/>
      <c r="G33" s="27"/>
      <c r="H33" s="24"/>
      <c r="I33" s="4"/>
      <c r="J33" s="24"/>
      <c r="K33" s="20">
        <f t="shared" si="1"/>
        <v>7701</v>
      </c>
      <c r="L33" s="20">
        <f t="shared" si="2"/>
        <v>7693</v>
      </c>
      <c r="M33" s="13">
        <f t="shared" si="3"/>
        <v>0.10388261264770904</v>
      </c>
      <c r="N33" s="4"/>
    </row>
    <row r="34" spans="1:14" x14ac:dyDescent="0.25">
      <c r="A34" s="23" t="s">
        <v>54</v>
      </c>
      <c r="B34" s="24">
        <v>1306</v>
      </c>
      <c r="C34" s="4" t="s">
        <v>136</v>
      </c>
      <c r="D34" s="24">
        <v>1878.8</v>
      </c>
      <c r="E34" s="24">
        <v>1340</v>
      </c>
      <c r="F34" s="4" t="s">
        <v>146</v>
      </c>
      <c r="G34" s="27">
        <f>724+148.5</f>
        <v>872.5</v>
      </c>
      <c r="H34" s="24"/>
      <c r="I34" s="4"/>
      <c r="J34" s="24"/>
      <c r="K34" s="20">
        <f t="shared" si="1"/>
        <v>2646</v>
      </c>
      <c r="L34" s="20">
        <f t="shared" si="2"/>
        <v>2751.3</v>
      </c>
      <c r="M34" s="13">
        <f t="shared" si="3"/>
        <v>-3.9795918367346985</v>
      </c>
      <c r="N34" s="4"/>
    </row>
    <row r="35" spans="1:14" x14ac:dyDescent="0.25">
      <c r="A35" s="23" t="s">
        <v>55</v>
      </c>
      <c r="B35" s="24">
        <v>3861</v>
      </c>
      <c r="C35" s="4" t="s">
        <v>136</v>
      </c>
      <c r="D35" s="24">
        <v>3947.54</v>
      </c>
      <c r="E35" s="24">
        <v>5620</v>
      </c>
      <c r="F35" s="4" t="s">
        <v>146</v>
      </c>
      <c r="G35" s="27">
        <f>5182+148.5</f>
        <v>5330.5</v>
      </c>
      <c r="H35" s="24"/>
      <c r="I35" s="4"/>
      <c r="J35" s="24"/>
      <c r="K35" s="20">
        <f t="shared" si="1"/>
        <v>9481</v>
      </c>
      <c r="L35" s="20">
        <f t="shared" si="2"/>
        <v>9278.0400000000009</v>
      </c>
      <c r="M35" s="13">
        <f t="shared" si="3"/>
        <v>2.1407024575466664</v>
      </c>
      <c r="N35" s="4"/>
    </row>
    <row r="36" spans="1:14" x14ac:dyDescent="0.25">
      <c r="A36" s="23" t="s">
        <v>56</v>
      </c>
      <c r="B36" s="24">
        <v>1201</v>
      </c>
      <c r="C36" s="4" t="s">
        <v>136</v>
      </c>
      <c r="D36" s="24">
        <v>1293.7</v>
      </c>
      <c r="E36" s="24">
        <v>1030</v>
      </c>
      <c r="F36" s="4" t="s">
        <v>146</v>
      </c>
      <c r="G36" s="27">
        <f>428+148.5</f>
        <v>576.5</v>
      </c>
      <c r="H36" s="24"/>
      <c r="I36" s="4"/>
      <c r="J36" s="24"/>
      <c r="K36" s="20">
        <f t="shared" si="1"/>
        <v>2231</v>
      </c>
      <c r="L36" s="20">
        <f t="shared" si="2"/>
        <v>1870.2</v>
      </c>
      <c r="M36" s="13">
        <f t="shared" si="3"/>
        <v>16.172120125504264</v>
      </c>
      <c r="N36" s="42"/>
    </row>
    <row r="37" spans="1:14" x14ac:dyDescent="0.25">
      <c r="A37" s="23" t="s">
        <v>57</v>
      </c>
      <c r="B37" s="24">
        <v>4004</v>
      </c>
      <c r="C37" s="4" t="s">
        <v>136</v>
      </c>
      <c r="D37" s="24">
        <v>4675.26</v>
      </c>
      <c r="E37" s="24">
        <f>1850+1850</f>
        <v>3700</v>
      </c>
      <c r="F37" s="4" t="s">
        <v>146</v>
      </c>
      <c r="G37" s="27">
        <f>2332+148.5</f>
        <v>2480.5</v>
      </c>
      <c r="H37" s="24"/>
      <c r="I37" s="4"/>
      <c r="J37" s="24"/>
      <c r="K37" s="20">
        <f t="shared" si="1"/>
        <v>7704</v>
      </c>
      <c r="L37" s="20">
        <f t="shared" si="2"/>
        <v>7155.76</v>
      </c>
      <c r="M37" s="14">
        <f t="shared" si="3"/>
        <v>7.1163032191069533</v>
      </c>
      <c r="N37" s="4"/>
    </row>
    <row r="38" spans="1:14" x14ac:dyDescent="0.25">
      <c r="A38" s="23" t="s">
        <v>58</v>
      </c>
      <c r="B38" s="26">
        <v>10247</v>
      </c>
      <c r="C38" s="4" t="s">
        <v>270</v>
      </c>
      <c r="D38" s="24">
        <v>9810.9</v>
      </c>
      <c r="E38" s="4"/>
      <c r="F38" s="16"/>
      <c r="G38" s="27"/>
      <c r="H38" s="24"/>
      <c r="I38" s="4"/>
      <c r="J38" s="24"/>
      <c r="K38" s="20">
        <f t="shared" si="1"/>
        <v>10247</v>
      </c>
      <c r="L38" s="20">
        <f t="shared" si="2"/>
        <v>9810.9</v>
      </c>
      <c r="M38" s="13">
        <f t="shared" si="3"/>
        <v>4.2558797696886899</v>
      </c>
      <c r="N38" s="4"/>
    </row>
    <row r="39" spans="1:14" x14ac:dyDescent="0.25">
      <c r="A39" s="23" t="s">
        <v>59</v>
      </c>
      <c r="B39" s="47"/>
      <c r="C39" s="4"/>
      <c r="D39" s="24"/>
      <c r="E39" s="24"/>
      <c r="F39" s="4"/>
      <c r="G39" s="27"/>
      <c r="H39" s="24"/>
      <c r="I39" s="4"/>
      <c r="J39" s="24"/>
      <c r="K39" s="20">
        <f t="shared" si="1"/>
        <v>0</v>
      </c>
      <c r="L39" s="20">
        <f t="shared" si="2"/>
        <v>0</v>
      </c>
      <c r="M39" s="13" t="e">
        <f t="shared" si="3"/>
        <v>#DIV/0!</v>
      </c>
      <c r="N39" s="4"/>
    </row>
    <row r="40" spans="1:14" x14ac:dyDescent="0.25">
      <c r="A40" s="23" t="s">
        <v>64</v>
      </c>
      <c r="B40" s="26">
        <f>4697+7214+5157+16643+7932+4509+3223+331+4000</f>
        <v>53706</v>
      </c>
      <c r="C40" s="4" t="s">
        <v>270</v>
      </c>
      <c r="D40" s="24">
        <f>106920.29/2</f>
        <v>53460.144999999997</v>
      </c>
      <c r="E40" s="24"/>
      <c r="F40" s="4"/>
      <c r="G40" s="27"/>
      <c r="H40" s="24">
        <f>2505+1000</f>
        <v>3505</v>
      </c>
      <c r="I40" s="4" t="s">
        <v>375</v>
      </c>
      <c r="J40" s="24">
        <v>1976</v>
      </c>
      <c r="K40" s="20">
        <f t="shared" si="1"/>
        <v>57211</v>
      </c>
      <c r="L40" s="20">
        <f t="shared" si="2"/>
        <v>55436.144999999997</v>
      </c>
      <c r="M40" s="13">
        <f t="shared" si="3"/>
        <v>3.1022967611123704</v>
      </c>
      <c r="N40" s="4"/>
    </row>
    <row r="41" spans="1:14" x14ac:dyDescent="0.25">
      <c r="A41" s="23" t="s">
        <v>65</v>
      </c>
      <c r="B41" s="26">
        <f>4697+7214+5157+16643+7932+4509+3223+331+4000</f>
        <v>53706</v>
      </c>
      <c r="C41" s="4" t="s">
        <v>270</v>
      </c>
      <c r="D41" s="24">
        <f>106920.29/2</f>
        <v>53460.144999999997</v>
      </c>
      <c r="E41" s="24"/>
      <c r="F41" s="4"/>
      <c r="G41" s="27"/>
      <c r="H41" s="24">
        <f>2505+1000</f>
        <v>3505</v>
      </c>
      <c r="I41" s="4" t="s">
        <v>375</v>
      </c>
      <c r="J41" s="24">
        <v>1976</v>
      </c>
      <c r="K41" s="20">
        <f t="shared" si="1"/>
        <v>57211</v>
      </c>
      <c r="L41" s="20">
        <f t="shared" si="2"/>
        <v>55436.144999999997</v>
      </c>
      <c r="M41" s="13">
        <f t="shared" si="3"/>
        <v>3.1022967611123704</v>
      </c>
      <c r="N41" s="4"/>
    </row>
    <row r="42" spans="1:14" x14ac:dyDescent="0.25">
      <c r="A42" s="23" t="s">
        <v>70</v>
      </c>
      <c r="B42" s="24">
        <f>8800+10560</f>
        <v>19360</v>
      </c>
      <c r="C42" s="4" t="s">
        <v>136</v>
      </c>
      <c r="D42" s="24">
        <v>19259.22</v>
      </c>
      <c r="E42" s="24">
        <f>9031+10454</f>
        <v>19485</v>
      </c>
      <c r="F42" s="4" t="s">
        <v>146</v>
      </c>
      <c r="G42" s="27">
        <f>9409.59+10328.51</f>
        <v>19738.099999999999</v>
      </c>
      <c r="H42" s="24"/>
      <c r="I42" s="4"/>
      <c r="J42" s="24"/>
      <c r="K42" s="20">
        <f t="shared" si="1"/>
        <v>38845</v>
      </c>
      <c r="L42" s="20">
        <f t="shared" si="2"/>
        <v>38997.32</v>
      </c>
      <c r="M42" s="13">
        <f t="shared" si="3"/>
        <v>-0.39212253829322208</v>
      </c>
      <c r="N42" s="4"/>
    </row>
    <row r="43" spans="1:14" x14ac:dyDescent="0.25">
      <c r="A43" s="23" t="s">
        <v>71</v>
      </c>
      <c r="B43" s="47"/>
      <c r="C43" s="4"/>
      <c r="D43" s="24"/>
      <c r="E43" s="24"/>
      <c r="F43" s="4"/>
      <c r="G43" s="24"/>
      <c r="H43" s="24"/>
      <c r="I43" s="4"/>
      <c r="J43" s="24"/>
      <c r="K43" s="20">
        <f t="shared" si="1"/>
        <v>0</v>
      </c>
      <c r="L43" s="20">
        <f t="shared" si="2"/>
        <v>0</v>
      </c>
      <c r="M43" s="13" t="e">
        <f t="shared" si="3"/>
        <v>#DIV/0!</v>
      </c>
      <c r="N43" s="4"/>
    </row>
    <row r="44" spans="1:14" x14ac:dyDescent="0.25">
      <c r="A44" s="23" t="s">
        <v>73</v>
      </c>
      <c r="B44" s="47"/>
      <c r="C44" s="4"/>
      <c r="D44" s="24"/>
      <c r="E44" s="24"/>
      <c r="F44" s="4"/>
      <c r="G44" s="27"/>
      <c r="H44" s="24"/>
      <c r="I44" s="4"/>
      <c r="J44" s="24"/>
      <c r="K44" s="20">
        <f t="shared" si="1"/>
        <v>0</v>
      </c>
      <c r="L44" s="20">
        <f t="shared" si="2"/>
        <v>0</v>
      </c>
      <c r="M44" s="13" t="e">
        <f t="shared" si="3"/>
        <v>#DIV/0!</v>
      </c>
      <c r="N44" s="4"/>
    </row>
    <row r="45" spans="1:14" x14ac:dyDescent="0.25">
      <c r="A45" s="23" t="s">
        <v>74</v>
      </c>
      <c r="B45" s="47"/>
      <c r="C45" s="4"/>
      <c r="D45" s="24"/>
      <c r="E45" s="26"/>
      <c r="F45" s="4"/>
      <c r="G45" s="27"/>
      <c r="H45" s="26"/>
      <c r="I45" s="4"/>
      <c r="J45" s="24"/>
      <c r="K45" s="20">
        <f t="shared" si="1"/>
        <v>0</v>
      </c>
      <c r="L45" s="20">
        <f t="shared" si="2"/>
        <v>0</v>
      </c>
      <c r="M45" s="14" t="e">
        <f t="shared" si="3"/>
        <v>#DIV/0!</v>
      </c>
      <c r="N45" s="4"/>
    </row>
    <row r="46" spans="1:14" x14ac:dyDescent="0.25">
      <c r="A46" s="23" t="s">
        <v>75</v>
      </c>
      <c r="B46" s="47"/>
      <c r="C46" s="4"/>
      <c r="D46" s="24"/>
      <c r="E46" s="24"/>
      <c r="F46" s="4"/>
      <c r="G46" s="27"/>
      <c r="H46" s="24"/>
      <c r="I46" s="28"/>
      <c r="J46" s="24"/>
      <c r="K46" s="20">
        <f t="shared" si="1"/>
        <v>0</v>
      </c>
      <c r="L46" s="20">
        <f t="shared" si="2"/>
        <v>0</v>
      </c>
      <c r="M46" s="13" t="e">
        <f t="shared" si="3"/>
        <v>#DIV/0!</v>
      </c>
      <c r="N46" s="4"/>
    </row>
    <row r="47" spans="1:14" x14ac:dyDescent="0.25">
      <c r="A47" s="23" t="s">
        <v>76</v>
      </c>
      <c r="B47" s="47"/>
      <c r="C47" s="4"/>
      <c r="D47" s="24"/>
      <c r="E47" s="24"/>
      <c r="F47" s="4"/>
      <c r="G47" s="27"/>
      <c r="H47" s="24"/>
      <c r="I47" s="4"/>
      <c r="J47" s="24"/>
      <c r="K47" s="20">
        <f t="shared" si="1"/>
        <v>0</v>
      </c>
      <c r="L47" s="20">
        <f t="shared" si="2"/>
        <v>0</v>
      </c>
      <c r="M47" s="13" t="e">
        <f t="shared" si="3"/>
        <v>#DIV/0!</v>
      </c>
      <c r="N47" s="4"/>
    </row>
    <row r="48" spans="1:14" x14ac:dyDescent="0.25">
      <c r="A48" s="23" t="s">
        <v>77</v>
      </c>
      <c r="B48" s="47"/>
      <c r="C48" s="4"/>
      <c r="D48" s="24"/>
      <c r="E48" s="24"/>
      <c r="F48" s="4"/>
      <c r="G48" s="27"/>
      <c r="H48" s="24"/>
      <c r="I48" s="4"/>
      <c r="J48" s="24"/>
      <c r="K48" s="20">
        <f t="shared" si="1"/>
        <v>0</v>
      </c>
      <c r="L48" s="20">
        <f t="shared" si="2"/>
        <v>0</v>
      </c>
      <c r="M48" s="13" t="e">
        <f t="shared" si="3"/>
        <v>#DIV/0!</v>
      </c>
      <c r="N48" s="4"/>
    </row>
    <row r="49" spans="1:14" x14ac:dyDescent="0.25">
      <c r="A49" s="23" t="s">
        <v>78</v>
      </c>
      <c r="B49" s="26">
        <f>1759+1759+8443+2251</f>
        <v>14212</v>
      </c>
      <c r="C49" s="4" t="s">
        <v>270</v>
      </c>
      <c r="D49" s="24">
        <v>13412.1</v>
      </c>
      <c r="E49" s="24"/>
      <c r="F49" s="4"/>
      <c r="G49" s="27"/>
      <c r="H49" s="24"/>
      <c r="I49" s="4"/>
      <c r="J49" s="24"/>
      <c r="K49" s="20">
        <f t="shared" si="1"/>
        <v>14212</v>
      </c>
      <c r="L49" s="20">
        <f t="shared" si="2"/>
        <v>13412.1</v>
      </c>
      <c r="M49" s="13">
        <f t="shared" si="3"/>
        <v>5.6283422459893018</v>
      </c>
      <c r="N49" s="4"/>
    </row>
    <row r="50" spans="1:14" x14ac:dyDescent="0.25">
      <c r="A50" s="23" t="s">
        <v>225</v>
      </c>
      <c r="B50" s="47"/>
      <c r="C50" s="4"/>
      <c r="D50" s="24"/>
      <c r="E50" s="24"/>
      <c r="F50" s="4"/>
      <c r="G50" s="27"/>
      <c r="H50" s="24"/>
      <c r="I50" s="4"/>
      <c r="J50" s="24"/>
      <c r="K50" s="20">
        <f t="shared" si="1"/>
        <v>0</v>
      </c>
      <c r="L50" s="20">
        <f t="shared" si="2"/>
        <v>0</v>
      </c>
      <c r="M50" s="13" t="e">
        <f t="shared" si="3"/>
        <v>#DIV/0!</v>
      </c>
      <c r="N50" s="4"/>
    </row>
    <row r="51" spans="1:14" x14ac:dyDescent="0.25">
      <c r="A51" s="23" t="s">
        <v>226</v>
      </c>
      <c r="B51" s="26">
        <v>3066</v>
      </c>
      <c r="C51" s="4" t="s">
        <v>376</v>
      </c>
      <c r="D51" s="24">
        <f>1785.95</f>
        <v>1785.95</v>
      </c>
      <c r="E51" s="24"/>
      <c r="F51" s="4"/>
      <c r="G51" s="27"/>
      <c r="H51" s="24"/>
      <c r="I51" s="4"/>
      <c r="J51" s="24"/>
      <c r="K51" s="20">
        <f t="shared" si="1"/>
        <v>3066</v>
      </c>
      <c r="L51" s="20">
        <f t="shared" si="2"/>
        <v>1785.95</v>
      </c>
      <c r="M51" s="13">
        <f t="shared" si="3"/>
        <v>41.7498369210698</v>
      </c>
      <c r="N51" s="4"/>
    </row>
    <row r="52" spans="1:14" x14ac:dyDescent="0.25">
      <c r="A52" s="23" t="s">
        <v>227</v>
      </c>
      <c r="B52" s="26">
        <f>2839+1893+3092</f>
        <v>7824</v>
      </c>
      <c r="C52" s="4" t="s">
        <v>270</v>
      </c>
      <c r="D52" s="24">
        <v>6322.41</v>
      </c>
      <c r="E52" s="24"/>
      <c r="F52" s="4"/>
      <c r="G52" s="27"/>
      <c r="H52" s="24"/>
      <c r="I52" s="4"/>
      <c r="J52" s="24"/>
      <c r="K52" s="20">
        <f t="shared" si="1"/>
        <v>7824</v>
      </c>
      <c r="L52" s="20">
        <f t="shared" si="2"/>
        <v>6322.41</v>
      </c>
      <c r="M52" s="13">
        <f t="shared" si="3"/>
        <v>19.19210122699387</v>
      </c>
      <c r="N52" s="4"/>
    </row>
    <row r="53" spans="1:14" x14ac:dyDescent="0.25">
      <c r="A53" s="23" t="s">
        <v>176</v>
      </c>
      <c r="B53" s="24">
        <v>1179</v>
      </c>
      <c r="C53" s="4" t="s">
        <v>136</v>
      </c>
      <c r="D53" s="24">
        <f>1351.35*0.75</f>
        <v>1013.5124999999999</v>
      </c>
      <c r="E53" s="24">
        <v>1400</v>
      </c>
      <c r="F53" s="4" t="s">
        <v>146</v>
      </c>
      <c r="G53" s="27">
        <v>1104</v>
      </c>
      <c r="H53" s="24"/>
      <c r="I53" s="4"/>
      <c r="J53" s="24"/>
      <c r="K53" s="20">
        <f t="shared" si="1"/>
        <v>2579</v>
      </c>
      <c r="L53" s="20">
        <f t="shared" si="2"/>
        <v>2117.5124999999998</v>
      </c>
      <c r="M53" s="13">
        <f t="shared" si="3"/>
        <v>17.89404808065143</v>
      </c>
      <c r="N53" s="4"/>
    </row>
    <row r="54" spans="1:14" x14ac:dyDescent="0.25">
      <c r="A54" s="23" t="s">
        <v>177</v>
      </c>
      <c r="B54" s="47"/>
      <c r="C54" s="4"/>
      <c r="D54" s="24"/>
      <c r="E54" s="24"/>
      <c r="F54" s="4"/>
      <c r="G54" s="27"/>
      <c r="H54" s="24"/>
      <c r="I54" s="4"/>
      <c r="J54" s="24"/>
      <c r="K54" s="20">
        <f t="shared" si="1"/>
        <v>0</v>
      </c>
      <c r="L54" s="20">
        <f t="shared" si="2"/>
        <v>0</v>
      </c>
      <c r="M54" s="13" t="e">
        <f t="shared" si="3"/>
        <v>#DIV/0!</v>
      </c>
      <c r="N54" s="4"/>
    </row>
    <row r="55" spans="1:14" x14ac:dyDescent="0.25">
      <c r="A55" s="23" t="s">
        <v>86</v>
      </c>
      <c r="B55" s="26">
        <f>1339+1786+6898+10982+1030+1373+2129+2838</f>
        <v>28375</v>
      </c>
      <c r="C55" s="4" t="s">
        <v>270</v>
      </c>
      <c r="D55" s="24">
        <f>28453-1351.35</f>
        <v>27101.65</v>
      </c>
      <c r="E55" s="24"/>
      <c r="F55" s="4"/>
      <c r="G55" s="27"/>
      <c r="H55" s="24"/>
      <c r="I55" s="4"/>
      <c r="J55" s="24"/>
      <c r="K55" s="20">
        <f t="shared" si="1"/>
        <v>28375</v>
      </c>
      <c r="L55" s="20">
        <f t="shared" si="2"/>
        <v>27101.65</v>
      </c>
      <c r="M55" s="13">
        <f t="shared" si="3"/>
        <v>4.4875770925110174</v>
      </c>
      <c r="N55" s="4"/>
    </row>
    <row r="56" spans="1:14" x14ac:dyDescent="0.25">
      <c r="A56" s="23" t="s">
        <v>87</v>
      </c>
      <c r="B56" s="47"/>
      <c r="C56" s="4"/>
      <c r="D56" s="24"/>
      <c r="E56" s="24"/>
      <c r="F56" s="4"/>
      <c r="G56" s="27"/>
      <c r="H56" s="24"/>
      <c r="I56" s="4"/>
      <c r="J56" s="24"/>
      <c r="K56" s="20">
        <f t="shared" si="1"/>
        <v>0</v>
      </c>
      <c r="L56" s="20">
        <f t="shared" si="2"/>
        <v>0</v>
      </c>
      <c r="M56" s="14" t="e">
        <f t="shared" si="3"/>
        <v>#DIV/0!</v>
      </c>
      <c r="N56" s="4"/>
    </row>
    <row r="57" spans="1:14" x14ac:dyDescent="0.25">
      <c r="A57" s="23" t="s">
        <v>88</v>
      </c>
      <c r="B57" s="24">
        <f>2231+186</f>
        <v>2417</v>
      </c>
      <c r="C57" s="4" t="s">
        <v>136</v>
      </c>
      <c r="D57" s="24">
        <v>2424</v>
      </c>
      <c r="E57" s="24">
        <v>750</v>
      </c>
      <c r="F57" s="4" t="s">
        <v>212</v>
      </c>
      <c r="G57" s="27">
        <v>1154</v>
      </c>
      <c r="H57" s="24">
        <v>7725</v>
      </c>
      <c r="I57" s="4" t="s">
        <v>377</v>
      </c>
      <c r="J57" s="24">
        <v>8361</v>
      </c>
      <c r="K57" s="20">
        <f t="shared" si="1"/>
        <v>10892</v>
      </c>
      <c r="L57" s="20">
        <f t="shared" si="2"/>
        <v>11939</v>
      </c>
      <c r="M57" s="13">
        <f t="shared" si="3"/>
        <v>-9.6125596768270327</v>
      </c>
      <c r="N57" s="4"/>
    </row>
    <row r="58" spans="1:14" x14ac:dyDescent="0.25">
      <c r="A58" s="23" t="s">
        <v>89</v>
      </c>
      <c r="B58" s="26">
        <v>785</v>
      </c>
      <c r="C58" s="4" t="s">
        <v>324</v>
      </c>
      <c r="D58" s="24">
        <v>480.66</v>
      </c>
      <c r="E58" s="24">
        <v>580</v>
      </c>
      <c r="F58" s="4" t="s">
        <v>384</v>
      </c>
      <c r="G58" s="27">
        <v>570</v>
      </c>
      <c r="H58" s="24"/>
      <c r="I58" s="4"/>
      <c r="J58" s="24"/>
      <c r="K58" s="20">
        <f>B58+E58+H58</f>
        <v>1365</v>
      </c>
      <c r="L58" s="20">
        <f t="shared" si="2"/>
        <v>1050.6600000000001</v>
      </c>
      <c r="M58" s="13">
        <f>100-L58*100/K58</f>
        <v>23.028571428571425</v>
      </c>
      <c r="N58" s="4"/>
    </row>
    <row r="59" spans="1:14" x14ac:dyDescent="0.25">
      <c r="A59" s="23" t="s">
        <v>90</v>
      </c>
      <c r="B59" s="26">
        <f>919+1225+14702+2955+1593+2124+(196+12+25+125+150+85+588)</f>
        <v>24699</v>
      </c>
      <c r="C59" s="4" t="s">
        <v>270</v>
      </c>
      <c r="D59" s="24">
        <f>(22277.38+58287)/3</f>
        <v>26854.793333333335</v>
      </c>
      <c r="E59" s="24"/>
      <c r="F59" s="4"/>
      <c r="G59" s="27"/>
      <c r="H59" s="24"/>
      <c r="I59" s="4"/>
      <c r="J59" s="24"/>
      <c r="K59" s="20">
        <f t="shared" si="1"/>
        <v>24699</v>
      </c>
      <c r="L59" s="20">
        <f t="shared" si="2"/>
        <v>26854.793333333335</v>
      </c>
      <c r="M59" s="13">
        <f t="shared" si="3"/>
        <v>-8.7282616030338716</v>
      </c>
      <c r="N59" s="4"/>
    </row>
    <row r="60" spans="1:14" x14ac:dyDescent="0.25">
      <c r="A60" s="23" t="s">
        <v>96</v>
      </c>
      <c r="B60" s="26">
        <f>919+1225+14702+2955+1593+2124+(196+12+25+125+150+85+588)</f>
        <v>24699</v>
      </c>
      <c r="C60" s="4" t="s">
        <v>270</v>
      </c>
      <c r="D60" s="24">
        <f>(22277.38+58287)/3</f>
        <v>26854.793333333335</v>
      </c>
      <c r="E60" s="24"/>
      <c r="F60" s="4"/>
      <c r="G60" s="27"/>
      <c r="H60" s="24"/>
      <c r="I60" s="4"/>
      <c r="J60" s="24"/>
      <c r="K60" s="20">
        <f t="shared" si="1"/>
        <v>24699</v>
      </c>
      <c r="L60" s="20">
        <f t="shared" si="2"/>
        <v>26854.793333333335</v>
      </c>
      <c r="M60" s="13">
        <f t="shared" si="3"/>
        <v>-8.7282616030338716</v>
      </c>
      <c r="N60" s="4"/>
    </row>
    <row r="61" spans="1:14" x14ac:dyDescent="0.25">
      <c r="A61" s="23" t="s">
        <v>97</v>
      </c>
      <c r="B61" s="26">
        <f>919+1225+14702+2955+1593+2124+(196+12+25+125+150+85+588)</f>
        <v>24699</v>
      </c>
      <c r="C61" s="4" t="s">
        <v>270</v>
      </c>
      <c r="D61" s="24">
        <f>(22277.38+58287)/3</f>
        <v>26854.793333333335</v>
      </c>
      <c r="E61" s="24"/>
      <c r="F61" s="4"/>
      <c r="G61" s="27"/>
      <c r="H61" s="24"/>
      <c r="I61" s="4"/>
      <c r="J61" s="24"/>
      <c r="K61" s="20">
        <f t="shared" si="1"/>
        <v>24699</v>
      </c>
      <c r="L61" s="20">
        <f t="shared" si="2"/>
        <v>26854.793333333335</v>
      </c>
      <c r="M61" s="14">
        <f t="shared" si="3"/>
        <v>-8.7282616030338716</v>
      </c>
      <c r="N61" s="4"/>
    </row>
    <row r="62" spans="1:14" x14ac:dyDescent="0.25">
      <c r="A62" s="23" t="s">
        <v>98</v>
      </c>
      <c r="B62" s="26">
        <f>1225+9802+2940+2655+919+(196+12+78+188+85+490)</f>
        <v>18590</v>
      </c>
      <c r="C62" s="4" t="s">
        <v>270</v>
      </c>
      <c r="D62" s="24">
        <f>49065/3</f>
        <v>16355</v>
      </c>
      <c r="E62" s="24"/>
      <c r="F62" s="4"/>
      <c r="G62" s="27"/>
      <c r="H62" s="24"/>
      <c r="I62" s="28"/>
      <c r="J62" s="24"/>
      <c r="K62" s="20">
        <f t="shared" si="1"/>
        <v>18590</v>
      </c>
      <c r="L62" s="20">
        <f t="shared" si="2"/>
        <v>16355</v>
      </c>
      <c r="M62" s="13">
        <f t="shared" si="3"/>
        <v>12.022592791823556</v>
      </c>
      <c r="N62" s="4"/>
    </row>
    <row r="63" spans="1:14" x14ac:dyDescent="0.25">
      <c r="A63" s="23" t="s">
        <v>99</v>
      </c>
      <c r="B63" s="26">
        <f>1225+9802+2940+2655+919+(196+12+78+188+85+490)</f>
        <v>18590</v>
      </c>
      <c r="C63" s="4" t="s">
        <v>270</v>
      </c>
      <c r="D63" s="24">
        <f>49065/3</f>
        <v>16355</v>
      </c>
      <c r="E63" s="24"/>
      <c r="F63" s="4"/>
      <c r="G63" s="27"/>
      <c r="H63" s="24"/>
      <c r="I63" s="4"/>
      <c r="J63" s="24"/>
      <c r="K63" s="20">
        <f t="shared" si="1"/>
        <v>18590</v>
      </c>
      <c r="L63" s="20">
        <f t="shared" si="2"/>
        <v>16355</v>
      </c>
      <c r="M63" s="13">
        <f t="shared" si="3"/>
        <v>12.022592791823556</v>
      </c>
      <c r="N63" s="4"/>
    </row>
    <row r="64" spans="1:14" x14ac:dyDescent="0.25">
      <c r="A64" s="23" t="s">
        <v>100</v>
      </c>
      <c r="B64" s="26">
        <f>1225+9802+2940+2655+919+(196+12+78+188+85+490)</f>
        <v>18590</v>
      </c>
      <c r="C64" s="4" t="s">
        <v>270</v>
      </c>
      <c r="D64" s="24">
        <f>49065/3</f>
        <v>16355</v>
      </c>
      <c r="E64" s="24"/>
      <c r="F64" s="4"/>
      <c r="G64" s="27"/>
      <c r="H64" s="24"/>
      <c r="I64" s="4"/>
      <c r="J64" s="24"/>
      <c r="K64" s="20">
        <f t="shared" si="1"/>
        <v>18590</v>
      </c>
      <c r="L64" s="20">
        <f t="shared" si="2"/>
        <v>16355</v>
      </c>
      <c r="M64" s="13">
        <f t="shared" si="3"/>
        <v>12.022592791823556</v>
      </c>
      <c r="N64" s="4"/>
    </row>
    <row r="65" spans="1:14" x14ac:dyDescent="0.25">
      <c r="A65" s="23" t="s">
        <v>102</v>
      </c>
      <c r="B65" s="24">
        <v>2999</v>
      </c>
      <c r="C65" s="4" t="s">
        <v>136</v>
      </c>
      <c r="D65" s="24">
        <f>2602.39</f>
        <v>2602.39</v>
      </c>
      <c r="E65" s="24">
        <v>5200</v>
      </c>
      <c r="F65" s="4" t="s">
        <v>212</v>
      </c>
      <c r="G65" s="27">
        <v>4270</v>
      </c>
      <c r="H65" s="24">
        <f>1480+2352+500+6900</f>
        <v>11232</v>
      </c>
      <c r="I65" s="4" t="s">
        <v>378</v>
      </c>
      <c r="J65" s="24">
        <f>1480+2352+500+6953</f>
        <v>11285</v>
      </c>
      <c r="K65" s="20">
        <f>B65+E65+H65</f>
        <v>19431</v>
      </c>
      <c r="L65" s="20">
        <f>D65+G65+J65</f>
        <v>18157.39</v>
      </c>
      <c r="M65" s="13">
        <f t="shared" si="3"/>
        <v>6.5545262724512412</v>
      </c>
      <c r="N65" s="4"/>
    </row>
    <row r="66" spans="1:14" x14ac:dyDescent="0.25">
      <c r="A66" s="23" t="s">
        <v>103</v>
      </c>
      <c r="B66" s="24">
        <f>5489+12660+2176</f>
        <v>20325</v>
      </c>
      <c r="C66" s="4" t="s">
        <v>136</v>
      </c>
      <c r="D66" s="24">
        <v>19635.490000000002</v>
      </c>
      <c r="E66" s="24">
        <v>27346</v>
      </c>
      <c r="F66" s="4" t="s">
        <v>212</v>
      </c>
      <c r="G66" s="27">
        <v>25608.36</v>
      </c>
      <c r="H66" s="24"/>
      <c r="I66" s="4"/>
      <c r="J66" s="24"/>
      <c r="K66" s="20">
        <f>B66+E66+H66</f>
        <v>47671</v>
      </c>
      <c r="L66" s="20">
        <f>D66+G66+J66</f>
        <v>45243.850000000006</v>
      </c>
      <c r="M66" s="13">
        <f>100-L66*100/K66</f>
        <v>5.0914602169033429</v>
      </c>
      <c r="N66" s="4"/>
    </row>
    <row r="67" spans="1:14" x14ac:dyDescent="0.25">
      <c r="A67" s="23" t="s">
        <v>104</v>
      </c>
      <c r="B67" s="24">
        <f>5489+12660+2176</f>
        <v>20325</v>
      </c>
      <c r="C67" s="4" t="s">
        <v>136</v>
      </c>
      <c r="D67" s="24">
        <v>19635.490000000002</v>
      </c>
      <c r="E67" s="24">
        <v>27346</v>
      </c>
      <c r="F67" s="4" t="s">
        <v>212</v>
      </c>
      <c r="G67" s="27">
        <v>25608.36</v>
      </c>
      <c r="H67" s="24"/>
      <c r="I67" s="4"/>
      <c r="J67" s="24"/>
      <c r="K67" s="20">
        <f t="shared" ref="K67:K120" si="5">B67+E67+H67</f>
        <v>47671</v>
      </c>
      <c r="L67" s="20">
        <f t="shared" ref="L67:L131" si="6">D67+G67+J67</f>
        <v>45243.850000000006</v>
      </c>
      <c r="M67" s="13">
        <f t="shared" ref="M67:M131" si="7">100-L67*100/K67</f>
        <v>5.0914602169033429</v>
      </c>
      <c r="N67" s="4"/>
    </row>
    <row r="68" spans="1:14" x14ac:dyDescent="0.25">
      <c r="A68" s="23" t="s">
        <v>106</v>
      </c>
      <c r="B68" s="24">
        <f>1406+1875+17811+14249+1406+1875</f>
        <v>38622</v>
      </c>
      <c r="C68" s="4" t="s">
        <v>270</v>
      </c>
      <c r="D68" s="24">
        <v>38627.4</v>
      </c>
      <c r="E68" s="24"/>
      <c r="F68" s="4"/>
      <c r="G68" s="27"/>
      <c r="H68" s="24"/>
      <c r="I68" s="4"/>
      <c r="J68" s="24"/>
      <c r="K68" s="20">
        <f t="shared" si="5"/>
        <v>38622</v>
      </c>
      <c r="L68" s="20">
        <f t="shared" si="6"/>
        <v>38627.4</v>
      </c>
      <c r="M68" s="13">
        <f t="shared" si="7"/>
        <v>-1.3981668479104314E-2</v>
      </c>
      <c r="N68" s="4"/>
    </row>
    <row r="69" spans="1:14" x14ac:dyDescent="0.25">
      <c r="A69" s="23" t="s">
        <v>107</v>
      </c>
      <c r="B69" s="47"/>
      <c r="C69" s="4"/>
      <c r="D69" s="24"/>
      <c r="E69" s="24"/>
      <c r="F69" s="4"/>
      <c r="G69" s="27"/>
      <c r="H69" s="24"/>
      <c r="I69" s="4"/>
      <c r="J69" s="24"/>
      <c r="K69" s="20">
        <f t="shared" si="5"/>
        <v>0</v>
      </c>
      <c r="L69" s="20">
        <f t="shared" si="6"/>
        <v>0</v>
      </c>
      <c r="M69" s="13" t="e">
        <f t="shared" si="7"/>
        <v>#DIV/0!</v>
      </c>
      <c r="N69" s="4"/>
    </row>
    <row r="70" spans="1:14" x14ac:dyDescent="0.25">
      <c r="A70" s="23" t="s">
        <v>108</v>
      </c>
      <c r="B70" s="24">
        <f>309</f>
        <v>309</v>
      </c>
      <c r="C70" s="4" t="s">
        <v>136</v>
      </c>
      <c r="D70" s="24">
        <v>467.05</v>
      </c>
      <c r="E70" s="24">
        <f>1240</f>
        <v>1240</v>
      </c>
      <c r="F70" s="4" t="s">
        <v>212</v>
      </c>
      <c r="G70" s="27">
        <f>420+420</f>
        <v>840</v>
      </c>
      <c r="H70" s="24"/>
      <c r="I70" s="4"/>
      <c r="J70" s="24"/>
      <c r="K70" s="20">
        <f t="shared" si="5"/>
        <v>1549</v>
      </c>
      <c r="L70" s="20">
        <f t="shared" si="6"/>
        <v>1307.05</v>
      </c>
      <c r="M70" s="13">
        <f t="shared" si="7"/>
        <v>15.619754680438987</v>
      </c>
      <c r="N70" s="41"/>
    </row>
    <row r="71" spans="1:14" x14ac:dyDescent="0.25">
      <c r="A71" s="23" t="s">
        <v>109</v>
      </c>
      <c r="B71" s="24">
        <f>4328+1236</f>
        <v>5564</v>
      </c>
      <c r="C71" s="4" t="s">
        <v>379</v>
      </c>
      <c r="D71" s="24">
        <v>4653.3999999999996</v>
      </c>
      <c r="E71" s="24">
        <f>2340</f>
        <v>2340</v>
      </c>
      <c r="F71" s="4" t="s">
        <v>380</v>
      </c>
      <c r="G71" s="27">
        <v>2155</v>
      </c>
      <c r="H71" s="24"/>
      <c r="I71" s="4"/>
      <c r="J71" s="24"/>
      <c r="K71" s="20">
        <f t="shared" si="5"/>
        <v>7904</v>
      </c>
      <c r="L71" s="20">
        <f t="shared" si="6"/>
        <v>6808.4</v>
      </c>
      <c r="M71" s="13">
        <f t="shared" si="7"/>
        <v>13.861336032388664</v>
      </c>
      <c r="N71" s="4"/>
    </row>
    <row r="72" spans="1:14" x14ac:dyDescent="0.25">
      <c r="A72" s="23" t="s">
        <v>111</v>
      </c>
      <c r="B72" s="24">
        <f>1473+1964+6600+31443</f>
        <v>41480</v>
      </c>
      <c r="C72" s="4" t="s">
        <v>381</v>
      </c>
      <c r="D72" s="24">
        <f>1419.87+1893.16+6460.74+30297.975</f>
        <v>40071.744999999995</v>
      </c>
      <c r="E72" s="24"/>
      <c r="F72" s="4"/>
      <c r="G72" s="27"/>
      <c r="H72" s="24">
        <v>18150</v>
      </c>
      <c r="I72" s="4" t="s">
        <v>236</v>
      </c>
      <c r="J72" s="24">
        <f>17480+633.333</f>
        <v>18113.332999999999</v>
      </c>
      <c r="K72" s="20">
        <f t="shared" si="5"/>
        <v>59630</v>
      </c>
      <c r="L72" s="20">
        <f t="shared" si="6"/>
        <v>58185.077999999994</v>
      </c>
      <c r="M72" s="13">
        <f t="shared" si="7"/>
        <v>2.423146067415729</v>
      </c>
      <c r="N72" s="4"/>
    </row>
    <row r="73" spans="1:14" x14ac:dyDescent="0.25">
      <c r="A73" s="23" t="s">
        <v>117</v>
      </c>
      <c r="B73" s="24">
        <f t="shared" ref="B73:B75" si="8">1473+1964+6600+31443</f>
        <v>41480</v>
      </c>
      <c r="C73" s="4" t="s">
        <v>382</v>
      </c>
      <c r="D73" s="24">
        <f>1419.87+1893.16+6460.74+30297.975</f>
        <v>40071.744999999995</v>
      </c>
      <c r="E73" s="24"/>
      <c r="F73" s="4"/>
      <c r="G73" s="27"/>
      <c r="H73" s="24">
        <v>18150</v>
      </c>
      <c r="I73" s="4" t="s">
        <v>236</v>
      </c>
      <c r="J73" s="24">
        <f>17480+633.333</f>
        <v>18113.332999999999</v>
      </c>
      <c r="K73" s="20">
        <f t="shared" si="5"/>
        <v>59630</v>
      </c>
      <c r="L73" s="20">
        <f t="shared" si="6"/>
        <v>58185.077999999994</v>
      </c>
      <c r="M73" s="13">
        <f t="shared" si="7"/>
        <v>2.423146067415729</v>
      </c>
      <c r="N73" s="4"/>
    </row>
    <row r="74" spans="1:14" x14ac:dyDescent="0.25">
      <c r="A74" s="23" t="s">
        <v>118</v>
      </c>
      <c r="B74" s="24">
        <f t="shared" si="8"/>
        <v>41480</v>
      </c>
      <c r="C74" s="4" t="s">
        <v>382</v>
      </c>
      <c r="D74" s="24">
        <f>1419.87+1893.16+6460.74+30297.975</f>
        <v>40071.744999999995</v>
      </c>
      <c r="E74" s="24"/>
      <c r="F74" s="4"/>
      <c r="G74" s="27"/>
      <c r="H74" s="24">
        <v>18150</v>
      </c>
      <c r="I74" s="4" t="s">
        <v>236</v>
      </c>
      <c r="J74" s="24">
        <f>17480+633.333</f>
        <v>18113.332999999999</v>
      </c>
      <c r="K74" s="20">
        <f t="shared" si="5"/>
        <v>59630</v>
      </c>
      <c r="L74" s="20">
        <f t="shared" si="6"/>
        <v>58185.077999999994</v>
      </c>
      <c r="M74" s="14">
        <f t="shared" si="7"/>
        <v>2.423146067415729</v>
      </c>
      <c r="N74" s="4"/>
    </row>
    <row r="75" spans="1:14" x14ac:dyDescent="0.25">
      <c r="A75" s="23" t="s">
        <v>119</v>
      </c>
      <c r="B75" s="24">
        <f t="shared" si="8"/>
        <v>41480</v>
      </c>
      <c r="C75" s="4" t="s">
        <v>382</v>
      </c>
      <c r="D75" s="24">
        <f>1419.87+1893.16+6460.74+30297.975</f>
        <v>40071.744999999995</v>
      </c>
      <c r="E75" s="24"/>
      <c r="F75" s="4"/>
      <c r="G75" s="27"/>
      <c r="H75" s="24">
        <v>18150</v>
      </c>
      <c r="I75" s="4" t="s">
        <v>236</v>
      </c>
      <c r="J75" s="24">
        <f>17480+633.333</f>
        <v>18113.332999999999</v>
      </c>
      <c r="K75" s="20">
        <f t="shared" si="5"/>
        <v>59630</v>
      </c>
      <c r="L75" s="20">
        <f t="shared" si="6"/>
        <v>58185.077999999994</v>
      </c>
      <c r="M75" s="13">
        <f t="shared" si="7"/>
        <v>2.423146067415729</v>
      </c>
      <c r="N75" s="4"/>
    </row>
    <row r="76" spans="1:14" x14ac:dyDescent="0.25">
      <c r="A76" s="23" t="s">
        <v>120</v>
      </c>
      <c r="B76" s="26">
        <f t="shared" ref="B76:B81" si="9">2500+3010+4900+2000</f>
        <v>12410</v>
      </c>
      <c r="C76" s="4" t="s">
        <v>382</v>
      </c>
      <c r="D76" s="24">
        <f t="shared" ref="D76:D81" si="10">71393.31/6</f>
        <v>11898.885</v>
      </c>
      <c r="E76" s="24"/>
      <c r="F76" s="4"/>
      <c r="G76" s="27"/>
      <c r="H76" s="24">
        <v>6500</v>
      </c>
      <c r="I76" s="4" t="s">
        <v>236</v>
      </c>
      <c r="J76" s="24">
        <f t="shared" ref="J76:J81" si="11">6096+258.333</f>
        <v>6354.3329999999996</v>
      </c>
      <c r="K76" s="20">
        <f t="shared" si="5"/>
        <v>18910</v>
      </c>
      <c r="L76" s="20">
        <f t="shared" si="6"/>
        <v>18253.218000000001</v>
      </c>
      <c r="M76" s="13">
        <f t="shared" si="7"/>
        <v>3.4731993654151267</v>
      </c>
      <c r="N76" s="4"/>
    </row>
    <row r="77" spans="1:14" x14ac:dyDescent="0.25">
      <c r="A77" s="23" t="s">
        <v>121</v>
      </c>
      <c r="B77" s="26">
        <f t="shared" si="9"/>
        <v>12410</v>
      </c>
      <c r="C77" s="4" t="s">
        <v>382</v>
      </c>
      <c r="D77" s="24">
        <f t="shared" si="10"/>
        <v>11898.885</v>
      </c>
      <c r="E77" s="24"/>
      <c r="F77" s="4"/>
      <c r="G77" s="27"/>
      <c r="H77" s="24">
        <v>6500</v>
      </c>
      <c r="I77" s="4" t="s">
        <v>236</v>
      </c>
      <c r="J77" s="24">
        <f t="shared" si="11"/>
        <v>6354.3329999999996</v>
      </c>
      <c r="K77" s="20">
        <f t="shared" si="5"/>
        <v>18910</v>
      </c>
      <c r="L77" s="20">
        <f t="shared" si="6"/>
        <v>18253.218000000001</v>
      </c>
      <c r="M77" s="13">
        <f t="shared" si="7"/>
        <v>3.4731993654151267</v>
      </c>
      <c r="N77" s="4"/>
    </row>
    <row r="78" spans="1:14" x14ac:dyDescent="0.25">
      <c r="A78" s="23" t="s">
        <v>122</v>
      </c>
      <c r="B78" s="26">
        <f t="shared" si="9"/>
        <v>12410</v>
      </c>
      <c r="C78" s="4" t="s">
        <v>382</v>
      </c>
      <c r="D78" s="24">
        <f t="shared" si="10"/>
        <v>11898.885</v>
      </c>
      <c r="E78" s="24"/>
      <c r="F78" s="4"/>
      <c r="G78" s="27"/>
      <c r="H78" s="24">
        <v>6500</v>
      </c>
      <c r="I78" s="4" t="s">
        <v>236</v>
      </c>
      <c r="J78" s="24">
        <f t="shared" si="11"/>
        <v>6354.3329999999996</v>
      </c>
      <c r="K78" s="20">
        <f t="shared" si="5"/>
        <v>18910</v>
      </c>
      <c r="L78" s="20">
        <f t="shared" si="6"/>
        <v>18253.218000000001</v>
      </c>
      <c r="M78" s="13">
        <f t="shared" si="7"/>
        <v>3.4731993654151267</v>
      </c>
      <c r="N78" s="4"/>
    </row>
    <row r="79" spans="1:14" x14ac:dyDescent="0.25">
      <c r="A79" s="23" t="s">
        <v>123</v>
      </c>
      <c r="B79" s="26">
        <f t="shared" si="9"/>
        <v>12410</v>
      </c>
      <c r="C79" s="4" t="s">
        <v>382</v>
      </c>
      <c r="D79" s="24">
        <f t="shared" si="10"/>
        <v>11898.885</v>
      </c>
      <c r="E79" s="24"/>
      <c r="F79" s="4"/>
      <c r="G79" s="27"/>
      <c r="H79" s="24">
        <v>6500</v>
      </c>
      <c r="I79" s="4" t="s">
        <v>236</v>
      </c>
      <c r="J79" s="24">
        <f t="shared" si="11"/>
        <v>6354.3329999999996</v>
      </c>
      <c r="K79" s="20">
        <f>B79+E79+H79</f>
        <v>18910</v>
      </c>
      <c r="L79" s="20">
        <f t="shared" si="6"/>
        <v>18253.218000000001</v>
      </c>
      <c r="M79" s="13">
        <f t="shared" si="7"/>
        <v>3.4731993654151267</v>
      </c>
      <c r="N79" s="4"/>
    </row>
    <row r="80" spans="1:14" x14ac:dyDescent="0.25">
      <c r="A80" s="23" t="s">
        <v>124</v>
      </c>
      <c r="B80" s="26">
        <f t="shared" si="9"/>
        <v>12410</v>
      </c>
      <c r="C80" s="4" t="s">
        <v>382</v>
      </c>
      <c r="D80" s="24">
        <f t="shared" si="10"/>
        <v>11898.885</v>
      </c>
      <c r="E80" s="24"/>
      <c r="F80" s="4"/>
      <c r="G80" s="27"/>
      <c r="H80" s="24">
        <v>6500</v>
      </c>
      <c r="I80" s="4" t="s">
        <v>236</v>
      </c>
      <c r="J80" s="24">
        <f t="shared" si="11"/>
        <v>6354.3329999999996</v>
      </c>
      <c r="K80" s="20">
        <f>B80+E80+H80</f>
        <v>18910</v>
      </c>
      <c r="L80" s="20">
        <f t="shared" si="6"/>
        <v>18253.218000000001</v>
      </c>
      <c r="M80" s="13">
        <f t="shared" si="7"/>
        <v>3.4731993654151267</v>
      </c>
      <c r="N80" s="4"/>
    </row>
    <row r="81" spans="1:14" x14ac:dyDescent="0.25">
      <c r="A81" s="23" t="s">
        <v>125</v>
      </c>
      <c r="B81" s="26">
        <f t="shared" si="9"/>
        <v>12410</v>
      </c>
      <c r="C81" s="4" t="s">
        <v>382</v>
      </c>
      <c r="D81" s="24">
        <f t="shared" si="10"/>
        <v>11898.885</v>
      </c>
      <c r="E81" s="24"/>
      <c r="F81" s="4"/>
      <c r="G81" s="27"/>
      <c r="H81" s="24">
        <v>6500</v>
      </c>
      <c r="I81" s="4" t="s">
        <v>236</v>
      </c>
      <c r="J81" s="24">
        <f t="shared" si="11"/>
        <v>6354.3329999999996</v>
      </c>
      <c r="K81" s="20">
        <f t="shared" si="5"/>
        <v>18910</v>
      </c>
      <c r="L81" s="20">
        <f t="shared" si="6"/>
        <v>18253.218000000001</v>
      </c>
      <c r="M81" s="13">
        <f t="shared" si="7"/>
        <v>3.4731993654151267</v>
      </c>
      <c r="N81" s="4"/>
    </row>
    <row r="82" spans="1:14" x14ac:dyDescent="0.25">
      <c r="A82" s="23" t="s">
        <v>126</v>
      </c>
      <c r="B82" s="24">
        <v>6554</v>
      </c>
      <c r="C82" s="4" t="s">
        <v>136</v>
      </c>
      <c r="D82" s="24">
        <v>6522.915</v>
      </c>
      <c r="E82" s="24">
        <v>7000</v>
      </c>
      <c r="F82" s="4" t="s">
        <v>212</v>
      </c>
      <c r="G82" s="27">
        <f>3145*2</f>
        <v>6290</v>
      </c>
      <c r="H82" s="24">
        <v>5350</v>
      </c>
      <c r="I82" s="4" t="s">
        <v>236</v>
      </c>
      <c r="J82" s="24">
        <f>3000+633.333</f>
        <v>3633.3330000000001</v>
      </c>
      <c r="K82" s="20">
        <f t="shared" si="5"/>
        <v>18904</v>
      </c>
      <c r="L82" s="20">
        <f t="shared" si="6"/>
        <v>16446.248</v>
      </c>
      <c r="M82" s="13">
        <f t="shared" si="7"/>
        <v>13.001227253491322</v>
      </c>
      <c r="N82" s="4"/>
    </row>
    <row r="83" spans="1:14" x14ac:dyDescent="0.25">
      <c r="A83" s="23" t="s">
        <v>127</v>
      </c>
      <c r="B83" s="24">
        <v>6554</v>
      </c>
      <c r="C83" s="4" t="s">
        <v>136</v>
      </c>
      <c r="D83" s="24">
        <v>6522.915</v>
      </c>
      <c r="E83" s="24">
        <v>7000</v>
      </c>
      <c r="F83" s="4" t="s">
        <v>212</v>
      </c>
      <c r="G83" s="27">
        <f>3145*2</f>
        <v>6290</v>
      </c>
      <c r="H83" s="24">
        <v>5350</v>
      </c>
      <c r="I83" s="4" t="s">
        <v>236</v>
      </c>
      <c r="J83" s="24">
        <f>3000+633.333</f>
        <v>3633.3330000000001</v>
      </c>
      <c r="K83" s="20">
        <f t="shared" si="5"/>
        <v>18904</v>
      </c>
      <c r="L83" s="20">
        <f t="shared" si="6"/>
        <v>16446.248</v>
      </c>
      <c r="M83" s="13">
        <f t="shared" si="7"/>
        <v>13.001227253491322</v>
      </c>
      <c r="N83" s="4"/>
    </row>
    <row r="84" spans="1:14" x14ac:dyDescent="0.25">
      <c r="A84" s="23" t="s">
        <v>128</v>
      </c>
      <c r="B84" s="26">
        <f>1152+3839+1152</f>
        <v>6143</v>
      </c>
      <c r="C84" s="4" t="s">
        <v>382</v>
      </c>
      <c r="D84" s="24">
        <v>5851.2</v>
      </c>
      <c r="E84" s="24"/>
      <c r="F84" s="4"/>
      <c r="G84" s="27"/>
      <c r="H84" s="24"/>
      <c r="I84" s="4"/>
      <c r="J84" s="53"/>
      <c r="K84" s="20">
        <f t="shared" si="5"/>
        <v>6143</v>
      </c>
      <c r="L84" s="20">
        <f t="shared" si="6"/>
        <v>5851.2</v>
      </c>
      <c r="M84" s="14">
        <f t="shared" si="7"/>
        <v>4.7501220901839503</v>
      </c>
      <c r="N84" s="4"/>
    </row>
    <row r="85" spans="1:14" x14ac:dyDescent="0.25">
      <c r="A85" s="23" t="s">
        <v>129</v>
      </c>
      <c r="B85" s="26">
        <f>4732+4732+4732+29201</f>
        <v>43397</v>
      </c>
      <c r="C85" s="4" t="s">
        <v>382</v>
      </c>
      <c r="D85" s="24">
        <v>45120.074999999997</v>
      </c>
      <c r="E85" s="24"/>
      <c r="F85" s="4"/>
      <c r="G85" s="27"/>
      <c r="H85" s="24"/>
      <c r="I85" s="4"/>
      <c r="J85" s="53"/>
      <c r="K85" s="20">
        <f t="shared" si="5"/>
        <v>43397</v>
      </c>
      <c r="L85" s="20">
        <f t="shared" si="6"/>
        <v>45120.074999999997</v>
      </c>
      <c r="M85" s="13">
        <f t="shared" si="7"/>
        <v>-3.9704933520750245</v>
      </c>
      <c r="N85" s="4"/>
    </row>
    <row r="86" spans="1:14" x14ac:dyDescent="0.25">
      <c r="A86" s="23" t="s">
        <v>130</v>
      </c>
      <c r="B86" s="26">
        <f>4732+4732+4732+29201</f>
        <v>43397</v>
      </c>
      <c r="C86" s="4" t="s">
        <v>382</v>
      </c>
      <c r="D86" s="24">
        <v>45120.074999999997</v>
      </c>
      <c r="E86" s="24"/>
      <c r="F86" s="4"/>
      <c r="G86" s="27"/>
      <c r="H86" s="24"/>
      <c r="I86" s="4"/>
      <c r="J86" s="24"/>
      <c r="K86" s="20">
        <f t="shared" si="5"/>
        <v>43397</v>
      </c>
      <c r="L86" s="20">
        <f t="shared" si="6"/>
        <v>45120.074999999997</v>
      </c>
      <c r="M86" s="13">
        <f t="shared" si="7"/>
        <v>-3.9704933520750245</v>
      </c>
      <c r="N86" s="4"/>
    </row>
    <row r="87" spans="1:14" x14ac:dyDescent="0.25">
      <c r="A87" s="23" t="s">
        <v>131</v>
      </c>
      <c r="B87" s="26">
        <f>4732+4732+4732+29201</f>
        <v>43397</v>
      </c>
      <c r="C87" s="4" t="s">
        <v>382</v>
      </c>
      <c r="D87" s="24">
        <v>45120.074999999997</v>
      </c>
      <c r="E87" s="24"/>
      <c r="F87" s="4"/>
      <c r="G87" s="27"/>
      <c r="H87" s="24"/>
      <c r="I87" s="4"/>
      <c r="J87" s="24"/>
      <c r="K87" s="20">
        <f t="shared" si="5"/>
        <v>43397</v>
      </c>
      <c r="L87" s="20">
        <f t="shared" si="6"/>
        <v>45120.074999999997</v>
      </c>
      <c r="M87" s="13">
        <f t="shared" si="7"/>
        <v>-3.9704933520750245</v>
      </c>
      <c r="N87" s="4"/>
    </row>
    <row r="88" spans="1:14" x14ac:dyDescent="0.25">
      <c r="A88" s="23" t="s">
        <v>132</v>
      </c>
      <c r="B88" s="26">
        <f>4732+4732+4732+29201</f>
        <v>43397</v>
      </c>
      <c r="C88" s="4" t="s">
        <v>382</v>
      </c>
      <c r="D88" s="24">
        <v>45120.074999999997</v>
      </c>
      <c r="E88" s="24"/>
      <c r="F88" s="4"/>
      <c r="G88" s="24"/>
      <c r="H88" s="24"/>
      <c r="I88" s="4"/>
      <c r="J88" s="24"/>
      <c r="K88" s="20">
        <f t="shared" si="5"/>
        <v>43397</v>
      </c>
      <c r="L88" s="20">
        <f t="shared" si="6"/>
        <v>45120.074999999997</v>
      </c>
      <c r="M88" s="14">
        <f>100-L88*100/K88</f>
        <v>-3.9704933520750245</v>
      </c>
      <c r="N88" s="4"/>
    </row>
    <row r="89" spans="1:14" x14ac:dyDescent="0.25">
      <c r="A89" s="23" t="s">
        <v>133</v>
      </c>
      <c r="B89" s="26">
        <f>1080+1440+1440+1920+7918+3299</f>
        <v>17097</v>
      </c>
      <c r="C89" s="4" t="s">
        <v>382</v>
      </c>
      <c r="D89" s="24">
        <v>17416.080000000002</v>
      </c>
      <c r="E89" s="24"/>
      <c r="F89" s="4"/>
      <c r="G89" s="24"/>
      <c r="H89" s="24"/>
      <c r="I89" s="4"/>
      <c r="J89" s="24"/>
      <c r="K89" s="20">
        <f t="shared" si="5"/>
        <v>17097</v>
      </c>
      <c r="L89" s="20">
        <f t="shared" si="6"/>
        <v>17416.080000000002</v>
      </c>
      <c r="M89" s="13">
        <f t="shared" si="7"/>
        <v>-1.8662923319880775</v>
      </c>
      <c r="N89" s="4"/>
    </row>
    <row r="90" spans="1:14" x14ac:dyDescent="0.25">
      <c r="A90" s="23" t="s">
        <v>134</v>
      </c>
      <c r="B90" s="26">
        <f>1080+1440+1440+1920+7918+3299</f>
        <v>17097</v>
      </c>
      <c r="C90" s="4" t="s">
        <v>382</v>
      </c>
      <c r="D90" s="24">
        <v>17416.080000000002</v>
      </c>
      <c r="E90" s="24"/>
      <c r="F90" s="4"/>
      <c r="G90" s="24"/>
      <c r="H90" s="24"/>
      <c r="I90" s="4"/>
      <c r="J90" s="24"/>
      <c r="K90" s="20">
        <f t="shared" si="5"/>
        <v>17097</v>
      </c>
      <c r="L90" s="20">
        <f t="shared" si="6"/>
        <v>17416.080000000002</v>
      </c>
      <c r="M90" s="13">
        <f t="shared" si="7"/>
        <v>-1.8662923319880775</v>
      </c>
      <c r="N90" s="4"/>
    </row>
    <row r="91" spans="1:14" x14ac:dyDescent="0.25">
      <c r="A91" s="23" t="s">
        <v>135</v>
      </c>
      <c r="B91" s="26">
        <f t="shared" ref="B91:B112" si="12">2500+3010+4900+2000</f>
        <v>12410</v>
      </c>
      <c r="C91" s="4" t="s">
        <v>382</v>
      </c>
      <c r="D91" s="24">
        <f>1784.45+2062.67+2062.67+2321.28+1599.06+1599.06</f>
        <v>11429.189999999999</v>
      </c>
      <c r="E91" s="24"/>
      <c r="F91" s="4"/>
      <c r="G91" s="27"/>
      <c r="H91" s="24">
        <v>6500</v>
      </c>
      <c r="I91" s="4" t="s">
        <v>236</v>
      </c>
      <c r="J91" s="24">
        <f t="shared" ref="J91:J112" si="13">5650+160.71</f>
        <v>5810.71</v>
      </c>
      <c r="K91" s="20">
        <f t="shared" si="5"/>
        <v>18910</v>
      </c>
      <c r="L91" s="20">
        <f t="shared" si="6"/>
        <v>17239.899999999998</v>
      </c>
      <c r="M91" s="13">
        <f t="shared" si="7"/>
        <v>8.8318350079323267</v>
      </c>
      <c r="N91" s="4"/>
    </row>
    <row r="92" spans="1:14" x14ac:dyDescent="0.25">
      <c r="A92" s="23" t="s">
        <v>140</v>
      </c>
      <c r="B92" s="26">
        <f t="shared" si="12"/>
        <v>12410</v>
      </c>
      <c r="C92" s="4" t="s">
        <v>382</v>
      </c>
      <c r="D92" s="24">
        <f t="shared" ref="D92:D106" si="14">1784.45+2062.67+2062.67+2321.28+1599.06+1599.06</f>
        <v>11429.189999999999</v>
      </c>
      <c r="E92" s="24"/>
      <c r="F92" s="4"/>
      <c r="G92" s="27"/>
      <c r="H92" s="24">
        <v>6500</v>
      </c>
      <c r="I92" s="4" t="s">
        <v>236</v>
      </c>
      <c r="J92" s="24">
        <f t="shared" si="13"/>
        <v>5810.71</v>
      </c>
      <c r="K92" s="20">
        <f t="shared" si="5"/>
        <v>18910</v>
      </c>
      <c r="L92" s="20">
        <f t="shared" si="6"/>
        <v>17239.899999999998</v>
      </c>
      <c r="M92" s="14">
        <f t="shared" si="7"/>
        <v>8.8318350079323267</v>
      </c>
      <c r="N92" s="4"/>
    </row>
    <row r="93" spans="1:14" x14ac:dyDescent="0.25">
      <c r="A93" s="23" t="s">
        <v>141</v>
      </c>
      <c r="B93" s="26">
        <f t="shared" si="12"/>
        <v>12410</v>
      </c>
      <c r="C93" s="4" t="s">
        <v>382</v>
      </c>
      <c r="D93" s="24">
        <f t="shared" si="14"/>
        <v>11429.189999999999</v>
      </c>
      <c r="E93" s="24"/>
      <c r="F93" s="4"/>
      <c r="G93" s="27"/>
      <c r="H93" s="24">
        <v>6500</v>
      </c>
      <c r="I93" s="4" t="s">
        <v>236</v>
      </c>
      <c r="J93" s="24">
        <f t="shared" si="13"/>
        <v>5810.71</v>
      </c>
      <c r="K93" s="20">
        <f t="shared" si="5"/>
        <v>18910</v>
      </c>
      <c r="L93" s="20">
        <f t="shared" si="6"/>
        <v>17239.899999999998</v>
      </c>
      <c r="M93" s="13">
        <f t="shared" si="7"/>
        <v>8.8318350079323267</v>
      </c>
      <c r="N93" s="4"/>
    </row>
    <row r="94" spans="1:14" x14ac:dyDescent="0.25">
      <c r="A94" s="23" t="s">
        <v>142</v>
      </c>
      <c r="B94" s="26">
        <f t="shared" si="12"/>
        <v>12410</v>
      </c>
      <c r="C94" s="4" t="s">
        <v>382</v>
      </c>
      <c r="D94" s="24">
        <f t="shared" si="14"/>
        <v>11429.189999999999</v>
      </c>
      <c r="E94" s="24"/>
      <c r="F94" s="4"/>
      <c r="G94" s="27"/>
      <c r="H94" s="24">
        <v>6500</v>
      </c>
      <c r="I94" s="4" t="s">
        <v>236</v>
      </c>
      <c r="J94" s="24">
        <f t="shared" si="13"/>
        <v>5810.71</v>
      </c>
      <c r="K94" s="20">
        <f t="shared" si="5"/>
        <v>18910</v>
      </c>
      <c r="L94" s="20">
        <f t="shared" si="6"/>
        <v>17239.899999999998</v>
      </c>
      <c r="M94" s="13">
        <f t="shared" si="7"/>
        <v>8.8318350079323267</v>
      </c>
      <c r="N94" s="4"/>
    </row>
    <row r="95" spans="1:14" x14ac:dyDescent="0.25">
      <c r="A95" s="23" t="s">
        <v>143</v>
      </c>
      <c r="B95" s="26">
        <f t="shared" si="12"/>
        <v>12410</v>
      </c>
      <c r="C95" s="4" t="s">
        <v>382</v>
      </c>
      <c r="D95" s="24">
        <f t="shared" si="14"/>
        <v>11429.189999999999</v>
      </c>
      <c r="E95" s="24"/>
      <c r="F95" s="4"/>
      <c r="G95" s="27"/>
      <c r="H95" s="24">
        <v>6500</v>
      </c>
      <c r="I95" s="4" t="s">
        <v>236</v>
      </c>
      <c r="J95" s="24">
        <f t="shared" si="13"/>
        <v>5810.71</v>
      </c>
      <c r="K95" s="20">
        <f t="shared" si="5"/>
        <v>18910</v>
      </c>
      <c r="L95" s="20">
        <f t="shared" si="6"/>
        <v>17239.899999999998</v>
      </c>
      <c r="M95" s="13">
        <f t="shared" si="7"/>
        <v>8.8318350079323267</v>
      </c>
      <c r="N95" s="4"/>
    </row>
    <row r="96" spans="1:14" x14ac:dyDescent="0.25">
      <c r="A96" s="23" t="s">
        <v>149</v>
      </c>
      <c r="B96" s="26">
        <f t="shared" si="12"/>
        <v>12410</v>
      </c>
      <c r="C96" s="4" t="s">
        <v>382</v>
      </c>
      <c r="D96" s="24">
        <f t="shared" si="14"/>
        <v>11429.189999999999</v>
      </c>
      <c r="E96" s="24"/>
      <c r="F96" s="4"/>
      <c r="G96" s="27"/>
      <c r="H96" s="24">
        <v>6500</v>
      </c>
      <c r="I96" s="4" t="s">
        <v>236</v>
      </c>
      <c r="J96" s="24">
        <f t="shared" si="13"/>
        <v>5810.71</v>
      </c>
      <c r="K96" s="20">
        <f t="shared" si="5"/>
        <v>18910</v>
      </c>
      <c r="L96" s="20">
        <f t="shared" si="6"/>
        <v>17239.899999999998</v>
      </c>
      <c r="M96" s="13">
        <f t="shared" si="7"/>
        <v>8.8318350079323267</v>
      </c>
      <c r="N96" s="4"/>
    </row>
    <row r="97" spans="1:14" x14ac:dyDescent="0.25">
      <c r="A97" s="23" t="s">
        <v>150</v>
      </c>
      <c r="B97" s="26">
        <f t="shared" si="12"/>
        <v>12410</v>
      </c>
      <c r="C97" s="4" t="s">
        <v>382</v>
      </c>
      <c r="D97" s="24">
        <f t="shared" si="14"/>
        <v>11429.189999999999</v>
      </c>
      <c r="E97" s="24"/>
      <c r="F97" s="4"/>
      <c r="G97" s="27"/>
      <c r="H97" s="24">
        <v>6500</v>
      </c>
      <c r="I97" s="4" t="s">
        <v>236</v>
      </c>
      <c r="J97" s="24">
        <f t="shared" si="13"/>
        <v>5810.71</v>
      </c>
      <c r="K97" s="20">
        <f t="shared" si="5"/>
        <v>18910</v>
      </c>
      <c r="L97" s="20">
        <f t="shared" si="6"/>
        <v>17239.899999999998</v>
      </c>
      <c r="M97" s="13">
        <f t="shared" si="7"/>
        <v>8.8318350079323267</v>
      </c>
      <c r="N97" s="4"/>
    </row>
    <row r="98" spans="1:14" x14ac:dyDescent="0.25">
      <c r="A98" s="23" t="s">
        <v>151</v>
      </c>
      <c r="B98" s="26">
        <f t="shared" si="12"/>
        <v>12410</v>
      </c>
      <c r="C98" s="4" t="s">
        <v>382</v>
      </c>
      <c r="D98" s="24">
        <f t="shared" si="14"/>
        <v>11429.189999999999</v>
      </c>
      <c r="E98" s="24"/>
      <c r="F98" s="4"/>
      <c r="G98" s="27"/>
      <c r="H98" s="24">
        <v>6500</v>
      </c>
      <c r="I98" s="4" t="s">
        <v>236</v>
      </c>
      <c r="J98" s="24">
        <f t="shared" si="13"/>
        <v>5810.71</v>
      </c>
      <c r="K98" s="20">
        <f t="shared" si="5"/>
        <v>18910</v>
      </c>
      <c r="L98" s="20">
        <f t="shared" si="6"/>
        <v>17239.899999999998</v>
      </c>
      <c r="M98" s="13">
        <f t="shared" si="7"/>
        <v>8.8318350079323267</v>
      </c>
      <c r="N98" s="4"/>
    </row>
    <row r="99" spans="1:14" x14ac:dyDescent="0.25">
      <c r="A99" s="23" t="s">
        <v>152</v>
      </c>
      <c r="B99" s="26">
        <f t="shared" si="12"/>
        <v>12410</v>
      </c>
      <c r="C99" s="4" t="s">
        <v>382</v>
      </c>
      <c r="D99" s="24">
        <f t="shared" si="14"/>
        <v>11429.189999999999</v>
      </c>
      <c r="E99" s="24"/>
      <c r="F99" s="4"/>
      <c r="G99" s="27"/>
      <c r="H99" s="24">
        <v>6500</v>
      </c>
      <c r="I99" s="4" t="s">
        <v>236</v>
      </c>
      <c r="J99" s="24">
        <f t="shared" si="13"/>
        <v>5810.71</v>
      </c>
      <c r="K99" s="20">
        <f t="shared" si="5"/>
        <v>18910</v>
      </c>
      <c r="L99" s="20">
        <f t="shared" si="6"/>
        <v>17239.899999999998</v>
      </c>
      <c r="M99" s="13">
        <f t="shared" si="7"/>
        <v>8.8318350079323267</v>
      </c>
      <c r="N99" s="4"/>
    </row>
    <row r="100" spans="1:14" x14ac:dyDescent="0.25">
      <c r="A100" s="23" t="s">
        <v>153</v>
      </c>
      <c r="B100" s="26">
        <f t="shared" si="12"/>
        <v>12410</v>
      </c>
      <c r="C100" s="4" t="s">
        <v>382</v>
      </c>
      <c r="D100" s="24">
        <f t="shared" si="14"/>
        <v>11429.189999999999</v>
      </c>
      <c r="E100" s="24"/>
      <c r="F100" s="4"/>
      <c r="G100" s="27"/>
      <c r="H100" s="24">
        <v>6500</v>
      </c>
      <c r="I100" s="4" t="s">
        <v>236</v>
      </c>
      <c r="J100" s="24">
        <f t="shared" si="13"/>
        <v>5810.71</v>
      </c>
      <c r="K100" s="20">
        <f t="shared" si="5"/>
        <v>18910</v>
      </c>
      <c r="L100" s="20">
        <f t="shared" si="6"/>
        <v>17239.899999999998</v>
      </c>
      <c r="M100" s="13">
        <f t="shared" si="7"/>
        <v>8.8318350079323267</v>
      </c>
      <c r="N100" s="4"/>
    </row>
    <row r="101" spans="1:14" x14ac:dyDescent="0.25">
      <c r="A101" s="23" t="s">
        <v>154</v>
      </c>
      <c r="B101" s="26">
        <f t="shared" si="12"/>
        <v>12410</v>
      </c>
      <c r="C101" s="4" t="s">
        <v>382</v>
      </c>
      <c r="D101" s="24">
        <f t="shared" si="14"/>
        <v>11429.189999999999</v>
      </c>
      <c r="E101" s="24"/>
      <c r="F101" s="4"/>
      <c r="G101" s="27"/>
      <c r="H101" s="24">
        <v>6500</v>
      </c>
      <c r="I101" s="4" t="s">
        <v>236</v>
      </c>
      <c r="J101" s="24">
        <f t="shared" si="13"/>
        <v>5810.71</v>
      </c>
      <c r="K101" s="20">
        <f t="shared" si="5"/>
        <v>18910</v>
      </c>
      <c r="L101" s="20">
        <f t="shared" si="6"/>
        <v>17239.899999999998</v>
      </c>
      <c r="M101" s="13">
        <f t="shared" si="7"/>
        <v>8.8318350079323267</v>
      </c>
      <c r="N101" s="4"/>
    </row>
    <row r="102" spans="1:14" x14ac:dyDescent="0.25">
      <c r="A102" s="23" t="s">
        <v>158</v>
      </c>
      <c r="B102" s="26">
        <f t="shared" si="12"/>
        <v>12410</v>
      </c>
      <c r="C102" s="4" t="s">
        <v>382</v>
      </c>
      <c r="D102" s="24">
        <f t="shared" si="14"/>
        <v>11429.189999999999</v>
      </c>
      <c r="E102" s="24"/>
      <c r="F102" s="4"/>
      <c r="G102" s="27"/>
      <c r="H102" s="24">
        <v>6500</v>
      </c>
      <c r="I102" s="4" t="s">
        <v>236</v>
      </c>
      <c r="J102" s="24">
        <f t="shared" si="13"/>
        <v>5810.71</v>
      </c>
      <c r="K102" s="20">
        <f t="shared" si="5"/>
        <v>18910</v>
      </c>
      <c r="L102" s="20">
        <f t="shared" si="6"/>
        <v>17239.899999999998</v>
      </c>
      <c r="M102" s="13">
        <f t="shared" si="7"/>
        <v>8.8318350079323267</v>
      </c>
      <c r="N102" s="4"/>
    </row>
    <row r="103" spans="1:14" x14ac:dyDescent="0.25">
      <c r="A103" s="23" t="s">
        <v>159</v>
      </c>
      <c r="B103" s="26">
        <f t="shared" si="12"/>
        <v>12410</v>
      </c>
      <c r="C103" s="4" t="s">
        <v>382</v>
      </c>
      <c r="D103" s="24">
        <f t="shared" si="14"/>
        <v>11429.189999999999</v>
      </c>
      <c r="E103" s="24"/>
      <c r="F103" s="4"/>
      <c r="G103" s="27"/>
      <c r="H103" s="24">
        <v>6500</v>
      </c>
      <c r="I103" s="4" t="s">
        <v>236</v>
      </c>
      <c r="J103" s="24">
        <f t="shared" si="13"/>
        <v>5810.71</v>
      </c>
      <c r="K103" s="20">
        <f t="shared" si="5"/>
        <v>18910</v>
      </c>
      <c r="L103" s="20">
        <f t="shared" si="6"/>
        <v>17239.899999999998</v>
      </c>
      <c r="M103" s="13">
        <f t="shared" si="7"/>
        <v>8.8318350079323267</v>
      </c>
      <c r="N103" s="4"/>
    </row>
    <row r="104" spans="1:14" x14ac:dyDescent="0.25">
      <c r="A104" s="23" t="s">
        <v>160</v>
      </c>
      <c r="B104" s="26">
        <f t="shared" si="12"/>
        <v>12410</v>
      </c>
      <c r="C104" s="4" t="s">
        <v>382</v>
      </c>
      <c r="D104" s="24">
        <f t="shared" si="14"/>
        <v>11429.189999999999</v>
      </c>
      <c r="E104" s="24"/>
      <c r="F104" s="4"/>
      <c r="G104" s="27"/>
      <c r="H104" s="24">
        <v>6500</v>
      </c>
      <c r="I104" s="4" t="s">
        <v>236</v>
      </c>
      <c r="J104" s="24">
        <f t="shared" si="13"/>
        <v>5810.71</v>
      </c>
      <c r="K104" s="20">
        <f t="shared" si="5"/>
        <v>18910</v>
      </c>
      <c r="L104" s="20">
        <f t="shared" si="6"/>
        <v>17239.899999999998</v>
      </c>
      <c r="M104" s="13">
        <f t="shared" si="7"/>
        <v>8.8318350079323267</v>
      </c>
      <c r="N104" s="4"/>
    </row>
    <row r="105" spans="1:14" x14ac:dyDescent="0.25">
      <c r="A105" s="23" t="s">
        <v>161</v>
      </c>
      <c r="B105" s="26">
        <f t="shared" si="12"/>
        <v>12410</v>
      </c>
      <c r="C105" s="4" t="s">
        <v>382</v>
      </c>
      <c r="D105" s="24">
        <f t="shared" si="14"/>
        <v>11429.189999999999</v>
      </c>
      <c r="E105" s="24"/>
      <c r="F105" s="4"/>
      <c r="G105" s="27"/>
      <c r="H105" s="24">
        <v>6500</v>
      </c>
      <c r="I105" s="4" t="s">
        <v>236</v>
      </c>
      <c r="J105" s="24">
        <f t="shared" si="13"/>
        <v>5810.71</v>
      </c>
      <c r="K105" s="20">
        <f t="shared" si="5"/>
        <v>18910</v>
      </c>
      <c r="L105" s="20">
        <f t="shared" si="6"/>
        <v>17239.899999999998</v>
      </c>
      <c r="M105" s="13">
        <f t="shared" si="7"/>
        <v>8.8318350079323267</v>
      </c>
      <c r="N105" s="4"/>
    </row>
    <row r="106" spans="1:14" x14ac:dyDescent="0.25">
      <c r="A106" s="23" t="s">
        <v>162</v>
      </c>
      <c r="B106" s="26">
        <f t="shared" si="12"/>
        <v>12410</v>
      </c>
      <c r="C106" s="4" t="s">
        <v>382</v>
      </c>
      <c r="D106" s="24">
        <f t="shared" si="14"/>
        <v>11429.189999999999</v>
      </c>
      <c r="E106" s="24"/>
      <c r="F106" s="4"/>
      <c r="G106" s="27"/>
      <c r="H106" s="24">
        <v>6500</v>
      </c>
      <c r="I106" s="4" t="s">
        <v>236</v>
      </c>
      <c r="J106" s="24">
        <f t="shared" si="13"/>
        <v>5810.71</v>
      </c>
      <c r="K106" s="20">
        <f t="shared" si="5"/>
        <v>18910</v>
      </c>
      <c r="L106" s="20">
        <f t="shared" si="6"/>
        <v>17239.899999999998</v>
      </c>
      <c r="M106" s="13">
        <f t="shared" si="7"/>
        <v>8.8318350079323267</v>
      </c>
      <c r="N106" s="4"/>
    </row>
    <row r="107" spans="1:14" x14ac:dyDescent="0.25">
      <c r="A107" s="23" t="s">
        <v>163</v>
      </c>
      <c r="B107" s="26">
        <f t="shared" si="12"/>
        <v>12410</v>
      </c>
      <c r="C107" s="4" t="s">
        <v>382</v>
      </c>
      <c r="D107" s="24">
        <f>1784.45+2062.67+2062.67+2321.28+1753.264+1753.264</f>
        <v>11737.597999999998</v>
      </c>
      <c r="E107" s="24"/>
      <c r="F107" s="4"/>
      <c r="G107" s="27"/>
      <c r="H107" s="24">
        <v>6500</v>
      </c>
      <c r="I107" s="4" t="s">
        <v>236</v>
      </c>
      <c r="J107" s="24">
        <f t="shared" si="13"/>
        <v>5810.71</v>
      </c>
      <c r="K107" s="20">
        <f t="shared" si="5"/>
        <v>18910</v>
      </c>
      <c r="L107" s="20">
        <f t="shared" si="6"/>
        <v>17548.307999999997</v>
      </c>
      <c r="M107" s="13">
        <f t="shared" si="7"/>
        <v>7.2009095716552167</v>
      </c>
      <c r="N107" s="4"/>
    </row>
    <row r="108" spans="1:14" x14ac:dyDescent="0.25">
      <c r="A108" s="23" t="s">
        <v>164</v>
      </c>
      <c r="B108" s="26">
        <f t="shared" si="12"/>
        <v>12410</v>
      </c>
      <c r="C108" s="4" t="s">
        <v>382</v>
      </c>
      <c r="D108" s="24">
        <f t="shared" ref="D108:D111" si="15">1784.45+2062.67+2062.67+2321.28+1753.264+1753.264</f>
        <v>11737.597999999998</v>
      </c>
      <c r="E108" s="24"/>
      <c r="F108" s="4"/>
      <c r="G108" s="27"/>
      <c r="H108" s="24">
        <v>6500</v>
      </c>
      <c r="I108" s="4" t="s">
        <v>236</v>
      </c>
      <c r="J108" s="24">
        <f t="shared" si="13"/>
        <v>5810.71</v>
      </c>
      <c r="K108" s="20">
        <f t="shared" si="5"/>
        <v>18910</v>
      </c>
      <c r="L108" s="20">
        <f t="shared" si="6"/>
        <v>17548.307999999997</v>
      </c>
      <c r="M108" s="13">
        <f t="shared" si="7"/>
        <v>7.2009095716552167</v>
      </c>
      <c r="N108" s="4"/>
    </row>
    <row r="109" spans="1:14" x14ac:dyDescent="0.25">
      <c r="A109" s="23" t="s">
        <v>172</v>
      </c>
      <c r="B109" s="26">
        <f t="shared" si="12"/>
        <v>12410</v>
      </c>
      <c r="C109" s="4" t="s">
        <v>382</v>
      </c>
      <c r="D109" s="24">
        <f t="shared" si="15"/>
        <v>11737.597999999998</v>
      </c>
      <c r="E109" s="24"/>
      <c r="F109" s="4"/>
      <c r="G109" s="27"/>
      <c r="H109" s="24">
        <v>6500</v>
      </c>
      <c r="I109" s="4" t="s">
        <v>236</v>
      </c>
      <c r="J109" s="24">
        <f t="shared" si="13"/>
        <v>5810.71</v>
      </c>
      <c r="K109" s="20">
        <f t="shared" si="5"/>
        <v>18910</v>
      </c>
      <c r="L109" s="20">
        <f t="shared" si="6"/>
        <v>17548.307999999997</v>
      </c>
      <c r="M109" s="13">
        <f t="shared" si="7"/>
        <v>7.2009095716552167</v>
      </c>
      <c r="N109" s="4"/>
    </row>
    <row r="110" spans="1:14" x14ac:dyDescent="0.25">
      <c r="A110" s="23" t="s">
        <v>173</v>
      </c>
      <c r="B110" s="26">
        <f t="shared" si="12"/>
        <v>12410</v>
      </c>
      <c r="C110" s="4" t="s">
        <v>382</v>
      </c>
      <c r="D110" s="24">
        <f t="shared" si="15"/>
        <v>11737.597999999998</v>
      </c>
      <c r="E110" s="24"/>
      <c r="F110" s="4"/>
      <c r="G110" s="27"/>
      <c r="H110" s="24">
        <v>6500</v>
      </c>
      <c r="I110" s="4" t="s">
        <v>236</v>
      </c>
      <c r="J110" s="24">
        <f t="shared" si="13"/>
        <v>5810.71</v>
      </c>
      <c r="K110" s="20">
        <f t="shared" si="5"/>
        <v>18910</v>
      </c>
      <c r="L110" s="20">
        <f t="shared" si="6"/>
        <v>17548.307999999997</v>
      </c>
      <c r="M110" s="13">
        <f t="shared" si="7"/>
        <v>7.2009095716552167</v>
      </c>
      <c r="N110" s="4"/>
    </row>
    <row r="111" spans="1:14" x14ac:dyDescent="0.25">
      <c r="A111" s="23" t="s">
        <v>174</v>
      </c>
      <c r="B111" s="26">
        <f t="shared" si="12"/>
        <v>12410</v>
      </c>
      <c r="C111" s="4" t="s">
        <v>382</v>
      </c>
      <c r="D111" s="24">
        <f t="shared" si="15"/>
        <v>11737.597999999998</v>
      </c>
      <c r="E111" s="24"/>
      <c r="F111" s="4"/>
      <c r="G111" s="27"/>
      <c r="H111" s="24">
        <v>6500</v>
      </c>
      <c r="I111" s="4" t="s">
        <v>236</v>
      </c>
      <c r="J111" s="24">
        <f t="shared" si="13"/>
        <v>5810.71</v>
      </c>
      <c r="K111" s="20">
        <f t="shared" si="5"/>
        <v>18910</v>
      </c>
      <c r="L111" s="20">
        <f t="shared" si="6"/>
        <v>17548.307999999997</v>
      </c>
      <c r="M111" s="13">
        <f t="shared" si="7"/>
        <v>7.2009095716552167</v>
      </c>
      <c r="N111" s="4"/>
    </row>
    <row r="112" spans="1:14" x14ac:dyDescent="0.25">
      <c r="A112" s="23" t="s">
        <v>183</v>
      </c>
      <c r="B112" s="26">
        <f t="shared" si="12"/>
        <v>12410</v>
      </c>
      <c r="C112" s="4" t="s">
        <v>382</v>
      </c>
      <c r="D112" s="24">
        <f>1784.45+2321.28+2341.005+2341.005+1753.264+1753.264</f>
        <v>12294.268</v>
      </c>
      <c r="E112" s="24"/>
      <c r="F112" s="4"/>
      <c r="G112" s="27"/>
      <c r="H112" s="24">
        <v>6500</v>
      </c>
      <c r="I112" s="4" t="s">
        <v>236</v>
      </c>
      <c r="J112" s="24">
        <f t="shared" si="13"/>
        <v>5810.71</v>
      </c>
      <c r="K112" s="20">
        <f t="shared" si="5"/>
        <v>18910</v>
      </c>
      <c r="L112" s="20">
        <f t="shared" si="6"/>
        <v>18104.977999999999</v>
      </c>
      <c r="M112" s="13">
        <f t="shared" si="7"/>
        <v>4.2571232152300524</v>
      </c>
      <c r="N112" s="4"/>
    </row>
    <row r="113" spans="1:14" x14ac:dyDescent="0.25">
      <c r="A113" s="23" t="s">
        <v>184</v>
      </c>
      <c r="B113" s="24">
        <v>6554</v>
      </c>
      <c r="C113" s="4" t="s">
        <v>136</v>
      </c>
      <c r="D113" s="24">
        <f t="shared" ref="D113:D118" si="16">2640+3299.25</f>
        <v>5939.25</v>
      </c>
      <c r="E113" s="24">
        <v>7000</v>
      </c>
      <c r="F113" s="4" t="s">
        <v>212</v>
      </c>
      <c r="G113" s="27">
        <f>3645+3645</f>
        <v>7290</v>
      </c>
      <c r="H113" s="24">
        <v>5350</v>
      </c>
      <c r="I113" s="4" t="s">
        <v>236</v>
      </c>
      <c r="J113" s="24">
        <f t="shared" ref="J113:J118" si="17">2850+160.71</f>
        <v>3010.71</v>
      </c>
      <c r="K113" s="20">
        <f>B113+E113+H113</f>
        <v>18904</v>
      </c>
      <c r="L113" s="20">
        <f t="shared" si="6"/>
        <v>16239.96</v>
      </c>
      <c r="M113" s="13">
        <f t="shared" si="7"/>
        <v>14.09246720270842</v>
      </c>
      <c r="N113" s="4"/>
    </row>
    <row r="114" spans="1:14" x14ac:dyDescent="0.25">
      <c r="A114" s="23" t="s">
        <v>185</v>
      </c>
      <c r="B114" s="24">
        <v>6554</v>
      </c>
      <c r="C114" s="4" t="s">
        <v>136</v>
      </c>
      <c r="D114" s="24">
        <f t="shared" si="16"/>
        <v>5939.25</v>
      </c>
      <c r="E114" s="24">
        <v>7000</v>
      </c>
      <c r="F114" s="4" t="s">
        <v>212</v>
      </c>
      <c r="G114" s="27">
        <f t="shared" ref="G114:G118" si="18">3645+3645</f>
        <v>7290</v>
      </c>
      <c r="H114" s="24">
        <v>5350</v>
      </c>
      <c r="I114" s="4" t="s">
        <v>236</v>
      </c>
      <c r="J114" s="24">
        <f t="shared" si="17"/>
        <v>3010.71</v>
      </c>
      <c r="K114" s="20">
        <f t="shared" si="5"/>
        <v>18904</v>
      </c>
      <c r="L114" s="20">
        <f t="shared" si="6"/>
        <v>16239.96</v>
      </c>
      <c r="M114" s="13">
        <f t="shared" si="7"/>
        <v>14.09246720270842</v>
      </c>
      <c r="N114" s="4"/>
    </row>
    <row r="115" spans="1:14" x14ac:dyDescent="0.25">
      <c r="A115" s="23" t="s">
        <v>288</v>
      </c>
      <c r="B115" s="24">
        <v>6554</v>
      </c>
      <c r="C115" s="4" t="s">
        <v>136</v>
      </c>
      <c r="D115" s="24">
        <f t="shared" si="16"/>
        <v>5939.25</v>
      </c>
      <c r="E115" s="24">
        <v>7000</v>
      </c>
      <c r="F115" s="4" t="s">
        <v>212</v>
      </c>
      <c r="G115" s="27">
        <f t="shared" si="18"/>
        <v>7290</v>
      </c>
      <c r="H115" s="24">
        <v>5350</v>
      </c>
      <c r="I115" s="4" t="s">
        <v>236</v>
      </c>
      <c r="J115" s="24">
        <f t="shared" si="17"/>
        <v>3010.71</v>
      </c>
      <c r="K115" s="20">
        <f t="shared" si="5"/>
        <v>18904</v>
      </c>
      <c r="L115" s="20">
        <f t="shared" si="6"/>
        <v>16239.96</v>
      </c>
      <c r="M115" s="13">
        <f t="shared" si="7"/>
        <v>14.09246720270842</v>
      </c>
      <c r="N115" s="4"/>
    </row>
    <row r="116" spans="1:14" x14ac:dyDescent="0.25">
      <c r="A116" s="23" t="s">
        <v>289</v>
      </c>
      <c r="B116" s="24">
        <v>6554</v>
      </c>
      <c r="C116" s="4" t="s">
        <v>136</v>
      </c>
      <c r="D116" s="24">
        <f t="shared" si="16"/>
        <v>5939.25</v>
      </c>
      <c r="E116" s="24">
        <v>7000</v>
      </c>
      <c r="F116" s="4" t="s">
        <v>212</v>
      </c>
      <c r="G116" s="27">
        <f t="shared" si="18"/>
        <v>7290</v>
      </c>
      <c r="H116" s="24">
        <v>5350</v>
      </c>
      <c r="I116" s="4" t="s">
        <v>236</v>
      </c>
      <c r="J116" s="24">
        <f t="shared" si="17"/>
        <v>3010.71</v>
      </c>
      <c r="K116" s="20">
        <f t="shared" si="5"/>
        <v>18904</v>
      </c>
      <c r="L116" s="20">
        <f t="shared" si="6"/>
        <v>16239.96</v>
      </c>
      <c r="M116" s="13">
        <f t="shared" si="7"/>
        <v>14.09246720270842</v>
      </c>
      <c r="N116" s="4"/>
    </row>
    <row r="117" spans="1:14" x14ac:dyDescent="0.25">
      <c r="A117" s="23" t="s">
        <v>290</v>
      </c>
      <c r="B117" s="24">
        <v>6554</v>
      </c>
      <c r="C117" s="4" t="s">
        <v>136</v>
      </c>
      <c r="D117" s="24">
        <f t="shared" si="16"/>
        <v>5939.25</v>
      </c>
      <c r="E117" s="24">
        <v>7000</v>
      </c>
      <c r="F117" s="4" t="s">
        <v>212</v>
      </c>
      <c r="G117" s="27">
        <f t="shared" si="18"/>
        <v>7290</v>
      </c>
      <c r="H117" s="24">
        <v>5350</v>
      </c>
      <c r="I117" s="4" t="s">
        <v>236</v>
      </c>
      <c r="J117" s="24">
        <f t="shared" si="17"/>
        <v>3010.71</v>
      </c>
      <c r="K117" s="20">
        <f t="shared" si="5"/>
        <v>18904</v>
      </c>
      <c r="L117" s="20">
        <f t="shared" si="6"/>
        <v>16239.96</v>
      </c>
      <c r="M117" s="13">
        <f t="shared" si="7"/>
        <v>14.09246720270842</v>
      </c>
      <c r="N117" s="4"/>
    </row>
    <row r="118" spans="1:14" x14ac:dyDescent="0.25">
      <c r="A118" s="23" t="s">
        <v>291</v>
      </c>
      <c r="B118" s="24">
        <v>6554</v>
      </c>
      <c r="C118" s="4" t="s">
        <v>136</v>
      </c>
      <c r="D118" s="24">
        <f t="shared" si="16"/>
        <v>5939.25</v>
      </c>
      <c r="E118" s="24">
        <v>7000</v>
      </c>
      <c r="F118" s="4" t="s">
        <v>212</v>
      </c>
      <c r="G118" s="27">
        <f t="shared" si="18"/>
        <v>7290</v>
      </c>
      <c r="H118" s="24">
        <v>5350</v>
      </c>
      <c r="I118" s="4" t="s">
        <v>236</v>
      </c>
      <c r="J118" s="24">
        <f t="shared" si="17"/>
        <v>3010.71</v>
      </c>
      <c r="K118" s="20">
        <f t="shared" si="5"/>
        <v>18904</v>
      </c>
      <c r="L118" s="20">
        <f t="shared" si="6"/>
        <v>16239.96</v>
      </c>
      <c r="M118" s="13">
        <f t="shared" si="7"/>
        <v>14.09246720270842</v>
      </c>
      <c r="N118" s="4"/>
    </row>
    <row r="119" spans="1:14" x14ac:dyDescent="0.25">
      <c r="A119" s="23" t="s">
        <v>292</v>
      </c>
      <c r="B119" s="24">
        <f>23105+4621+4352</f>
        <v>32078</v>
      </c>
      <c r="C119" s="4" t="s">
        <v>136</v>
      </c>
      <c r="D119" s="24">
        <f>25891.2+9488.4</f>
        <v>35379.599999999999</v>
      </c>
      <c r="E119" s="24">
        <v>9770</v>
      </c>
      <c r="F119" s="4" t="s">
        <v>383</v>
      </c>
      <c r="G119" s="27">
        <v>11634</v>
      </c>
      <c r="H119" s="24"/>
      <c r="I119" s="4"/>
      <c r="J119" s="24"/>
      <c r="K119" s="20">
        <f t="shared" si="5"/>
        <v>41848</v>
      </c>
      <c r="L119" s="20">
        <f t="shared" si="6"/>
        <v>47013.599999999999</v>
      </c>
      <c r="M119" s="13">
        <f t="shared" si="7"/>
        <v>-12.343720129994267</v>
      </c>
      <c r="N119" s="4"/>
    </row>
    <row r="120" spans="1:14" x14ac:dyDescent="0.25">
      <c r="A120" s="23" t="s">
        <v>293</v>
      </c>
      <c r="B120" s="47"/>
      <c r="C120" s="4"/>
      <c r="D120" s="24"/>
      <c r="E120" s="24"/>
      <c r="F120" s="4"/>
      <c r="G120" s="27"/>
      <c r="H120" s="24"/>
      <c r="I120" s="4"/>
      <c r="J120" s="24"/>
      <c r="K120" s="20">
        <f t="shared" si="5"/>
        <v>0</v>
      </c>
      <c r="L120" s="20">
        <f t="shared" si="6"/>
        <v>0</v>
      </c>
      <c r="M120" s="13" t="e">
        <f t="shared" si="7"/>
        <v>#DIV/0!</v>
      </c>
      <c r="N120" s="4"/>
    </row>
    <row r="121" spans="1:14" x14ac:dyDescent="0.25">
      <c r="A121" s="23" t="s">
        <v>317</v>
      </c>
      <c r="B121" s="47"/>
      <c r="C121" s="4"/>
      <c r="D121" s="24"/>
      <c r="E121" s="24"/>
      <c r="F121" s="4"/>
      <c r="G121" s="27"/>
      <c r="H121" s="24"/>
      <c r="I121" s="4"/>
      <c r="J121" s="24"/>
      <c r="K121" s="20">
        <f>B162+E121+H121</f>
        <v>0</v>
      </c>
      <c r="L121" s="20">
        <f t="shared" si="6"/>
        <v>0</v>
      </c>
      <c r="M121" s="13" t="e">
        <f t="shared" si="7"/>
        <v>#DIV/0!</v>
      </c>
      <c r="N121" s="4"/>
    </row>
    <row r="122" spans="1:14" x14ac:dyDescent="0.25">
      <c r="A122" s="23" t="s">
        <v>318</v>
      </c>
      <c r="B122" s="26">
        <f>331</f>
        <v>331</v>
      </c>
      <c r="C122" s="4" t="s">
        <v>324</v>
      </c>
      <c r="D122" s="24">
        <v>700</v>
      </c>
      <c r="E122" s="24">
        <f>90+90</f>
        <v>180</v>
      </c>
      <c r="F122" s="4" t="s">
        <v>384</v>
      </c>
      <c r="G122" s="27">
        <v>179.3</v>
      </c>
      <c r="H122" s="24">
        <f>265</f>
        <v>265</v>
      </c>
      <c r="I122" s="4" t="s">
        <v>385</v>
      </c>
      <c r="J122" s="24">
        <v>537.99</v>
      </c>
      <c r="K122" s="20">
        <f t="shared" ref="K122:K156" si="19">B122+E122+H122</f>
        <v>776</v>
      </c>
      <c r="L122" s="20">
        <f t="shared" si="6"/>
        <v>1417.29</v>
      </c>
      <c r="M122" s="13">
        <f t="shared" si="7"/>
        <v>-82.640463917525778</v>
      </c>
      <c r="N122" s="59" t="s">
        <v>387</v>
      </c>
    </row>
    <row r="123" spans="1:14" x14ac:dyDescent="0.25">
      <c r="A123" s="23" t="s">
        <v>319</v>
      </c>
      <c r="B123" s="26">
        <f>733</f>
        <v>733</v>
      </c>
      <c r="C123" s="4" t="s">
        <v>238</v>
      </c>
      <c r="D123" s="24">
        <v>1174.6300000000001</v>
      </c>
      <c r="E123" s="24">
        <f>525+525</f>
        <v>1050</v>
      </c>
      <c r="F123" s="4" t="s">
        <v>384</v>
      </c>
      <c r="G123" s="27">
        <v>950</v>
      </c>
      <c r="H123" s="24"/>
      <c r="I123" s="4"/>
      <c r="J123" s="24"/>
      <c r="K123" s="20">
        <f t="shared" si="19"/>
        <v>1783</v>
      </c>
      <c r="L123" s="20">
        <f t="shared" si="6"/>
        <v>2124.63</v>
      </c>
      <c r="M123" s="13">
        <f t="shared" si="7"/>
        <v>-19.160403813796975</v>
      </c>
      <c r="N123" s="59" t="s">
        <v>386</v>
      </c>
    </row>
    <row r="124" spans="1:14" x14ac:dyDescent="0.25">
      <c r="A124" s="23" t="s">
        <v>320</v>
      </c>
      <c r="B124" s="26">
        <f>1241+5981+2990+4818</f>
        <v>15030</v>
      </c>
      <c r="C124" s="4" t="s">
        <v>382</v>
      </c>
      <c r="D124" s="26">
        <f>28222.8/2</f>
        <v>14111.4</v>
      </c>
      <c r="E124" s="24"/>
      <c r="F124" s="4"/>
      <c r="G124" s="27"/>
      <c r="H124" s="24"/>
      <c r="I124" s="4"/>
      <c r="J124" s="24"/>
      <c r="K124" s="20">
        <f t="shared" si="19"/>
        <v>15030</v>
      </c>
      <c r="L124" s="20">
        <f t="shared" si="6"/>
        <v>14111.4</v>
      </c>
      <c r="M124" s="13">
        <f t="shared" si="7"/>
        <v>6.1117764471057825</v>
      </c>
      <c r="N124" s="4"/>
    </row>
    <row r="125" spans="1:14" x14ac:dyDescent="0.25">
      <c r="A125" s="23" t="s">
        <v>357</v>
      </c>
      <c r="B125" s="26">
        <f>1241+5981+2990+4818</f>
        <v>15030</v>
      </c>
      <c r="C125" s="4" t="s">
        <v>382</v>
      </c>
      <c r="D125" s="26">
        <f>28222.8/2</f>
        <v>14111.4</v>
      </c>
      <c r="E125" s="24"/>
      <c r="F125" s="4"/>
      <c r="G125" s="27"/>
      <c r="H125" s="24"/>
      <c r="I125" s="4"/>
      <c r="J125" s="24"/>
      <c r="K125" s="20">
        <f t="shared" si="19"/>
        <v>15030</v>
      </c>
      <c r="L125" s="20">
        <f t="shared" si="6"/>
        <v>14111.4</v>
      </c>
      <c r="M125" s="13">
        <f t="shared" si="7"/>
        <v>6.1117764471057825</v>
      </c>
      <c r="N125" s="4"/>
    </row>
    <row r="126" spans="1:14" x14ac:dyDescent="0.25">
      <c r="A126" s="23" t="s">
        <v>358</v>
      </c>
      <c r="B126" s="24">
        <f>7128+17106</f>
        <v>24234</v>
      </c>
      <c r="C126" s="4" t="s">
        <v>136</v>
      </c>
      <c r="D126" s="24">
        <f>48589.2/2</f>
        <v>24294.6</v>
      </c>
      <c r="E126" s="24">
        <f>21890+21890</f>
        <v>43780</v>
      </c>
      <c r="F126" s="4" t="s">
        <v>212</v>
      </c>
      <c r="G126" s="27">
        <v>22089.040000000001</v>
      </c>
      <c r="H126" s="24">
        <v>4480</v>
      </c>
      <c r="I126" s="4" t="s">
        <v>236</v>
      </c>
      <c r="J126" s="24">
        <f>4478/2</f>
        <v>2239</v>
      </c>
      <c r="K126" s="20">
        <f t="shared" si="19"/>
        <v>72494</v>
      </c>
      <c r="L126" s="20">
        <f t="shared" si="6"/>
        <v>48622.64</v>
      </c>
      <c r="M126" s="13">
        <f t="shared" si="7"/>
        <v>32.928738930118357</v>
      </c>
      <c r="N126" s="4"/>
    </row>
    <row r="127" spans="1:14" x14ac:dyDescent="0.25">
      <c r="A127" s="23" t="s">
        <v>360</v>
      </c>
      <c r="B127" s="24">
        <f>7128+17106</f>
        <v>24234</v>
      </c>
      <c r="C127" s="4" t="s">
        <v>136</v>
      </c>
      <c r="D127" s="24">
        <f>48589.2/2</f>
        <v>24294.6</v>
      </c>
      <c r="E127" s="24">
        <f>21890+21890</f>
        <v>43780</v>
      </c>
      <c r="F127" s="4" t="s">
        <v>212</v>
      </c>
      <c r="G127" s="27">
        <v>22089.040000000001</v>
      </c>
      <c r="H127" s="24">
        <v>4480</v>
      </c>
      <c r="I127" s="4" t="s">
        <v>236</v>
      </c>
      <c r="J127" s="24">
        <f>4478/2</f>
        <v>2239</v>
      </c>
      <c r="K127" s="20">
        <f t="shared" si="19"/>
        <v>72494</v>
      </c>
      <c r="L127" s="20">
        <f t="shared" si="6"/>
        <v>48622.64</v>
      </c>
      <c r="M127" s="13">
        <f t="shared" si="7"/>
        <v>32.928738930118357</v>
      </c>
      <c r="N127" s="4"/>
    </row>
    <row r="128" spans="1:14" x14ac:dyDescent="0.25">
      <c r="A128" s="23" t="s">
        <v>361</v>
      </c>
      <c r="B128" s="47"/>
      <c r="C128" s="4"/>
      <c r="D128" s="24"/>
      <c r="E128" s="24"/>
      <c r="F128" s="4"/>
      <c r="G128" s="27"/>
      <c r="H128" s="24"/>
      <c r="I128" s="4"/>
      <c r="J128" s="24"/>
      <c r="K128" s="20">
        <f t="shared" si="19"/>
        <v>0</v>
      </c>
      <c r="L128" s="20">
        <f t="shared" si="6"/>
        <v>0</v>
      </c>
      <c r="M128" s="13" t="e">
        <f t="shared" si="7"/>
        <v>#DIV/0!</v>
      </c>
      <c r="N128" s="4"/>
    </row>
    <row r="129" spans="1:14" x14ac:dyDescent="0.25">
      <c r="A129" s="23" t="s">
        <v>362</v>
      </c>
      <c r="B129" s="47"/>
      <c r="C129" s="4"/>
      <c r="D129" s="24"/>
      <c r="E129" s="24"/>
      <c r="F129" s="4"/>
      <c r="G129" s="27"/>
      <c r="H129" s="24"/>
      <c r="I129" s="4"/>
      <c r="J129" s="24"/>
      <c r="K129" s="20">
        <f t="shared" si="19"/>
        <v>0</v>
      </c>
      <c r="L129" s="20">
        <f t="shared" si="6"/>
        <v>0</v>
      </c>
      <c r="M129" s="13" t="e">
        <f t="shared" si="7"/>
        <v>#DIV/0!</v>
      </c>
      <c r="N129" s="4"/>
    </row>
    <row r="130" spans="1:14" x14ac:dyDescent="0.25">
      <c r="A130" s="23" t="s">
        <v>363</v>
      </c>
      <c r="B130" s="24">
        <f>2038+24014+2267+18237+2038+407</f>
        <v>49001</v>
      </c>
      <c r="C130" s="4" t="s">
        <v>136</v>
      </c>
      <c r="D130" s="24">
        <f>25294.22+18089.88</f>
        <v>43384.100000000006</v>
      </c>
      <c r="E130" s="24"/>
      <c r="F130" s="4"/>
      <c r="G130" s="27"/>
      <c r="H130" s="24"/>
      <c r="I130" s="4"/>
      <c r="J130" s="24"/>
      <c r="K130" s="20">
        <f t="shared" si="19"/>
        <v>49001</v>
      </c>
      <c r="L130" s="20">
        <f t="shared" si="6"/>
        <v>43384.100000000006</v>
      </c>
      <c r="M130" s="13">
        <f t="shared" si="7"/>
        <v>11.462827289238973</v>
      </c>
      <c r="N130" s="4"/>
    </row>
    <row r="131" spans="1:14" x14ac:dyDescent="0.25">
      <c r="A131" s="23" t="s">
        <v>366</v>
      </c>
      <c r="B131" s="47"/>
      <c r="C131" s="4"/>
      <c r="D131" s="24"/>
      <c r="E131" s="24"/>
      <c r="F131" s="4"/>
      <c r="G131" s="27"/>
      <c r="H131" s="24"/>
      <c r="I131" s="4"/>
      <c r="J131" s="24"/>
      <c r="K131" s="20">
        <f t="shared" si="19"/>
        <v>0</v>
      </c>
      <c r="L131" s="20">
        <f t="shared" si="6"/>
        <v>0</v>
      </c>
      <c r="M131" s="13" t="e">
        <f t="shared" si="7"/>
        <v>#DIV/0!</v>
      </c>
      <c r="N131" s="4"/>
    </row>
    <row r="132" spans="1:14" x14ac:dyDescent="0.25">
      <c r="A132" s="23" t="s">
        <v>367</v>
      </c>
      <c r="B132" s="47"/>
      <c r="C132" s="4"/>
      <c r="D132" s="24"/>
      <c r="E132" s="24"/>
      <c r="F132" s="4"/>
      <c r="G132" s="27"/>
      <c r="H132" s="24"/>
      <c r="I132" s="4"/>
      <c r="J132" s="24"/>
      <c r="K132" s="20">
        <f t="shared" si="19"/>
        <v>0</v>
      </c>
      <c r="L132" s="20">
        <f t="shared" ref="L132:L156" si="20">D132+G132+J132</f>
        <v>0</v>
      </c>
      <c r="M132" s="13" t="e">
        <f t="shared" ref="M132:M156" si="21">100-L132*100/K132</f>
        <v>#DIV/0!</v>
      </c>
      <c r="N132" s="4"/>
    </row>
    <row r="133" spans="1:14" x14ac:dyDescent="0.25">
      <c r="A133" s="23" t="s">
        <v>388</v>
      </c>
      <c r="B133" s="24">
        <f>80879+19157+10539+10782+209</f>
        <v>121566</v>
      </c>
      <c r="C133" s="4" t="s">
        <v>238</v>
      </c>
      <c r="D133" s="24">
        <f>44105.47+7789.92+8902.77+7448.92+23073.7</f>
        <v>91320.78</v>
      </c>
      <c r="E133" s="24">
        <f>15121+20202</f>
        <v>35323</v>
      </c>
      <c r="F133" s="4" t="s">
        <v>212</v>
      </c>
      <c r="G133" s="27">
        <f>21504.25+16095.38</f>
        <v>37599.629999999997</v>
      </c>
      <c r="H133" s="24"/>
      <c r="I133" s="4"/>
      <c r="J133" s="24"/>
      <c r="K133" s="20">
        <f t="shared" ref="K133:K141" si="22">B133+E133+H133</f>
        <v>156889</v>
      </c>
      <c r="L133" s="20">
        <f t="shared" ref="L133:L141" si="23">D133+G133+J133</f>
        <v>128920.41</v>
      </c>
      <c r="M133" s="13">
        <f t="shared" ref="M133:M141" si="24">100-L133*100/K133</f>
        <v>17.826992332158412</v>
      </c>
      <c r="N133" s="4"/>
    </row>
    <row r="134" spans="1:14" x14ac:dyDescent="0.25">
      <c r="A134" s="23" t="s">
        <v>389</v>
      </c>
      <c r="B134" s="24">
        <v>2038</v>
      </c>
      <c r="C134" s="4" t="s">
        <v>136</v>
      </c>
      <c r="D134" s="24">
        <f>4696.6*40/100</f>
        <v>1878.64</v>
      </c>
      <c r="E134" s="24">
        <f>848+848</f>
        <v>1696</v>
      </c>
      <c r="F134" s="4" t="s">
        <v>212</v>
      </c>
      <c r="G134" s="27">
        <v>1550</v>
      </c>
      <c r="H134" s="24"/>
      <c r="I134" s="4"/>
      <c r="J134" s="24"/>
      <c r="K134" s="20">
        <f t="shared" si="22"/>
        <v>3734</v>
      </c>
      <c r="L134" s="20">
        <f t="shared" si="23"/>
        <v>3428.6400000000003</v>
      </c>
      <c r="M134" s="13">
        <f t="shared" si="24"/>
        <v>8.1778253883234981</v>
      </c>
      <c r="N134" s="4"/>
    </row>
    <row r="135" spans="1:14" x14ac:dyDescent="0.25">
      <c r="A135" s="23" t="s">
        <v>390</v>
      </c>
      <c r="B135" s="24">
        <v>2038</v>
      </c>
      <c r="C135" s="4" t="s">
        <v>136</v>
      </c>
      <c r="D135" s="24">
        <f>4696.6*0.4</f>
        <v>1878.6400000000003</v>
      </c>
      <c r="E135" s="24">
        <f>839+839</f>
        <v>1678</v>
      </c>
      <c r="F135" s="4" t="s">
        <v>212</v>
      </c>
      <c r="G135" s="27">
        <v>1340</v>
      </c>
      <c r="H135" s="24"/>
      <c r="I135" s="4"/>
      <c r="J135" s="24"/>
      <c r="K135" s="20">
        <f t="shared" si="22"/>
        <v>3716</v>
      </c>
      <c r="L135" s="20">
        <f t="shared" si="23"/>
        <v>3218.6400000000003</v>
      </c>
      <c r="M135" s="13">
        <f t="shared" si="24"/>
        <v>13.384284176533896</v>
      </c>
      <c r="N135" s="4"/>
    </row>
    <row r="136" spans="1:14" x14ac:dyDescent="0.25">
      <c r="A136" s="23" t="s">
        <v>391</v>
      </c>
      <c r="B136" s="24">
        <v>3471</v>
      </c>
      <c r="C136" s="4" t="s">
        <v>136</v>
      </c>
      <c r="D136" s="24">
        <v>3011.83</v>
      </c>
      <c r="E136" s="24">
        <f>848+841</f>
        <v>1689</v>
      </c>
      <c r="F136" s="4" t="s">
        <v>212</v>
      </c>
      <c r="G136" s="27">
        <v>1230</v>
      </c>
      <c r="H136" s="24"/>
      <c r="I136" s="4"/>
      <c r="J136" s="24"/>
      <c r="K136" s="20">
        <f t="shared" si="22"/>
        <v>5160</v>
      </c>
      <c r="L136" s="20">
        <f t="shared" si="23"/>
        <v>4241.83</v>
      </c>
      <c r="M136" s="13">
        <f t="shared" si="24"/>
        <v>17.793992248062011</v>
      </c>
      <c r="N136" s="4"/>
    </row>
    <row r="137" spans="1:14" x14ac:dyDescent="0.25">
      <c r="A137" s="23" t="s">
        <v>392</v>
      </c>
      <c r="B137" s="24">
        <v>3471</v>
      </c>
      <c r="C137" s="4" t="s">
        <v>136</v>
      </c>
      <c r="D137" s="24">
        <v>3011.83</v>
      </c>
      <c r="E137" s="24">
        <f>848+841</f>
        <v>1689</v>
      </c>
      <c r="F137" s="4" t="s">
        <v>212</v>
      </c>
      <c r="G137" s="27">
        <v>1230</v>
      </c>
      <c r="H137" s="24"/>
      <c r="I137" s="4"/>
      <c r="J137" s="24"/>
      <c r="K137" s="20">
        <f t="shared" si="22"/>
        <v>5160</v>
      </c>
      <c r="L137" s="20">
        <f t="shared" si="23"/>
        <v>4241.83</v>
      </c>
      <c r="M137" s="13">
        <f t="shared" si="24"/>
        <v>17.793992248062011</v>
      </c>
      <c r="N137" s="4"/>
    </row>
    <row r="138" spans="1:14" x14ac:dyDescent="0.25">
      <c r="A138" s="23" t="s">
        <v>393</v>
      </c>
      <c r="B138" s="24">
        <v>453</v>
      </c>
      <c r="C138" s="4" t="s">
        <v>136</v>
      </c>
      <c r="D138" s="24">
        <f>4696.6*0.2</f>
        <v>939.32000000000016</v>
      </c>
      <c r="E138" s="24">
        <f>533+533</f>
        <v>1066</v>
      </c>
      <c r="F138" s="4" t="s">
        <v>212</v>
      </c>
      <c r="G138" s="27">
        <v>500</v>
      </c>
      <c r="H138" s="24"/>
      <c r="I138" s="4"/>
      <c r="J138" s="24"/>
      <c r="K138" s="20">
        <f t="shared" si="22"/>
        <v>1519</v>
      </c>
      <c r="L138" s="20">
        <f t="shared" si="23"/>
        <v>1439.3200000000002</v>
      </c>
      <c r="M138" s="13">
        <f t="shared" si="24"/>
        <v>5.2455562870309222</v>
      </c>
      <c r="N138" s="4"/>
    </row>
    <row r="139" spans="1:14" x14ac:dyDescent="0.25">
      <c r="A139" s="23" t="s">
        <v>394</v>
      </c>
      <c r="B139" s="47"/>
      <c r="C139" s="4"/>
      <c r="D139" s="24"/>
      <c r="E139" s="24"/>
      <c r="F139" s="4"/>
      <c r="G139" s="27"/>
      <c r="H139" s="24"/>
      <c r="I139" s="4"/>
      <c r="J139" s="24"/>
      <c r="K139" s="20">
        <f t="shared" si="22"/>
        <v>0</v>
      </c>
      <c r="L139" s="20">
        <f t="shared" si="23"/>
        <v>0</v>
      </c>
      <c r="M139" s="13" t="e">
        <f t="shared" si="24"/>
        <v>#DIV/0!</v>
      </c>
      <c r="N139" s="4"/>
    </row>
    <row r="140" spans="1:14" x14ac:dyDescent="0.25">
      <c r="A140" s="23" t="s">
        <v>193</v>
      </c>
      <c r="B140" s="47"/>
      <c r="C140" s="4"/>
      <c r="D140" s="24"/>
      <c r="E140" s="24"/>
      <c r="F140" s="4"/>
      <c r="G140" s="27"/>
      <c r="H140" s="24"/>
      <c r="I140" s="4"/>
      <c r="J140" s="24"/>
      <c r="K140" s="20">
        <f t="shared" si="22"/>
        <v>0</v>
      </c>
      <c r="L140" s="20">
        <f t="shared" si="23"/>
        <v>0</v>
      </c>
      <c r="M140" s="13" t="e">
        <f t="shared" si="24"/>
        <v>#DIV/0!</v>
      </c>
      <c r="N140" s="4"/>
    </row>
    <row r="141" spans="1:14" x14ac:dyDescent="0.25">
      <c r="A141" s="23" t="s">
        <v>395</v>
      </c>
      <c r="B141" s="26">
        <f>1150+1533+2045+8434+3514</f>
        <v>16676</v>
      </c>
      <c r="C141" s="4" t="s">
        <v>382</v>
      </c>
      <c r="D141" s="24">
        <v>17654.830000000002</v>
      </c>
      <c r="E141" s="24"/>
      <c r="F141" s="4"/>
      <c r="G141" s="27"/>
      <c r="H141" s="24"/>
      <c r="I141" s="4"/>
      <c r="J141" s="24"/>
      <c r="K141" s="20">
        <f t="shared" si="22"/>
        <v>16676</v>
      </c>
      <c r="L141" s="20">
        <f t="shared" si="23"/>
        <v>17654.830000000002</v>
      </c>
      <c r="M141" s="13">
        <f t="shared" si="24"/>
        <v>-5.8696929719357342</v>
      </c>
      <c r="N141" s="4"/>
    </row>
    <row r="142" spans="1:14" x14ac:dyDescent="0.25">
      <c r="A142" s="23" t="s">
        <v>396</v>
      </c>
      <c r="B142" s="24">
        <v>7713</v>
      </c>
      <c r="C142" s="4" t="s">
        <v>136</v>
      </c>
      <c r="D142" s="24">
        <v>7738.94</v>
      </c>
      <c r="E142" s="24">
        <f>6731+6731</f>
        <v>13462</v>
      </c>
      <c r="F142" s="4" t="s">
        <v>212</v>
      </c>
      <c r="G142" s="27">
        <v>13485.32</v>
      </c>
      <c r="H142" s="24"/>
      <c r="I142" s="4"/>
      <c r="J142" s="24"/>
      <c r="K142" s="20">
        <f t="shared" ref="K142:K149" si="25">B142+E142+H142</f>
        <v>21175</v>
      </c>
      <c r="L142" s="20">
        <f t="shared" ref="L142:L149" si="26">D142+G142+J142</f>
        <v>21224.26</v>
      </c>
      <c r="M142" s="13">
        <f t="shared" ref="M142:M149" si="27">100-L142*100/K142</f>
        <v>-0.23263282172372612</v>
      </c>
      <c r="N142" s="4"/>
    </row>
    <row r="143" spans="1:14" x14ac:dyDescent="0.25">
      <c r="A143" s="23" t="s">
        <v>397</v>
      </c>
      <c r="B143" s="24">
        <f>2331+1865</f>
        <v>4196</v>
      </c>
      <c r="C143" s="4" t="s">
        <v>136</v>
      </c>
      <c r="D143" s="24">
        <f>2186.72+1749.41</f>
        <v>3936.13</v>
      </c>
      <c r="E143" s="24">
        <f>1240+1240</f>
        <v>2480</v>
      </c>
      <c r="F143" s="4" t="s">
        <v>212</v>
      </c>
      <c r="G143" s="27">
        <f>1182.79*2</f>
        <v>2365.58</v>
      </c>
      <c r="H143" s="24"/>
      <c r="I143" s="4"/>
      <c r="J143" s="24"/>
      <c r="K143" s="20">
        <f t="shared" si="25"/>
        <v>6676</v>
      </c>
      <c r="L143" s="20">
        <f t="shared" si="26"/>
        <v>6301.71</v>
      </c>
      <c r="M143" s="13">
        <f t="shared" si="27"/>
        <v>5.6065008987417571</v>
      </c>
      <c r="N143" s="4"/>
    </row>
    <row r="144" spans="1:14" x14ac:dyDescent="0.25">
      <c r="A144" s="23" t="s">
        <v>398</v>
      </c>
      <c r="B144" s="24">
        <f>2331+1865</f>
        <v>4196</v>
      </c>
      <c r="C144" s="4" t="s">
        <v>136</v>
      </c>
      <c r="D144" s="24">
        <f>2186.72+1749.41</f>
        <v>3936.13</v>
      </c>
      <c r="E144" s="24">
        <f>1240+1240</f>
        <v>2480</v>
      </c>
      <c r="F144" s="4" t="s">
        <v>212</v>
      </c>
      <c r="G144" s="27">
        <f>1182.79*2</f>
        <v>2365.58</v>
      </c>
      <c r="H144" s="24"/>
      <c r="I144" s="4"/>
      <c r="J144" s="24"/>
      <c r="K144" s="20">
        <f t="shared" si="25"/>
        <v>6676</v>
      </c>
      <c r="L144" s="20">
        <f t="shared" si="26"/>
        <v>6301.71</v>
      </c>
      <c r="M144" s="13">
        <f t="shared" si="27"/>
        <v>5.6065008987417571</v>
      </c>
      <c r="N144" s="4"/>
    </row>
    <row r="145" spans="1:14" x14ac:dyDescent="0.25">
      <c r="A145" s="23" t="s">
        <v>399</v>
      </c>
      <c r="B145" s="26">
        <v>1780</v>
      </c>
      <c r="C145" s="4" t="s">
        <v>136</v>
      </c>
      <c r="D145" s="24">
        <v>1711.49</v>
      </c>
      <c r="E145" s="24">
        <f>1240+1240</f>
        <v>2480</v>
      </c>
      <c r="F145" s="4" t="s">
        <v>212</v>
      </c>
      <c r="G145" s="27">
        <f>1182.79*2</f>
        <v>2365.58</v>
      </c>
      <c r="H145" s="24"/>
      <c r="I145" s="4"/>
      <c r="J145" s="24"/>
      <c r="K145" s="20">
        <f t="shared" si="25"/>
        <v>4260</v>
      </c>
      <c r="L145" s="20">
        <f t="shared" si="26"/>
        <v>4077.0699999999997</v>
      </c>
      <c r="M145" s="13">
        <f t="shared" si="27"/>
        <v>4.2941314553990679</v>
      </c>
      <c r="N145" s="4"/>
    </row>
    <row r="146" spans="1:14" x14ac:dyDescent="0.25">
      <c r="A146" s="23" t="s">
        <v>400</v>
      </c>
      <c r="B146" s="26">
        <v>1780</v>
      </c>
      <c r="C146" s="4" t="s">
        <v>136</v>
      </c>
      <c r="D146" s="24">
        <v>1711.49</v>
      </c>
      <c r="E146" s="24">
        <f>1240+1240</f>
        <v>2480</v>
      </c>
      <c r="F146" s="4" t="s">
        <v>212</v>
      </c>
      <c r="G146" s="27">
        <f>1182.79*2</f>
        <v>2365.58</v>
      </c>
      <c r="H146" s="24"/>
      <c r="I146" s="4"/>
      <c r="J146" s="24"/>
      <c r="K146" s="20">
        <f t="shared" si="25"/>
        <v>4260</v>
      </c>
      <c r="L146" s="20">
        <f t="shared" si="26"/>
        <v>4077.0699999999997</v>
      </c>
      <c r="M146" s="13">
        <f t="shared" si="27"/>
        <v>4.2941314553990679</v>
      </c>
      <c r="N146" s="4"/>
    </row>
    <row r="147" spans="1:14" x14ac:dyDescent="0.25">
      <c r="A147" s="23" t="s">
        <v>401</v>
      </c>
      <c r="B147" s="26">
        <v>876</v>
      </c>
      <c r="C147" s="4" t="s">
        <v>136</v>
      </c>
      <c r="D147" s="24">
        <f>743.5/2</f>
        <v>371.75</v>
      </c>
      <c r="E147" s="24">
        <f>656+656</f>
        <v>1312</v>
      </c>
      <c r="F147" s="4" t="s">
        <v>212</v>
      </c>
      <c r="G147" s="27">
        <f>638.41*2</f>
        <v>1276.82</v>
      </c>
      <c r="H147" s="24"/>
      <c r="I147" s="4"/>
      <c r="J147" s="24"/>
      <c r="K147" s="20">
        <f t="shared" si="25"/>
        <v>2188</v>
      </c>
      <c r="L147" s="20">
        <f t="shared" si="26"/>
        <v>1648.57</v>
      </c>
      <c r="M147" s="13">
        <f>100-L147*100/K147</f>
        <v>24.654021937842785</v>
      </c>
      <c r="N147" s="4"/>
    </row>
    <row r="148" spans="1:14" x14ac:dyDescent="0.25">
      <c r="A148" s="23" t="s">
        <v>402</v>
      </c>
      <c r="B148" s="26">
        <v>876</v>
      </c>
      <c r="C148" s="4" t="s">
        <v>136</v>
      </c>
      <c r="D148" s="24">
        <f>743.5/2</f>
        <v>371.75</v>
      </c>
      <c r="E148" s="24">
        <f>656+656</f>
        <v>1312</v>
      </c>
      <c r="F148" s="4" t="s">
        <v>212</v>
      </c>
      <c r="G148" s="27">
        <f>638.41*2</f>
        <v>1276.82</v>
      </c>
      <c r="H148" s="24"/>
      <c r="I148" s="4"/>
      <c r="J148" s="24"/>
      <c r="K148" s="20">
        <f t="shared" si="25"/>
        <v>2188</v>
      </c>
      <c r="L148" s="20">
        <f t="shared" si="26"/>
        <v>1648.57</v>
      </c>
      <c r="M148" s="13">
        <f t="shared" si="27"/>
        <v>24.654021937842785</v>
      </c>
      <c r="N148" s="4"/>
    </row>
    <row r="149" spans="1:14" x14ac:dyDescent="0.25">
      <c r="A149" s="23" t="s">
        <v>403</v>
      </c>
      <c r="B149" s="26">
        <f>14612+91327+67875</f>
        <v>173814</v>
      </c>
      <c r="C149" s="4" t="s">
        <v>136</v>
      </c>
      <c r="D149" s="24">
        <f>62661.08+75150.91+27035</f>
        <v>164846.99</v>
      </c>
      <c r="E149" s="24">
        <f>39535+47877</f>
        <v>87412</v>
      </c>
      <c r="F149" s="4" t="s">
        <v>212</v>
      </c>
      <c r="G149" s="27">
        <f>39947.62+47610.63</f>
        <v>87558.25</v>
      </c>
      <c r="H149" s="24"/>
      <c r="I149" s="4"/>
      <c r="J149" s="24"/>
      <c r="K149" s="20">
        <f t="shared" si="25"/>
        <v>261226</v>
      </c>
      <c r="L149" s="20">
        <f t="shared" si="26"/>
        <v>252405.24</v>
      </c>
      <c r="M149" s="13">
        <f t="shared" si="27"/>
        <v>3.3766776660822444</v>
      </c>
      <c r="N149" s="4"/>
    </row>
    <row r="150" spans="1:14" x14ac:dyDescent="0.25">
      <c r="A150" s="23" t="s">
        <v>404</v>
      </c>
      <c r="B150" s="24">
        <f>5594+8950</f>
        <v>14544</v>
      </c>
      <c r="C150" s="4" t="s">
        <v>136</v>
      </c>
      <c r="D150" s="24">
        <f>5328.21+8525.16</f>
        <v>13853.369999999999</v>
      </c>
      <c r="E150" s="24">
        <f>6060+6060</f>
        <v>12120</v>
      </c>
      <c r="F150" s="4" t="s">
        <v>212</v>
      </c>
      <c r="G150" s="27">
        <f>12147.14</f>
        <v>12147.14</v>
      </c>
      <c r="H150" s="24"/>
      <c r="I150" s="4"/>
      <c r="J150" s="24"/>
      <c r="K150" s="20">
        <f t="shared" si="19"/>
        <v>26664</v>
      </c>
      <c r="L150" s="20">
        <f t="shared" si="20"/>
        <v>26000.51</v>
      </c>
      <c r="M150" s="13">
        <f t="shared" si="21"/>
        <v>2.4883363336333701</v>
      </c>
      <c r="N150" s="4"/>
    </row>
    <row r="151" spans="1:14" x14ac:dyDescent="0.25">
      <c r="A151" s="23" t="s">
        <v>405</v>
      </c>
      <c r="B151" s="24">
        <f>23133+127857</f>
        <v>150990</v>
      </c>
      <c r="C151" s="4" t="s">
        <v>136</v>
      </c>
      <c r="D151" s="24">
        <f>125322.17+13517.56</f>
        <v>138839.73000000001</v>
      </c>
      <c r="E151" s="24">
        <f>45323+45323</f>
        <v>90646</v>
      </c>
      <c r="F151" s="4" t="s">
        <v>212</v>
      </c>
      <c r="G151" s="27">
        <f>47610.63*2</f>
        <v>95221.26</v>
      </c>
      <c r="H151" s="24"/>
      <c r="I151" s="4"/>
      <c r="J151" s="24"/>
      <c r="K151" s="20">
        <f t="shared" si="19"/>
        <v>241636</v>
      </c>
      <c r="L151" s="20">
        <f t="shared" si="20"/>
        <v>234060.99</v>
      </c>
      <c r="M151" s="13">
        <f t="shared" si="21"/>
        <v>3.1348847026105346</v>
      </c>
      <c r="N151" s="4"/>
    </row>
    <row r="152" spans="1:14" x14ac:dyDescent="0.25">
      <c r="A152" s="23" t="s">
        <v>406</v>
      </c>
      <c r="B152" s="24">
        <v>15707</v>
      </c>
      <c r="C152" s="4" t="s">
        <v>136</v>
      </c>
      <c r="D152" s="24">
        <v>13517.56</v>
      </c>
      <c r="E152" s="24">
        <f>11232+11232</f>
        <v>22464</v>
      </c>
      <c r="F152" s="4" t="s">
        <v>212</v>
      </c>
      <c r="G152" s="27">
        <v>22500.46</v>
      </c>
      <c r="H152" s="24"/>
      <c r="I152" s="4"/>
      <c r="J152" s="24"/>
      <c r="K152" s="20">
        <f t="shared" si="19"/>
        <v>38171</v>
      </c>
      <c r="L152" s="20">
        <f t="shared" si="20"/>
        <v>36018.019999999997</v>
      </c>
      <c r="M152" s="13">
        <f t="shared" si="21"/>
        <v>5.6403552435094895</v>
      </c>
      <c r="N152" s="4"/>
    </row>
    <row r="153" spans="1:14" x14ac:dyDescent="0.25">
      <c r="A153" s="23" t="s">
        <v>407</v>
      </c>
      <c r="B153" s="24">
        <v>2237</v>
      </c>
      <c r="C153" s="4" t="s">
        <v>136</v>
      </c>
      <c r="D153" s="24">
        <v>2053.65</v>
      </c>
      <c r="E153" s="24">
        <f>1921+1921</f>
        <v>3842</v>
      </c>
      <c r="F153" s="4" t="s">
        <v>212</v>
      </c>
      <c r="G153" s="27">
        <f>1920.84*2</f>
        <v>3841.68</v>
      </c>
      <c r="H153" s="24"/>
      <c r="I153" s="4"/>
      <c r="J153" s="24"/>
      <c r="K153" s="20">
        <f t="shared" si="19"/>
        <v>6079</v>
      </c>
      <c r="L153" s="20">
        <f t="shared" si="20"/>
        <v>5895.33</v>
      </c>
      <c r="M153" s="13">
        <f t="shared" si="21"/>
        <v>3.0213850962329332</v>
      </c>
      <c r="N153" s="4"/>
    </row>
    <row r="154" spans="1:14" x14ac:dyDescent="0.25">
      <c r="A154" s="23" t="s">
        <v>408</v>
      </c>
      <c r="B154" s="24">
        <v>7458</v>
      </c>
      <c r="C154" s="4" t="s">
        <v>136</v>
      </c>
      <c r="D154" s="24">
        <f>10100.76/2</f>
        <v>5050.38</v>
      </c>
      <c r="E154" s="24">
        <f>2810+2810</f>
        <v>5620</v>
      </c>
      <c r="F154" s="4" t="s">
        <v>212</v>
      </c>
      <c r="G154" s="27">
        <f>2108.26*2</f>
        <v>4216.5200000000004</v>
      </c>
      <c r="H154" s="24"/>
      <c r="I154" s="4"/>
      <c r="J154" s="24"/>
      <c r="K154" s="20">
        <f t="shared" si="19"/>
        <v>13078</v>
      </c>
      <c r="L154" s="20">
        <f t="shared" si="20"/>
        <v>9266.9000000000015</v>
      </c>
      <c r="M154" s="13">
        <f t="shared" si="21"/>
        <v>29.141306010093274</v>
      </c>
      <c r="N154" s="4"/>
    </row>
    <row r="155" spans="1:14" x14ac:dyDescent="0.25">
      <c r="A155" s="23" t="s">
        <v>409</v>
      </c>
      <c r="B155" s="24">
        <v>7458</v>
      </c>
      <c r="C155" s="4" t="s">
        <v>136</v>
      </c>
      <c r="D155" s="24">
        <f>10100.76/2</f>
        <v>5050.38</v>
      </c>
      <c r="E155" s="24">
        <f>2810+2810</f>
        <v>5620</v>
      </c>
      <c r="F155" s="4" t="s">
        <v>212</v>
      </c>
      <c r="G155" s="27">
        <f>2108.26*2</f>
        <v>4216.5200000000004</v>
      </c>
      <c r="H155" s="24"/>
      <c r="I155" s="4"/>
      <c r="J155" s="24"/>
      <c r="K155" s="20">
        <f t="shared" si="19"/>
        <v>13078</v>
      </c>
      <c r="L155" s="20">
        <f t="shared" si="20"/>
        <v>9266.9000000000015</v>
      </c>
      <c r="M155" s="13">
        <f t="shared" si="21"/>
        <v>29.141306010093274</v>
      </c>
      <c r="N155" s="4"/>
    </row>
    <row r="156" spans="1:14" x14ac:dyDescent="0.25">
      <c r="A156" s="23" t="s">
        <v>410</v>
      </c>
      <c r="B156" s="24">
        <f>68752</f>
        <v>68752</v>
      </c>
      <c r="C156" s="4" t="s">
        <v>136</v>
      </c>
      <c r="D156" s="24">
        <v>57203.25</v>
      </c>
      <c r="E156" s="24">
        <f>17012+21322</f>
        <v>38334</v>
      </c>
      <c r="F156" s="4" t="s">
        <v>212</v>
      </c>
      <c r="G156" s="27">
        <f>16965.19+20975.11</f>
        <v>37940.300000000003</v>
      </c>
      <c r="H156" s="24"/>
      <c r="I156" s="4"/>
      <c r="J156" s="24"/>
      <c r="K156" s="20">
        <f t="shared" si="19"/>
        <v>107086</v>
      </c>
      <c r="L156" s="20">
        <f t="shared" si="20"/>
        <v>95143.55</v>
      </c>
      <c r="M156" s="13">
        <f t="shared" si="21"/>
        <v>11.152204769997951</v>
      </c>
      <c r="N156" s="4"/>
    </row>
    <row r="157" spans="1:14" x14ac:dyDescent="0.25">
      <c r="A157" s="23" t="s">
        <v>411</v>
      </c>
      <c r="B157" s="24">
        <v>35600</v>
      </c>
      <c r="C157" s="4" t="s">
        <v>136</v>
      </c>
      <c r="D157" s="24">
        <v>31483.62</v>
      </c>
      <c r="E157" s="24">
        <f>13386+14441</f>
        <v>27827</v>
      </c>
      <c r="F157" s="4" t="s">
        <v>212</v>
      </c>
      <c r="G157" s="27">
        <v>28524</v>
      </c>
      <c r="H157" s="24"/>
      <c r="I157" s="4"/>
      <c r="J157" s="24"/>
      <c r="K157" s="20">
        <f t="shared" ref="K157:K159" si="28">B157+E157+H157</f>
        <v>63427</v>
      </c>
      <c r="L157" s="20">
        <f t="shared" ref="L157:L159" si="29">D157+G157+J157</f>
        <v>60007.619999999995</v>
      </c>
      <c r="M157" s="13">
        <f t="shared" ref="M157:M159" si="30">100-L157*100/K157</f>
        <v>5.3910479764138302</v>
      </c>
      <c r="N157" s="4"/>
    </row>
    <row r="158" spans="1:14" x14ac:dyDescent="0.25">
      <c r="A158" s="23" t="s">
        <v>412</v>
      </c>
      <c r="B158" s="24">
        <f>8153+30795+12318+6944</f>
        <v>58210</v>
      </c>
      <c r="C158" s="4" t="s">
        <v>238</v>
      </c>
      <c r="D158" s="24">
        <v>60778.81</v>
      </c>
      <c r="E158" s="24"/>
      <c r="F158" s="4"/>
      <c r="G158" s="27"/>
      <c r="H158" s="24"/>
      <c r="I158" s="4"/>
      <c r="J158" s="24"/>
      <c r="K158" s="20">
        <f t="shared" si="28"/>
        <v>58210</v>
      </c>
      <c r="L158" s="20">
        <f t="shared" si="29"/>
        <v>60778.81</v>
      </c>
      <c r="M158" s="13">
        <f t="shared" si="30"/>
        <v>-4.4130046383782826</v>
      </c>
      <c r="N158" s="4"/>
    </row>
    <row r="159" spans="1:14" x14ac:dyDescent="0.25">
      <c r="A159" s="23" t="s">
        <v>413</v>
      </c>
      <c r="B159" s="47"/>
      <c r="C159" s="4"/>
      <c r="D159" s="24"/>
      <c r="E159" s="24"/>
      <c r="F159" s="4"/>
      <c r="G159" s="27"/>
      <c r="H159" s="24"/>
      <c r="I159" s="4"/>
      <c r="J159" s="24"/>
      <c r="K159" s="20">
        <f t="shared" si="28"/>
        <v>0</v>
      </c>
      <c r="L159" s="20">
        <f t="shared" si="29"/>
        <v>0</v>
      </c>
      <c r="M159" s="13" t="e">
        <f t="shared" si="30"/>
        <v>#DIV/0!</v>
      </c>
      <c r="N159" s="4"/>
    </row>
    <row r="160" spans="1:14" x14ac:dyDescent="0.25">
      <c r="A160" s="23"/>
      <c r="B160" s="8"/>
      <c r="C160" s="4"/>
      <c r="D160" s="24"/>
      <c r="E160" s="24"/>
      <c r="F160" s="4"/>
      <c r="G160" s="27"/>
      <c r="H160" s="24"/>
      <c r="I160" s="4"/>
      <c r="J160" s="24"/>
      <c r="K160" s="20"/>
      <c r="L160" s="20"/>
      <c r="M160" s="13"/>
      <c r="N160" s="4"/>
    </row>
    <row r="161" spans="1:14" x14ac:dyDescent="0.25">
      <c r="A161" s="23"/>
      <c r="B161" s="8"/>
      <c r="C161" s="4"/>
      <c r="D161" s="24"/>
      <c r="E161" s="24"/>
      <c r="F161" s="4"/>
      <c r="G161" s="15"/>
      <c r="H161" s="9"/>
      <c r="I161" s="4"/>
      <c r="J161" s="24"/>
      <c r="K161" s="39">
        <f>SUM(K2:K160)</f>
        <v>3852638</v>
      </c>
      <c r="L161" s="39">
        <f>SUM(L2:L160)</f>
        <v>3631832.7764999997</v>
      </c>
      <c r="M161" s="49">
        <f>100-L161*100/K161</f>
        <v>5.7312735715112666</v>
      </c>
      <c r="N161" s="50">
        <f>K161-L161</f>
        <v>220805.22350000031</v>
      </c>
    </row>
    <row r="165" spans="1:14" ht="30" x14ac:dyDescent="0.25">
      <c r="A165" s="2" t="s">
        <v>0</v>
      </c>
      <c r="B165" s="3" t="s">
        <v>2</v>
      </c>
      <c r="C165" s="3" t="s">
        <v>9</v>
      </c>
      <c r="D165" s="3" t="s">
        <v>3</v>
      </c>
      <c r="E165" s="3" t="s">
        <v>4</v>
      </c>
      <c r="F165" s="7" t="s">
        <v>9</v>
      </c>
      <c r="G165" s="3" t="s">
        <v>5</v>
      </c>
      <c r="H165" s="3" t="s">
        <v>252</v>
      </c>
      <c r="I165" s="7" t="s">
        <v>9</v>
      </c>
      <c r="J165" s="3" t="s">
        <v>253</v>
      </c>
      <c r="K165" s="5" t="s">
        <v>10</v>
      </c>
      <c r="L165" s="5" t="s">
        <v>11</v>
      </c>
      <c r="M165" s="12" t="s">
        <v>61</v>
      </c>
      <c r="N165" s="34"/>
    </row>
    <row r="166" spans="1:14" x14ac:dyDescent="0.25">
      <c r="A166" s="23" t="s">
        <v>396</v>
      </c>
      <c r="B166" s="24">
        <v>7713</v>
      </c>
      <c r="C166" s="4" t="s">
        <v>136</v>
      </c>
      <c r="D166" s="24">
        <v>7738.94</v>
      </c>
      <c r="E166" s="24">
        <f>6731+6731</f>
        <v>13462</v>
      </c>
      <c r="F166" s="4" t="s">
        <v>212</v>
      </c>
      <c r="G166" s="27">
        <v>13485.32</v>
      </c>
      <c r="H166" s="24"/>
      <c r="I166" s="4"/>
      <c r="J166" s="24"/>
      <c r="K166" s="20">
        <f t="shared" ref="K166:K180" si="31">B166+E166+H166</f>
        <v>21175</v>
      </c>
      <c r="L166" s="20">
        <f t="shared" ref="L166:L180" si="32">D166+G166+J166</f>
        <v>21224.26</v>
      </c>
      <c r="M166" s="13">
        <f t="shared" ref="M166:M170" si="33">100-L166*100/K166</f>
        <v>-0.23263282172372612</v>
      </c>
      <c r="N166" s="34"/>
    </row>
    <row r="167" spans="1:14" x14ac:dyDescent="0.25">
      <c r="A167" s="23" t="s">
        <v>397</v>
      </c>
      <c r="B167" s="24">
        <f>2331+1865</f>
        <v>4196</v>
      </c>
      <c r="C167" s="4" t="s">
        <v>136</v>
      </c>
      <c r="D167" s="24">
        <f>2186.72+1749.41</f>
        <v>3936.13</v>
      </c>
      <c r="E167" s="24">
        <f>1240+1240</f>
        <v>2480</v>
      </c>
      <c r="F167" s="4" t="s">
        <v>212</v>
      </c>
      <c r="G167" s="27">
        <f>1182.79*2</f>
        <v>2365.58</v>
      </c>
      <c r="H167" s="24"/>
      <c r="I167" s="4"/>
      <c r="J167" s="24"/>
      <c r="K167" s="20">
        <f t="shared" si="31"/>
        <v>6676</v>
      </c>
      <c r="L167" s="20">
        <f t="shared" si="32"/>
        <v>6301.71</v>
      </c>
      <c r="M167" s="13">
        <f t="shared" si="33"/>
        <v>5.6065008987417571</v>
      </c>
      <c r="N167" s="34"/>
    </row>
    <row r="168" spans="1:14" x14ac:dyDescent="0.25">
      <c r="A168" s="23" t="s">
        <v>398</v>
      </c>
      <c r="B168" s="24">
        <f>2331+1865</f>
        <v>4196</v>
      </c>
      <c r="C168" s="4" t="s">
        <v>136</v>
      </c>
      <c r="D168" s="24">
        <f>2186.72+1749.41</f>
        <v>3936.13</v>
      </c>
      <c r="E168" s="24">
        <f>1240+1240</f>
        <v>2480</v>
      </c>
      <c r="F168" s="4" t="s">
        <v>212</v>
      </c>
      <c r="G168" s="27">
        <f>1182.79*2</f>
        <v>2365.58</v>
      </c>
      <c r="H168" s="24"/>
      <c r="I168" s="4"/>
      <c r="J168" s="24"/>
      <c r="K168" s="20">
        <f t="shared" si="31"/>
        <v>6676</v>
      </c>
      <c r="L168" s="20">
        <f t="shared" si="32"/>
        <v>6301.71</v>
      </c>
      <c r="M168" s="13">
        <f t="shared" si="33"/>
        <v>5.6065008987417571</v>
      </c>
      <c r="N168" s="34"/>
    </row>
    <row r="169" spans="1:14" x14ac:dyDescent="0.25">
      <c r="A169" s="23" t="s">
        <v>399</v>
      </c>
      <c r="B169" s="26">
        <v>1780</v>
      </c>
      <c r="C169" s="4" t="s">
        <v>136</v>
      </c>
      <c r="D169" s="24">
        <v>1711.49</v>
      </c>
      <c r="E169" s="24">
        <f>1240+1240</f>
        <v>2480</v>
      </c>
      <c r="F169" s="4" t="s">
        <v>212</v>
      </c>
      <c r="G169" s="27">
        <f>1182.79*2</f>
        <v>2365.58</v>
      </c>
      <c r="H169" s="24"/>
      <c r="I169" s="4"/>
      <c r="J169" s="24"/>
      <c r="K169" s="20">
        <f t="shared" si="31"/>
        <v>4260</v>
      </c>
      <c r="L169" s="20">
        <f t="shared" si="32"/>
        <v>4077.0699999999997</v>
      </c>
      <c r="M169" s="13">
        <f t="shared" si="33"/>
        <v>4.2941314553990679</v>
      </c>
      <c r="N169" s="34"/>
    </row>
    <row r="170" spans="1:14" x14ac:dyDescent="0.25">
      <c r="A170" s="23" t="s">
        <v>400</v>
      </c>
      <c r="B170" s="26">
        <v>1780</v>
      </c>
      <c r="C170" s="4" t="s">
        <v>136</v>
      </c>
      <c r="D170" s="24">
        <v>1711.49</v>
      </c>
      <c r="E170" s="24">
        <f>1240+1240</f>
        <v>2480</v>
      </c>
      <c r="F170" s="4" t="s">
        <v>212</v>
      </c>
      <c r="G170" s="27">
        <f>1182.79*2</f>
        <v>2365.58</v>
      </c>
      <c r="H170" s="24"/>
      <c r="I170" s="4"/>
      <c r="J170" s="24"/>
      <c r="K170" s="20">
        <f t="shared" si="31"/>
        <v>4260</v>
      </c>
      <c r="L170" s="20">
        <f t="shared" si="32"/>
        <v>4077.0699999999997</v>
      </c>
      <c r="M170" s="13">
        <f t="shared" si="33"/>
        <v>4.2941314553990679</v>
      </c>
      <c r="N170" s="34"/>
    </row>
    <row r="171" spans="1:14" x14ac:dyDescent="0.25">
      <c r="A171" s="23" t="s">
        <v>401</v>
      </c>
      <c r="B171" s="26">
        <v>876</v>
      </c>
      <c r="C171" s="4" t="s">
        <v>136</v>
      </c>
      <c r="D171" s="24">
        <f>743.5/2</f>
        <v>371.75</v>
      </c>
      <c r="E171" s="24">
        <f>656+656</f>
        <v>1312</v>
      </c>
      <c r="F171" s="4" t="s">
        <v>212</v>
      </c>
      <c r="G171" s="27">
        <f>638.41*2</f>
        <v>1276.82</v>
      </c>
      <c r="H171" s="24"/>
      <c r="I171" s="4"/>
      <c r="J171" s="24"/>
      <c r="K171" s="20">
        <f t="shared" si="31"/>
        <v>2188</v>
      </c>
      <c r="L171" s="20">
        <f t="shared" si="32"/>
        <v>1648.57</v>
      </c>
      <c r="M171" s="13">
        <f>100-L171*100/K171</f>
        <v>24.654021937842785</v>
      </c>
      <c r="N171" s="34"/>
    </row>
    <row r="172" spans="1:14" x14ac:dyDescent="0.25">
      <c r="A172" s="23" t="s">
        <v>402</v>
      </c>
      <c r="B172" s="26">
        <v>876</v>
      </c>
      <c r="C172" s="4" t="s">
        <v>136</v>
      </c>
      <c r="D172" s="24">
        <f>743.5/2</f>
        <v>371.75</v>
      </c>
      <c r="E172" s="24">
        <f>656+656</f>
        <v>1312</v>
      </c>
      <c r="F172" s="4" t="s">
        <v>212</v>
      </c>
      <c r="G172" s="27">
        <f>638.41*2</f>
        <v>1276.82</v>
      </c>
      <c r="H172" s="24"/>
      <c r="I172" s="4"/>
      <c r="J172" s="24"/>
      <c r="K172" s="20">
        <f t="shared" si="31"/>
        <v>2188</v>
      </c>
      <c r="L172" s="20">
        <f t="shared" si="32"/>
        <v>1648.57</v>
      </c>
      <c r="M172" s="13">
        <f t="shared" ref="M172:M180" si="34">100-L172*100/K172</f>
        <v>24.654021937842785</v>
      </c>
      <c r="N172" s="34"/>
    </row>
    <row r="173" spans="1:14" x14ac:dyDescent="0.25">
      <c r="A173" s="23" t="s">
        <v>403</v>
      </c>
      <c r="B173" s="26">
        <f>14612+91327+67875</f>
        <v>173814</v>
      </c>
      <c r="C173" s="4" t="s">
        <v>136</v>
      </c>
      <c r="D173" s="24">
        <f>62661.08+75150.91+27035</f>
        <v>164846.99</v>
      </c>
      <c r="E173" s="24">
        <f>39535+47877</f>
        <v>87412</v>
      </c>
      <c r="F173" s="4" t="s">
        <v>212</v>
      </c>
      <c r="G173" s="27">
        <f>39947.62+47610.63</f>
        <v>87558.25</v>
      </c>
      <c r="H173" s="24"/>
      <c r="I173" s="4"/>
      <c r="J173" s="24"/>
      <c r="K173" s="20">
        <f t="shared" si="31"/>
        <v>261226</v>
      </c>
      <c r="L173" s="20">
        <f t="shared" si="32"/>
        <v>252405.24</v>
      </c>
      <c r="M173" s="13">
        <f t="shared" si="34"/>
        <v>3.3766776660822444</v>
      </c>
      <c r="N173" s="34"/>
    </row>
    <row r="174" spans="1:14" x14ac:dyDescent="0.25">
      <c r="A174" s="23" t="s">
        <v>404</v>
      </c>
      <c r="B174" s="24">
        <f>5594+8950</f>
        <v>14544</v>
      </c>
      <c r="C174" s="4" t="s">
        <v>136</v>
      </c>
      <c r="D174" s="24">
        <f>5328.21+8525.16</f>
        <v>13853.369999999999</v>
      </c>
      <c r="E174" s="24">
        <f>6060+6060</f>
        <v>12120</v>
      </c>
      <c r="F174" s="4" t="s">
        <v>212</v>
      </c>
      <c r="G174" s="27">
        <f>12147.14</f>
        <v>12147.14</v>
      </c>
      <c r="H174" s="24"/>
      <c r="I174" s="4"/>
      <c r="J174" s="24"/>
      <c r="K174" s="20">
        <f t="shared" si="31"/>
        <v>26664</v>
      </c>
      <c r="L174" s="20">
        <f t="shared" si="32"/>
        <v>26000.51</v>
      </c>
      <c r="M174" s="13">
        <f t="shared" si="34"/>
        <v>2.4883363336333701</v>
      </c>
      <c r="N174" s="34"/>
    </row>
    <row r="175" spans="1:14" x14ac:dyDescent="0.25">
      <c r="A175" s="23" t="s">
        <v>405</v>
      </c>
      <c r="B175" s="24">
        <f>23133+127857</f>
        <v>150990</v>
      </c>
      <c r="C175" s="4" t="s">
        <v>136</v>
      </c>
      <c r="D175" s="24">
        <f>125322.17+13517.56</f>
        <v>138839.73000000001</v>
      </c>
      <c r="E175" s="24">
        <f>45323+45323</f>
        <v>90646</v>
      </c>
      <c r="F175" s="4" t="s">
        <v>212</v>
      </c>
      <c r="G175" s="27">
        <f>47610.63*2</f>
        <v>95221.26</v>
      </c>
      <c r="H175" s="24"/>
      <c r="I175" s="4"/>
      <c r="J175" s="24"/>
      <c r="K175" s="20">
        <f t="shared" si="31"/>
        <v>241636</v>
      </c>
      <c r="L175" s="20">
        <f t="shared" si="32"/>
        <v>234060.99</v>
      </c>
      <c r="M175" s="13">
        <f t="shared" si="34"/>
        <v>3.1348847026105346</v>
      </c>
      <c r="N175" s="34"/>
    </row>
    <row r="176" spans="1:14" x14ac:dyDescent="0.25">
      <c r="A176" s="23" t="s">
        <v>406</v>
      </c>
      <c r="B176" s="24">
        <v>15707</v>
      </c>
      <c r="C176" s="4" t="s">
        <v>136</v>
      </c>
      <c r="D176" s="24">
        <v>13517.56</v>
      </c>
      <c r="E176" s="24">
        <f>11232+11232</f>
        <v>22464</v>
      </c>
      <c r="F176" s="4" t="s">
        <v>212</v>
      </c>
      <c r="G176" s="27">
        <v>22500.46</v>
      </c>
      <c r="H176" s="24"/>
      <c r="I176" s="4"/>
      <c r="J176" s="24"/>
      <c r="K176" s="20">
        <f t="shared" si="31"/>
        <v>38171</v>
      </c>
      <c r="L176" s="20">
        <f t="shared" si="32"/>
        <v>36018.019999999997</v>
      </c>
      <c r="M176" s="13">
        <f t="shared" si="34"/>
        <v>5.6403552435094895</v>
      </c>
      <c r="N176" s="34"/>
    </row>
    <row r="177" spans="1:14" x14ac:dyDescent="0.25">
      <c r="A177" s="23" t="s">
        <v>407</v>
      </c>
      <c r="B177" s="24">
        <v>2237</v>
      </c>
      <c r="C177" s="4" t="s">
        <v>136</v>
      </c>
      <c r="D177" s="24">
        <v>2053.65</v>
      </c>
      <c r="E177" s="24">
        <f>1921+1921</f>
        <v>3842</v>
      </c>
      <c r="F177" s="4" t="s">
        <v>212</v>
      </c>
      <c r="G177" s="27">
        <f>1920.84*2</f>
        <v>3841.68</v>
      </c>
      <c r="H177" s="24"/>
      <c r="I177" s="4"/>
      <c r="J177" s="24"/>
      <c r="K177" s="20">
        <f t="shared" si="31"/>
        <v>6079</v>
      </c>
      <c r="L177" s="20">
        <f t="shared" si="32"/>
        <v>5895.33</v>
      </c>
      <c r="M177" s="13">
        <f t="shared" si="34"/>
        <v>3.0213850962329332</v>
      </c>
      <c r="N177" s="34"/>
    </row>
    <row r="178" spans="1:14" x14ac:dyDescent="0.25">
      <c r="A178" s="23" t="s">
        <v>408</v>
      </c>
      <c r="B178" s="24">
        <v>7458</v>
      </c>
      <c r="C178" s="4" t="s">
        <v>136</v>
      </c>
      <c r="D178" s="24">
        <f>10100.76/2</f>
        <v>5050.38</v>
      </c>
      <c r="E178" s="24">
        <f>2810+2810</f>
        <v>5620</v>
      </c>
      <c r="F178" s="4" t="s">
        <v>212</v>
      </c>
      <c r="G178" s="27">
        <f>2108.26*2</f>
        <v>4216.5200000000004</v>
      </c>
      <c r="H178" s="24"/>
      <c r="I178" s="4"/>
      <c r="J178" s="24"/>
      <c r="K178" s="20">
        <f t="shared" si="31"/>
        <v>13078</v>
      </c>
      <c r="L178" s="20">
        <f t="shared" si="32"/>
        <v>9266.9000000000015</v>
      </c>
      <c r="M178" s="13">
        <f t="shared" si="34"/>
        <v>29.141306010093274</v>
      </c>
      <c r="N178" s="34"/>
    </row>
    <row r="179" spans="1:14" x14ac:dyDescent="0.25">
      <c r="A179" s="23" t="s">
        <v>409</v>
      </c>
      <c r="B179" s="24">
        <v>7458</v>
      </c>
      <c r="C179" s="4" t="s">
        <v>136</v>
      </c>
      <c r="D179" s="24">
        <f>10100.76/2</f>
        <v>5050.38</v>
      </c>
      <c r="E179" s="24">
        <f>2810+2810</f>
        <v>5620</v>
      </c>
      <c r="F179" s="4" t="s">
        <v>212</v>
      </c>
      <c r="G179" s="27">
        <f>2108.26*2</f>
        <v>4216.5200000000004</v>
      </c>
      <c r="H179" s="24"/>
      <c r="I179" s="4"/>
      <c r="J179" s="24"/>
      <c r="K179" s="20">
        <f t="shared" si="31"/>
        <v>13078</v>
      </c>
      <c r="L179" s="20">
        <f t="shared" si="32"/>
        <v>9266.9000000000015</v>
      </c>
      <c r="M179" s="13">
        <f t="shared" si="34"/>
        <v>29.141306010093274</v>
      </c>
      <c r="N179" s="34"/>
    </row>
    <row r="180" spans="1:14" x14ac:dyDescent="0.25">
      <c r="A180" s="23" t="s">
        <v>410</v>
      </c>
      <c r="B180" s="24">
        <f>68752</f>
        <v>68752</v>
      </c>
      <c r="C180" s="4" t="s">
        <v>136</v>
      </c>
      <c r="D180" s="24">
        <v>57203.25</v>
      </c>
      <c r="E180" s="24">
        <f>17012+21322</f>
        <v>38334</v>
      </c>
      <c r="F180" s="4" t="s">
        <v>212</v>
      </c>
      <c r="G180" s="27">
        <f>16965.19+20975.11</f>
        <v>37940.300000000003</v>
      </c>
      <c r="H180" s="24"/>
      <c r="I180" s="4"/>
      <c r="J180" s="24"/>
      <c r="K180" s="20">
        <f t="shared" si="31"/>
        <v>107086</v>
      </c>
      <c r="L180" s="20">
        <f t="shared" si="32"/>
        <v>95143.55</v>
      </c>
      <c r="M180" s="13">
        <f t="shared" si="34"/>
        <v>11.152204769997951</v>
      </c>
      <c r="N180" s="34"/>
    </row>
    <row r="181" spans="1:14" x14ac:dyDescent="0.25">
      <c r="A181" s="23"/>
      <c r="B181" s="24"/>
      <c r="C181" s="4"/>
      <c r="D181" s="24"/>
      <c r="E181" s="24"/>
      <c r="F181" s="4"/>
      <c r="G181" s="27"/>
      <c r="H181" s="24"/>
      <c r="I181" s="4"/>
      <c r="J181" s="24"/>
      <c r="K181" s="20"/>
      <c r="L181" s="20"/>
      <c r="M181" s="13"/>
      <c r="N181" s="34"/>
    </row>
    <row r="182" spans="1:14" x14ac:dyDescent="0.25">
      <c r="A182" s="23"/>
      <c r="B182" s="26"/>
      <c r="C182" s="4"/>
      <c r="D182" s="24"/>
      <c r="E182" s="24"/>
      <c r="F182" s="4"/>
      <c r="G182" s="27"/>
      <c r="H182" s="24"/>
      <c r="I182" s="4"/>
      <c r="J182" s="24"/>
      <c r="K182" s="20">
        <f t="shared" ref="K182:K183" si="35">B182+E182+H182</f>
        <v>0</v>
      </c>
      <c r="L182" s="20">
        <f t="shared" ref="L182:L183" si="36">D182+G182+J182</f>
        <v>0</v>
      </c>
      <c r="M182" s="14" t="e">
        <f t="shared" ref="M182:M183" si="37">100-L182*100/K182</f>
        <v>#DIV/0!</v>
      </c>
      <c r="N182" s="4"/>
    </row>
    <row r="183" spans="1:14" x14ac:dyDescent="0.25">
      <c r="A183" s="23"/>
      <c r="B183" s="26"/>
      <c r="C183" s="4"/>
      <c r="D183" s="24"/>
      <c r="E183" s="24"/>
      <c r="F183" s="4"/>
      <c r="G183" s="27"/>
      <c r="H183" s="24"/>
      <c r="I183" s="4"/>
      <c r="J183" s="24"/>
      <c r="K183" s="20">
        <f t="shared" si="35"/>
        <v>0</v>
      </c>
      <c r="L183" s="20">
        <f t="shared" si="36"/>
        <v>0</v>
      </c>
      <c r="M183" s="13" t="e">
        <f t="shared" si="37"/>
        <v>#DIV/0!</v>
      </c>
      <c r="N183" s="4"/>
    </row>
    <row r="184" spans="1:14" x14ac:dyDescent="0.25">
      <c r="A184" s="23"/>
      <c r="B184" s="26"/>
      <c r="C184" s="4"/>
      <c r="D184" s="24"/>
      <c r="E184" s="24"/>
      <c r="F184" s="4"/>
      <c r="G184" s="27"/>
      <c r="H184" s="24"/>
      <c r="I184" s="4"/>
      <c r="J184" s="24"/>
      <c r="K184" s="20"/>
      <c r="L184" s="20"/>
      <c r="M184" s="13"/>
      <c r="N184" s="34"/>
    </row>
    <row r="185" spans="1:14" x14ac:dyDescent="0.25">
      <c r="K185" s="52">
        <f>SUM(K166:K184)</f>
        <v>754441</v>
      </c>
      <c r="L185" s="52">
        <f>SUM(L166:L184)</f>
        <v>713336.4</v>
      </c>
      <c r="M185" s="52"/>
    </row>
    <row r="187" spans="1:14" x14ac:dyDescent="0.25">
      <c r="J187" t="s">
        <v>277</v>
      </c>
      <c r="K187" s="52">
        <f>K185-L185</f>
        <v>41104.599999999977</v>
      </c>
    </row>
  </sheetData>
  <phoneticPr fontId="9" type="noConversion"/>
  <pageMargins left="0.7" right="0.7" top="0.75" bottom="0.75" header="0.3" footer="0.3"/>
  <pageSetup scale="79" fitToHeight="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4665-09CA-474E-84A3-C4073E9F9AAD}">
  <sheetPr>
    <pageSetUpPr fitToPage="1"/>
  </sheetPr>
  <dimension ref="A1:Q170"/>
  <sheetViews>
    <sheetView topLeftCell="A125" workbookViewId="0">
      <selection activeCell="N93" sqref="N93:N94"/>
    </sheetView>
  </sheetViews>
  <sheetFormatPr defaultRowHeight="15" x14ac:dyDescent="0.25"/>
  <cols>
    <col min="1" max="1" width="4" bestFit="1" customWidth="1"/>
    <col min="2" max="2" width="6" bestFit="1" customWidth="1"/>
    <col min="3" max="3" width="17.7109375" customWidth="1"/>
    <col min="4" max="5" width="6" bestFit="1" customWidth="1"/>
    <col min="6" max="6" width="17.85546875" customWidth="1"/>
    <col min="7" max="7" width="6" bestFit="1" customWidth="1"/>
    <col min="8" max="8" width="6.85546875" bestFit="1" customWidth="1"/>
    <col min="9" max="9" width="19" bestFit="1" customWidth="1"/>
    <col min="10" max="10" width="7" customWidth="1"/>
    <col min="12" max="12" width="9.140625" customWidth="1"/>
    <col min="13" max="13" width="8.28515625" bestFit="1" customWidth="1"/>
    <col min="14" max="14" width="32.140625" customWidth="1"/>
    <col min="17" max="17" width="7.28515625" bestFit="1" customWidth="1"/>
  </cols>
  <sheetData>
    <row r="1" spans="1:17" ht="30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252</v>
      </c>
      <c r="I1" s="7" t="s">
        <v>9</v>
      </c>
      <c r="J1" s="3" t="s">
        <v>253</v>
      </c>
      <c r="K1" s="5" t="s">
        <v>10</v>
      </c>
      <c r="L1" s="5" t="s">
        <v>11</v>
      </c>
      <c r="M1" s="12" t="s">
        <v>61</v>
      </c>
      <c r="N1" s="7" t="s">
        <v>1</v>
      </c>
      <c r="O1" s="3" t="s">
        <v>252</v>
      </c>
      <c r="P1" s="61" t="s">
        <v>9</v>
      </c>
      <c r="Q1" s="62" t="s">
        <v>422</v>
      </c>
    </row>
    <row r="2" spans="1:17" x14ac:dyDescent="0.25">
      <c r="A2" s="23" t="s">
        <v>19</v>
      </c>
      <c r="B2" s="26">
        <f>15845+4225+5206</f>
        <v>25276</v>
      </c>
      <c r="C2" s="4" t="s">
        <v>136</v>
      </c>
      <c r="D2" s="24">
        <v>24604.34</v>
      </c>
      <c r="E2" s="24">
        <f>11900+17807</f>
        <v>29707</v>
      </c>
      <c r="F2" s="4" t="s">
        <v>212</v>
      </c>
      <c r="G2" s="27">
        <v>29352.79</v>
      </c>
      <c r="H2" s="24">
        <v>6120</v>
      </c>
      <c r="I2" s="4" t="s">
        <v>236</v>
      </c>
      <c r="J2" s="24">
        <v>5710</v>
      </c>
      <c r="K2" s="20">
        <f>B2+E2+H2</f>
        <v>61103</v>
      </c>
      <c r="L2" s="20">
        <f>D2+G2+J2</f>
        <v>59667.130000000005</v>
      </c>
      <c r="M2" s="13">
        <f t="shared" ref="M2:M19" si="0">100-L2*100/K2</f>
        <v>2.3499173526668073</v>
      </c>
      <c r="N2" s="4"/>
      <c r="Q2" s="34" t="s">
        <v>423</v>
      </c>
    </row>
    <row r="3" spans="1:17" x14ac:dyDescent="0.25">
      <c r="A3" s="23" t="s">
        <v>20</v>
      </c>
      <c r="B3" s="26">
        <f>10047+155</f>
        <v>10202</v>
      </c>
      <c r="C3" s="4" t="s">
        <v>136</v>
      </c>
      <c r="D3" s="24">
        <v>9732.17</v>
      </c>
      <c r="E3" s="24">
        <f>6623+7321</f>
        <v>13944</v>
      </c>
      <c r="F3" s="4" t="s">
        <v>212</v>
      </c>
      <c r="G3" s="27">
        <v>14432.27</v>
      </c>
      <c r="H3" s="24"/>
      <c r="I3" s="4"/>
      <c r="J3" s="24"/>
      <c r="K3" s="20">
        <f t="shared" ref="K3:K61" si="1">B3+E3+H3</f>
        <v>24146</v>
      </c>
      <c r="L3" s="20">
        <f t="shared" ref="L3:L64" si="2">D3+G3+J3</f>
        <v>24164.440000000002</v>
      </c>
      <c r="M3" s="14">
        <f t="shared" si="0"/>
        <v>-7.6368756729891629E-2</v>
      </c>
      <c r="N3" s="4"/>
      <c r="Q3" s="34" t="s">
        <v>423</v>
      </c>
    </row>
    <row r="4" spans="1:17" x14ac:dyDescent="0.25">
      <c r="A4" s="23" t="s">
        <v>21</v>
      </c>
      <c r="B4" s="26">
        <f>1258+9873+2633+5248</f>
        <v>19012</v>
      </c>
      <c r="C4" s="4" t="s">
        <v>238</v>
      </c>
      <c r="D4" s="24">
        <v>18353.77</v>
      </c>
      <c r="E4" s="26"/>
      <c r="F4" s="4"/>
      <c r="G4" s="27"/>
      <c r="H4" s="24"/>
      <c r="I4" s="4"/>
      <c r="J4" s="24"/>
      <c r="K4" s="20">
        <f t="shared" si="1"/>
        <v>19012</v>
      </c>
      <c r="L4" s="20">
        <f t="shared" si="2"/>
        <v>18353.77</v>
      </c>
      <c r="M4" s="14">
        <f t="shared" si="0"/>
        <v>3.4621817799284713</v>
      </c>
      <c r="N4" s="4"/>
      <c r="Q4" s="34" t="s">
        <v>423</v>
      </c>
    </row>
    <row r="5" spans="1:17" x14ac:dyDescent="0.25">
      <c r="A5" s="23" t="s">
        <v>22</v>
      </c>
      <c r="B5" s="26">
        <f>55935</f>
        <v>55935</v>
      </c>
      <c r="C5" s="4" t="s">
        <v>136</v>
      </c>
      <c r="D5" s="24">
        <v>49594.96</v>
      </c>
      <c r="E5" s="24">
        <f>17100+17100+6650</f>
        <v>40850</v>
      </c>
      <c r="F5" s="4" t="s">
        <v>212</v>
      </c>
      <c r="G5" s="27">
        <v>32888.1</v>
      </c>
      <c r="H5" s="24"/>
      <c r="I5" s="4"/>
      <c r="J5" s="24"/>
      <c r="K5" s="20">
        <f t="shared" si="1"/>
        <v>96785</v>
      </c>
      <c r="L5" s="20">
        <f t="shared" si="2"/>
        <v>82483.06</v>
      </c>
      <c r="M5" s="13">
        <f t="shared" si="0"/>
        <v>14.777021232629025</v>
      </c>
      <c r="N5" s="4"/>
      <c r="Q5" s="34" t="s">
        <v>423</v>
      </c>
    </row>
    <row r="6" spans="1:17" x14ac:dyDescent="0.25">
      <c r="A6" s="23" t="s">
        <v>23</v>
      </c>
      <c r="B6" s="26">
        <f>1793+6886+1793+1793</f>
        <v>12265</v>
      </c>
      <c r="C6" s="4" t="s">
        <v>238</v>
      </c>
      <c r="D6" s="24">
        <v>12229.76</v>
      </c>
      <c r="E6" s="24"/>
      <c r="F6" s="4"/>
      <c r="G6" s="27"/>
      <c r="H6" s="24"/>
      <c r="I6" s="4"/>
      <c r="J6" s="24"/>
      <c r="K6" s="20">
        <f t="shared" si="1"/>
        <v>12265</v>
      </c>
      <c r="L6" s="20">
        <f t="shared" si="2"/>
        <v>12229.76</v>
      </c>
      <c r="M6" s="14">
        <f t="shared" si="0"/>
        <v>0.28732164696290852</v>
      </c>
      <c r="N6" s="4"/>
      <c r="Q6" s="63" t="s">
        <v>423</v>
      </c>
    </row>
    <row r="7" spans="1:17" x14ac:dyDescent="0.25">
      <c r="A7" s="23" t="s">
        <v>24</v>
      </c>
      <c r="B7" s="26">
        <f>9721+3888</f>
        <v>13609</v>
      </c>
      <c r="C7" s="4" t="s">
        <v>136</v>
      </c>
      <c r="D7" s="24">
        <f>48704/4</f>
        <v>12176</v>
      </c>
      <c r="E7" s="24">
        <f>9300+11200</f>
        <v>20500</v>
      </c>
      <c r="F7" s="4" t="s">
        <v>212</v>
      </c>
      <c r="G7" s="27">
        <f>87092.8/4</f>
        <v>21773.200000000001</v>
      </c>
      <c r="H7" s="24"/>
      <c r="I7" s="4"/>
      <c r="J7" s="24"/>
      <c r="K7" s="20">
        <f t="shared" si="1"/>
        <v>34109</v>
      </c>
      <c r="L7" s="20">
        <f t="shared" si="2"/>
        <v>33949.199999999997</v>
      </c>
      <c r="M7" s="13">
        <f t="shared" si="0"/>
        <v>0.46849805036795544</v>
      </c>
      <c r="N7" s="4"/>
      <c r="Q7" s="34" t="s">
        <v>423</v>
      </c>
    </row>
    <row r="8" spans="1:17" x14ac:dyDescent="0.25">
      <c r="A8" s="23" t="s">
        <v>25</v>
      </c>
      <c r="B8" s="26">
        <f t="shared" ref="B8:B10" si="3">9721+3888</f>
        <v>13609</v>
      </c>
      <c r="C8" s="4" t="s">
        <v>136</v>
      </c>
      <c r="D8" s="24">
        <f t="shared" ref="D8:D10" si="4">48704/4</f>
        <v>12176</v>
      </c>
      <c r="E8" s="24">
        <f>9300+11200</f>
        <v>20500</v>
      </c>
      <c r="F8" s="4" t="s">
        <v>212</v>
      </c>
      <c r="G8" s="27">
        <f>87092.8/4</f>
        <v>21773.200000000001</v>
      </c>
      <c r="H8" s="24"/>
      <c r="I8" s="4"/>
      <c r="J8" s="24"/>
      <c r="K8" s="20">
        <f t="shared" si="1"/>
        <v>34109</v>
      </c>
      <c r="L8" s="20">
        <f t="shared" si="2"/>
        <v>33949.199999999997</v>
      </c>
      <c r="M8" s="13">
        <f t="shared" si="0"/>
        <v>0.46849805036795544</v>
      </c>
      <c r="N8" s="4"/>
      <c r="Q8" s="34" t="s">
        <v>423</v>
      </c>
    </row>
    <row r="9" spans="1:17" x14ac:dyDescent="0.25">
      <c r="A9" s="23" t="s">
        <v>26</v>
      </c>
      <c r="B9" s="26">
        <f t="shared" si="3"/>
        <v>13609</v>
      </c>
      <c r="C9" s="4" t="s">
        <v>136</v>
      </c>
      <c r="D9" s="24">
        <f t="shared" si="4"/>
        <v>12176</v>
      </c>
      <c r="E9" s="24">
        <f>9300+11200</f>
        <v>20500</v>
      </c>
      <c r="F9" s="4" t="s">
        <v>212</v>
      </c>
      <c r="G9" s="27">
        <f>87092.8/4</f>
        <v>21773.200000000001</v>
      </c>
      <c r="H9" s="24"/>
      <c r="I9" s="4"/>
      <c r="J9" s="24"/>
      <c r="K9" s="20">
        <f t="shared" si="1"/>
        <v>34109</v>
      </c>
      <c r="L9" s="20">
        <f t="shared" si="2"/>
        <v>33949.199999999997</v>
      </c>
      <c r="M9" s="13">
        <f t="shared" si="0"/>
        <v>0.46849805036795544</v>
      </c>
      <c r="N9" s="4"/>
      <c r="Q9" s="34" t="s">
        <v>423</v>
      </c>
    </row>
    <row r="10" spans="1:17" x14ac:dyDescent="0.25">
      <c r="A10" s="23" t="s">
        <v>27</v>
      </c>
      <c r="B10" s="26">
        <f t="shared" si="3"/>
        <v>13609</v>
      </c>
      <c r="C10" s="4" t="s">
        <v>136</v>
      </c>
      <c r="D10" s="24">
        <f t="shared" si="4"/>
        <v>12176</v>
      </c>
      <c r="E10" s="24">
        <f>9300+11200</f>
        <v>20500</v>
      </c>
      <c r="F10" s="4" t="s">
        <v>212</v>
      </c>
      <c r="G10" s="27">
        <f>87092.8/4</f>
        <v>21773.200000000001</v>
      </c>
      <c r="H10" s="24"/>
      <c r="I10" s="4"/>
      <c r="J10" s="24"/>
      <c r="K10" s="20">
        <f t="shared" si="1"/>
        <v>34109</v>
      </c>
      <c r="L10" s="20">
        <f t="shared" si="2"/>
        <v>33949.199999999997</v>
      </c>
      <c r="M10" s="13">
        <f t="shared" si="0"/>
        <v>0.46849805036795544</v>
      </c>
      <c r="N10" s="4"/>
      <c r="Q10" s="34" t="s">
        <v>423</v>
      </c>
    </row>
    <row r="11" spans="1:17" x14ac:dyDescent="0.25">
      <c r="A11" s="23" t="s">
        <v>28</v>
      </c>
      <c r="B11" s="26">
        <f>4665+4152+20759+3586</f>
        <v>33162</v>
      </c>
      <c r="C11" s="4" t="s">
        <v>136</v>
      </c>
      <c r="D11" s="24">
        <f>(4553.69+15048.93+8105.56+3500.64)+64.0733</f>
        <v>31272.8933</v>
      </c>
      <c r="E11" s="24"/>
      <c r="F11" s="4"/>
      <c r="G11" s="27"/>
      <c r="H11" s="24"/>
      <c r="I11" s="4"/>
      <c r="J11" s="24"/>
      <c r="K11" s="20">
        <f t="shared" si="1"/>
        <v>33162</v>
      </c>
      <c r="L11" s="20">
        <f t="shared" si="2"/>
        <v>31272.8933</v>
      </c>
      <c r="M11" s="13">
        <f t="shared" si="0"/>
        <v>5.6966006272239298</v>
      </c>
      <c r="N11" s="4"/>
      <c r="Q11" s="34" t="s">
        <v>423</v>
      </c>
    </row>
    <row r="12" spans="1:17" x14ac:dyDescent="0.25">
      <c r="A12" s="31" t="s">
        <v>29</v>
      </c>
      <c r="B12" s="26">
        <f>2152+9459+4101+2152</f>
        <v>17864</v>
      </c>
      <c r="C12" s="4" t="s">
        <v>136</v>
      </c>
      <c r="D12" s="24">
        <f>((4200.77+7741.27+17853.26+4200.77)/2)+64.0733</f>
        <v>17062.1083</v>
      </c>
      <c r="E12" s="24"/>
      <c r="F12" s="4"/>
      <c r="G12" s="27"/>
      <c r="H12" s="24"/>
      <c r="I12" s="4"/>
      <c r="J12" s="24"/>
      <c r="K12" s="20">
        <f t="shared" si="1"/>
        <v>17864</v>
      </c>
      <c r="L12" s="20">
        <f t="shared" si="2"/>
        <v>17062.1083</v>
      </c>
      <c r="M12" s="13">
        <f t="shared" si="0"/>
        <v>4.4888697939991005</v>
      </c>
      <c r="N12" s="4"/>
      <c r="Q12" s="34" t="s">
        <v>423</v>
      </c>
    </row>
    <row r="13" spans="1:17" x14ac:dyDescent="0.25">
      <c r="A13" s="23" t="s">
        <v>30</v>
      </c>
      <c r="B13" s="26">
        <f>2152+9459+4101+2152</f>
        <v>17864</v>
      </c>
      <c r="C13" s="4" t="s">
        <v>136</v>
      </c>
      <c r="D13" s="24">
        <f>((4200.77+7741.27+17853.26+4200.77)/2)+64.0733</f>
        <v>17062.1083</v>
      </c>
      <c r="E13" s="24"/>
      <c r="F13" s="4"/>
      <c r="G13" s="27"/>
      <c r="H13" s="26"/>
      <c r="I13" s="4"/>
      <c r="J13" s="24"/>
      <c r="K13" s="20">
        <f>B13+E13+H13</f>
        <v>17864</v>
      </c>
      <c r="L13" s="20">
        <f>D13+G13+J13</f>
        <v>17062.1083</v>
      </c>
      <c r="M13" s="14">
        <f t="shared" si="0"/>
        <v>4.4888697939991005</v>
      </c>
      <c r="N13" s="4"/>
      <c r="Q13" s="34" t="s">
        <v>423</v>
      </c>
    </row>
    <row r="14" spans="1:17" x14ac:dyDescent="0.25">
      <c r="A14" s="23" t="s">
        <v>35</v>
      </c>
      <c r="B14" s="47"/>
      <c r="C14" s="4"/>
      <c r="D14" s="24"/>
      <c r="E14" s="24"/>
      <c r="F14" s="4"/>
      <c r="G14" s="27"/>
      <c r="H14" s="24"/>
      <c r="I14" s="4"/>
      <c r="J14" s="24"/>
      <c r="K14" s="20">
        <f t="shared" si="1"/>
        <v>0</v>
      </c>
      <c r="L14" s="20">
        <f t="shared" si="2"/>
        <v>0</v>
      </c>
      <c r="M14" s="13" t="e">
        <f t="shared" si="0"/>
        <v>#DIV/0!</v>
      </c>
      <c r="N14" s="4"/>
      <c r="Q14" s="34" t="s">
        <v>423</v>
      </c>
    </row>
    <row r="15" spans="1:17" x14ac:dyDescent="0.25">
      <c r="A15" s="23" t="s">
        <v>36</v>
      </c>
      <c r="B15" s="47"/>
      <c r="C15" s="4"/>
      <c r="D15" s="24"/>
      <c r="E15" s="24"/>
      <c r="F15" s="4"/>
      <c r="G15" s="27"/>
      <c r="H15" s="24"/>
      <c r="I15" s="4"/>
      <c r="J15" s="24"/>
      <c r="K15" s="20">
        <f t="shared" si="1"/>
        <v>0</v>
      </c>
      <c r="L15" s="20">
        <f t="shared" si="2"/>
        <v>0</v>
      </c>
      <c r="M15" s="13" t="e">
        <f t="shared" si="0"/>
        <v>#DIV/0!</v>
      </c>
      <c r="N15" s="4"/>
      <c r="Q15" s="34" t="s">
        <v>423</v>
      </c>
    </row>
    <row r="16" spans="1:17" x14ac:dyDescent="0.25">
      <c r="A16" s="23" t="s">
        <v>37</v>
      </c>
      <c r="B16" s="26">
        <f>1076+1435+10759+1076+1435</f>
        <v>15781</v>
      </c>
      <c r="C16" s="4" t="s">
        <v>238</v>
      </c>
      <c r="D16" s="24">
        <v>14865.6</v>
      </c>
      <c r="E16" s="24"/>
      <c r="F16" s="4"/>
      <c r="G16" s="27"/>
      <c r="H16" s="24"/>
      <c r="I16" s="4"/>
      <c r="J16" s="24"/>
      <c r="K16" s="20">
        <f t="shared" si="1"/>
        <v>15781</v>
      </c>
      <c r="L16" s="20">
        <f t="shared" si="2"/>
        <v>14865.6</v>
      </c>
      <c r="M16" s="14">
        <f t="shared" si="0"/>
        <v>5.8006463468728242</v>
      </c>
      <c r="N16" s="4"/>
      <c r="Q16" s="34" t="s">
        <v>423</v>
      </c>
    </row>
    <row r="17" spans="1:17" x14ac:dyDescent="0.25">
      <c r="A17" s="23" t="s">
        <v>38</v>
      </c>
      <c r="B17" s="26">
        <f>15231+18277+6897</f>
        <v>40405</v>
      </c>
      <c r="C17" s="4" t="s">
        <v>136</v>
      </c>
      <c r="D17" s="24">
        <v>43892.85</v>
      </c>
      <c r="E17" s="24">
        <f>23500</f>
        <v>23500</v>
      </c>
      <c r="F17" s="4" t="s">
        <v>212</v>
      </c>
      <c r="G17" s="27">
        <f>20405+6650</f>
        <v>27055</v>
      </c>
      <c r="H17" s="24"/>
      <c r="I17" s="4"/>
      <c r="J17" s="24"/>
      <c r="K17" s="20">
        <f t="shared" si="1"/>
        <v>63905</v>
      </c>
      <c r="L17" s="20">
        <f t="shared" si="2"/>
        <v>70947.850000000006</v>
      </c>
      <c r="M17" s="13">
        <f t="shared" si="0"/>
        <v>-11.020812143024813</v>
      </c>
      <c r="N17" s="4"/>
      <c r="Q17" s="63"/>
    </row>
    <row r="18" spans="1:17" x14ac:dyDescent="0.25">
      <c r="A18" s="23" t="s">
        <v>39</v>
      </c>
      <c r="B18" s="26">
        <f>2428+1943</f>
        <v>4371</v>
      </c>
      <c r="C18" s="4" t="s">
        <v>136</v>
      </c>
      <c r="D18" s="24">
        <v>5221.12</v>
      </c>
      <c r="E18" s="24">
        <f>5249+5249</f>
        <v>10498</v>
      </c>
      <c r="F18" s="4" t="s">
        <v>212</v>
      </c>
      <c r="G18" s="27">
        <f>10228+5322</f>
        <v>15550</v>
      </c>
      <c r="H18" s="24"/>
      <c r="I18" s="4"/>
      <c r="J18" s="24"/>
      <c r="K18" s="20">
        <f t="shared" si="1"/>
        <v>14869</v>
      </c>
      <c r="L18" s="20">
        <f t="shared" si="2"/>
        <v>20771.12</v>
      </c>
      <c r="M18" s="14">
        <f t="shared" si="0"/>
        <v>-39.694128724191273</v>
      </c>
      <c r="N18" s="4"/>
      <c r="P18" s="56"/>
      <c r="Q18" s="34" t="s">
        <v>423</v>
      </c>
    </row>
    <row r="19" spans="1:17" x14ac:dyDescent="0.25">
      <c r="A19" s="23" t="s">
        <v>40</v>
      </c>
      <c r="B19" s="26">
        <f>11737+4651</f>
        <v>16388</v>
      </c>
      <c r="C19" s="4" t="s">
        <v>136</v>
      </c>
      <c r="D19" s="24">
        <f>34642.4/2</f>
        <v>17321.2</v>
      </c>
      <c r="E19" s="24">
        <v>21543</v>
      </c>
      <c r="F19" s="4" t="s">
        <v>212</v>
      </c>
      <c r="G19" s="27">
        <f>11607.91*2</f>
        <v>23215.82</v>
      </c>
      <c r="H19" s="24"/>
      <c r="I19" s="4"/>
      <c r="J19" s="27"/>
      <c r="K19" s="20">
        <f t="shared" si="1"/>
        <v>37931</v>
      </c>
      <c r="L19" s="20">
        <f t="shared" si="2"/>
        <v>40537.020000000004</v>
      </c>
      <c r="M19" s="13">
        <f t="shared" si="0"/>
        <v>-6.8704226094751135</v>
      </c>
      <c r="N19" s="4"/>
      <c r="P19" s="56"/>
      <c r="Q19" s="34" t="s">
        <v>423</v>
      </c>
    </row>
    <row r="20" spans="1:17" x14ac:dyDescent="0.25">
      <c r="A20" s="23" t="s">
        <v>60</v>
      </c>
      <c r="B20" s="26">
        <f>11737+4651</f>
        <v>16388</v>
      </c>
      <c r="C20" s="4" t="s">
        <v>136</v>
      </c>
      <c r="D20" s="24">
        <f>34642.4/2</f>
        <v>17321.2</v>
      </c>
      <c r="E20" s="24">
        <v>21543</v>
      </c>
      <c r="F20" s="4" t="s">
        <v>212</v>
      </c>
      <c r="G20" s="27">
        <f>11607.91*2</f>
        <v>23215.82</v>
      </c>
      <c r="H20" s="24"/>
      <c r="I20" s="4"/>
      <c r="J20" s="27"/>
      <c r="K20" s="20">
        <f t="shared" si="1"/>
        <v>37931</v>
      </c>
      <c r="L20" s="20">
        <f t="shared" si="2"/>
        <v>40537.020000000004</v>
      </c>
      <c r="M20" s="13">
        <f>100-L20*100/K20</f>
        <v>-6.8704226094751135</v>
      </c>
      <c r="N20" s="4"/>
      <c r="P20" s="56"/>
      <c r="Q20" s="34" t="s">
        <v>423</v>
      </c>
    </row>
    <row r="21" spans="1:17" x14ac:dyDescent="0.25">
      <c r="A21" s="23" t="s">
        <v>41</v>
      </c>
      <c r="B21" s="26">
        <f>14174</f>
        <v>14174</v>
      </c>
      <c r="C21" s="4" t="s">
        <v>136</v>
      </c>
      <c r="D21" s="24">
        <v>16893.8</v>
      </c>
      <c r="E21" s="24">
        <f>12322+12322</f>
        <v>24644</v>
      </c>
      <c r="F21" s="4" t="s">
        <v>212</v>
      </c>
      <c r="G21" s="27">
        <v>24676.62</v>
      </c>
      <c r="H21" s="24"/>
      <c r="I21" s="4"/>
      <c r="J21" s="24"/>
      <c r="K21" s="20">
        <f t="shared" si="1"/>
        <v>38818</v>
      </c>
      <c r="L21" s="20">
        <f t="shared" si="2"/>
        <v>41570.42</v>
      </c>
      <c r="M21" s="13">
        <f t="shared" ref="M21:M65" si="5">100-L21*100/K21</f>
        <v>-7.0905765366582472</v>
      </c>
      <c r="N21" s="4"/>
      <c r="P21" s="56"/>
      <c r="Q21" s="34" t="s">
        <v>423</v>
      </c>
    </row>
    <row r="22" spans="1:17" x14ac:dyDescent="0.25">
      <c r="A22" s="23" t="s">
        <v>42</v>
      </c>
      <c r="B22" s="26">
        <f>3363+1312+1312+1009+1094</f>
        <v>8090</v>
      </c>
      <c r="C22" s="4" t="s">
        <v>238</v>
      </c>
      <c r="D22" s="24">
        <f>1377+344+344+1334.09</f>
        <v>3399.09</v>
      </c>
      <c r="E22" s="26"/>
      <c r="F22" s="4"/>
      <c r="G22" s="27"/>
      <c r="H22" s="24"/>
      <c r="I22" s="4"/>
      <c r="J22" s="24"/>
      <c r="K22" s="20">
        <f t="shared" si="1"/>
        <v>8090</v>
      </c>
      <c r="L22" s="20">
        <f t="shared" si="2"/>
        <v>3399.09</v>
      </c>
      <c r="M22" s="13">
        <f t="shared" si="5"/>
        <v>57.984054388133501</v>
      </c>
      <c r="N22" s="4"/>
      <c r="P22" s="54"/>
      <c r="Q22" s="34" t="s">
        <v>423</v>
      </c>
    </row>
    <row r="23" spans="1:17" x14ac:dyDescent="0.25">
      <c r="A23" s="23" t="s">
        <v>43</v>
      </c>
      <c r="B23" s="26">
        <f>2356+3770+1750+875+1345</f>
        <v>10096</v>
      </c>
      <c r="C23" s="4" t="s">
        <v>238</v>
      </c>
      <c r="D23" s="24">
        <f>2358.68+1886.95+1886.95+1574.95+688+345</f>
        <v>8740.5299999999988</v>
      </c>
      <c r="E23" s="24"/>
      <c r="F23" s="4"/>
      <c r="G23" s="27"/>
      <c r="H23" s="24"/>
      <c r="I23" s="4"/>
      <c r="J23" s="24"/>
      <c r="K23" s="20">
        <f t="shared" si="1"/>
        <v>10096</v>
      </c>
      <c r="L23" s="20">
        <f t="shared" si="2"/>
        <v>8740.5299999999988</v>
      </c>
      <c r="M23" s="13">
        <f t="shared" si="5"/>
        <v>13.425812202852626</v>
      </c>
      <c r="N23" s="4"/>
      <c r="P23" s="56"/>
      <c r="Q23" s="34" t="s">
        <v>423</v>
      </c>
    </row>
    <row r="24" spans="1:17" x14ac:dyDescent="0.25">
      <c r="A24" s="23" t="s">
        <v>44</v>
      </c>
      <c r="B24" s="26">
        <f>2356+3770+1750+875+1345</f>
        <v>10096</v>
      </c>
      <c r="C24" s="4" t="s">
        <v>238</v>
      </c>
      <c r="D24" s="24">
        <f>2358.68+1886.95+1886.95+1574.95+688+345</f>
        <v>8740.5299999999988</v>
      </c>
      <c r="E24" s="24"/>
      <c r="F24" s="4"/>
      <c r="G24" s="27"/>
      <c r="H24" s="24"/>
      <c r="I24" s="4"/>
      <c r="J24" s="24"/>
      <c r="K24" s="20">
        <f t="shared" si="1"/>
        <v>10096</v>
      </c>
      <c r="L24" s="20">
        <f t="shared" si="2"/>
        <v>8740.5299999999988</v>
      </c>
      <c r="M24" s="13">
        <f t="shared" si="5"/>
        <v>13.425812202852626</v>
      </c>
      <c r="N24" s="4"/>
      <c r="P24" s="56"/>
      <c r="Q24" s="34" t="s">
        <v>423</v>
      </c>
    </row>
    <row r="25" spans="1:17" x14ac:dyDescent="0.25">
      <c r="A25" s="23" t="s">
        <v>45</v>
      </c>
      <c r="B25" s="26">
        <f>3363+1094+1094+839+1094</f>
        <v>7484</v>
      </c>
      <c r="C25" s="4" t="s">
        <v>238</v>
      </c>
      <c r="D25" s="24">
        <f>1377+1111.74</f>
        <v>2488.7399999999998</v>
      </c>
      <c r="E25" s="24"/>
      <c r="F25" s="4"/>
      <c r="G25" s="27"/>
      <c r="H25" s="24"/>
      <c r="I25" s="4"/>
      <c r="J25" s="24"/>
      <c r="K25" s="20">
        <f t="shared" si="1"/>
        <v>7484</v>
      </c>
      <c r="L25" s="20">
        <f t="shared" si="2"/>
        <v>2488.7399999999998</v>
      </c>
      <c r="M25" s="13">
        <f t="shared" si="5"/>
        <v>66.745857830037409</v>
      </c>
      <c r="N25" s="4"/>
      <c r="P25" s="56"/>
      <c r="Q25" s="34" t="s">
        <v>423</v>
      </c>
    </row>
    <row r="26" spans="1:17" x14ac:dyDescent="0.25">
      <c r="A26" s="23" t="s">
        <v>46</v>
      </c>
      <c r="B26" s="26">
        <f>3363+1094+1094+839+1094</f>
        <v>7484</v>
      </c>
      <c r="C26" s="4" t="s">
        <v>238</v>
      </c>
      <c r="D26" s="24">
        <f>1377+1111.74</f>
        <v>2488.7399999999998</v>
      </c>
      <c r="E26" s="24"/>
      <c r="F26" s="4"/>
      <c r="G26" s="27"/>
      <c r="H26" s="24"/>
      <c r="I26" s="4"/>
      <c r="J26" s="24"/>
      <c r="K26" s="20">
        <f t="shared" si="1"/>
        <v>7484</v>
      </c>
      <c r="L26" s="20">
        <f t="shared" si="2"/>
        <v>2488.7399999999998</v>
      </c>
      <c r="M26" s="13">
        <f t="shared" si="5"/>
        <v>66.745857830037409</v>
      </c>
      <c r="N26" s="4"/>
      <c r="P26" s="56"/>
      <c r="Q26" s="34" t="s">
        <v>423</v>
      </c>
    </row>
    <row r="27" spans="1:17" x14ac:dyDescent="0.25">
      <c r="A27" s="23" t="s">
        <v>47</v>
      </c>
      <c r="B27" s="26">
        <f>5407+171</f>
        <v>5578</v>
      </c>
      <c r="C27" s="4" t="s">
        <v>136</v>
      </c>
      <c r="D27" s="24">
        <v>4073.37</v>
      </c>
      <c r="E27" s="24">
        <f>4570+4570</f>
        <v>9140</v>
      </c>
      <c r="F27" s="4" t="s">
        <v>212</v>
      </c>
      <c r="G27" s="27">
        <v>9943.42</v>
      </c>
      <c r="H27" s="24"/>
      <c r="I27" s="4"/>
      <c r="J27" s="24"/>
      <c r="K27" s="20">
        <f t="shared" si="1"/>
        <v>14718</v>
      </c>
      <c r="L27" s="20">
        <f t="shared" si="2"/>
        <v>14016.79</v>
      </c>
      <c r="M27" s="13">
        <f t="shared" si="5"/>
        <v>4.7643022149748617</v>
      </c>
      <c r="N27" s="4"/>
      <c r="P27" s="56"/>
      <c r="Q27" s="63"/>
    </row>
    <row r="28" spans="1:17" x14ac:dyDescent="0.25">
      <c r="A28" s="23" t="s">
        <v>48</v>
      </c>
      <c r="B28" s="26">
        <f>2314+1851</f>
        <v>4165</v>
      </c>
      <c r="C28" s="4" t="s">
        <v>136</v>
      </c>
      <c r="D28" s="24">
        <f>2407.41+1925.92</f>
        <v>4333.33</v>
      </c>
      <c r="E28" s="24">
        <f>6493+5367+3000</f>
        <v>14860</v>
      </c>
      <c r="F28" s="4" t="s">
        <v>212</v>
      </c>
      <c r="G28" s="27">
        <f>4039.06+3487.32</f>
        <v>7526.38</v>
      </c>
      <c r="H28" s="24">
        <v>5600</v>
      </c>
      <c r="I28" s="4" t="s">
        <v>416</v>
      </c>
      <c r="J28" s="24">
        <v>5104</v>
      </c>
      <c r="K28" s="20">
        <f t="shared" si="1"/>
        <v>24625</v>
      </c>
      <c r="L28" s="20">
        <f t="shared" si="2"/>
        <v>16963.71</v>
      </c>
      <c r="M28" s="14">
        <f t="shared" si="5"/>
        <v>31.111837563451772</v>
      </c>
      <c r="N28" s="4"/>
      <c r="Q28" s="34"/>
    </row>
    <row r="29" spans="1:17" x14ac:dyDescent="0.25">
      <c r="A29" s="23" t="s">
        <v>49</v>
      </c>
      <c r="B29" s="26">
        <f>3335+13342+6671+5251+2585+3827</f>
        <v>35011</v>
      </c>
      <c r="C29" s="4" t="s">
        <v>238</v>
      </c>
      <c r="D29" s="24">
        <v>27441.35</v>
      </c>
      <c r="E29" s="24"/>
      <c r="F29" s="4"/>
      <c r="G29" s="27"/>
      <c r="H29" s="24"/>
      <c r="I29" s="4"/>
      <c r="J29" s="24"/>
      <c r="K29" s="20">
        <f t="shared" si="1"/>
        <v>35011</v>
      </c>
      <c r="L29" s="20">
        <f t="shared" si="2"/>
        <v>27441.35</v>
      </c>
      <c r="M29" s="13">
        <f t="shared" si="5"/>
        <v>21.620776327439941</v>
      </c>
      <c r="N29" s="4"/>
      <c r="Q29" s="34" t="s">
        <v>423</v>
      </c>
    </row>
    <row r="30" spans="1:17" x14ac:dyDescent="0.25">
      <c r="A30" s="23" t="s">
        <v>50</v>
      </c>
      <c r="B30" s="26">
        <f>5920+2467</f>
        <v>8387</v>
      </c>
      <c r="C30" s="4" t="s">
        <v>136</v>
      </c>
      <c r="D30" s="24">
        <f>4991.85+2079.94</f>
        <v>7071.7900000000009</v>
      </c>
      <c r="E30" s="24">
        <f>1748</f>
        <v>1748</v>
      </c>
      <c r="F30" s="4" t="s">
        <v>212</v>
      </c>
      <c r="G30" s="27">
        <v>1794</v>
      </c>
      <c r="H30" s="24">
        <f>21660</f>
        <v>21660</v>
      </c>
      <c r="I30" s="4" t="s">
        <v>415</v>
      </c>
      <c r="J30" s="24">
        <v>20336</v>
      </c>
      <c r="K30" s="20">
        <f t="shared" si="1"/>
        <v>31795</v>
      </c>
      <c r="L30" s="20">
        <f t="shared" si="2"/>
        <v>29201.79</v>
      </c>
      <c r="M30" s="13">
        <f t="shared" si="5"/>
        <v>8.1560308224563585</v>
      </c>
      <c r="N30" s="4"/>
      <c r="Q30" s="34" t="s">
        <v>423</v>
      </c>
    </row>
    <row r="31" spans="1:17" x14ac:dyDescent="0.25">
      <c r="A31" s="23" t="s">
        <v>51</v>
      </c>
      <c r="B31" s="26">
        <f>2223+1389</f>
        <v>3612</v>
      </c>
      <c r="C31" s="4" t="s">
        <v>238</v>
      </c>
      <c r="D31" s="24">
        <f>2117.46+1323.42</f>
        <v>3440.88</v>
      </c>
      <c r="E31" s="24"/>
      <c r="F31" s="4"/>
      <c r="G31" s="27"/>
      <c r="H31" s="24">
        <f>3116+2392</f>
        <v>5508</v>
      </c>
      <c r="I31" s="4" t="s">
        <v>418</v>
      </c>
      <c r="J31" s="24">
        <f>(1715.2+1354.1)*2</f>
        <v>6138.6</v>
      </c>
      <c r="K31" s="20">
        <f t="shared" si="1"/>
        <v>9120</v>
      </c>
      <c r="L31" s="20">
        <f t="shared" si="2"/>
        <v>9579.48</v>
      </c>
      <c r="M31" s="13">
        <f t="shared" si="5"/>
        <v>-5.0381578947368411</v>
      </c>
      <c r="N31" s="4"/>
      <c r="Q31" s="34"/>
    </row>
    <row r="32" spans="1:17" x14ac:dyDescent="0.25">
      <c r="A32" s="23" t="s">
        <v>52</v>
      </c>
      <c r="B32" s="26">
        <f>1709</f>
        <v>1709</v>
      </c>
      <c r="C32" s="4" t="s">
        <v>238</v>
      </c>
      <c r="D32" s="24">
        <v>1531.96</v>
      </c>
      <c r="E32" s="24">
        <f>1109</f>
        <v>1109</v>
      </c>
      <c r="F32" s="4" t="s">
        <v>212</v>
      </c>
      <c r="G32" s="27">
        <v>1141.31</v>
      </c>
      <c r="H32" s="24">
        <f>1303+983</f>
        <v>2286</v>
      </c>
      <c r="I32" s="4" t="s">
        <v>418</v>
      </c>
      <c r="J32" s="24">
        <f>1093+1357.6</f>
        <v>2450.6</v>
      </c>
      <c r="K32" s="20">
        <f t="shared" si="1"/>
        <v>5104</v>
      </c>
      <c r="L32" s="20">
        <f t="shared" si="2"/>
        <v>5123.87</v>
      </c>
      <c r="M32" s="13">
        <f t="shared" si="5"/>
        <v>-0.38930250783698739</v>
      </c>
      <c r="N32" s="4"/>
      <c r="Q32" s="34"/>
    </row>
    <row r="33" spans="1:17" x14ac:dyDescent="0.25">
      <c r="A33" s="23" t="s">
        <v>53</v>
      </c>
      <c r="B33" s="26">
        <f>14316+5726+5128+2467+224+3957</f>
        <v>31818</v>
      </c>
      <c r="C33" s="4" t="s">
        <v>238</v>
      </c>
      <c r="D33" s="24">
        <f>5701.36+6334.85+15837.12+1520.33+2653.1</f>
        <v>32046.760000000002</v>
      </c>
      <c r="E33" s="24">
        <f>12153</f>
        <v>12153</v>
      </c>
      <c r="F33" s="4" t="s">
        <v>212</v>
      </c>
      <c r="G33" s="27">
        <v>12923.68</v>
      </c>
      <c r="H33" s="24">
        <v>9264</v>
      </c>
      <c r="I33" s="4" t="s">
        <v>417</v>
      </c>
      <c r="J33" s="24">
        <v>9264</v>
      </c>
      <c r="K33" s="20">
        <f t="shared" si="1"/>
        <v>53235</v>
      </c>
      <c r="L33" s="20">
        <f t="shared" si="2"/>
        <v>54234.44</v>
      </c>
      <c r="M33" s="13">
        <f t="shared" si="5"/>
        <v>-1.8774114774114707</v>
      </c>
      <c r="N33" s="4"/>
      <c r="Q33" s="34"/>
    </row>
    <row r="34" spans="1:17" x14ac:dyDescent="0.25">
      <c r="A34" s="23" t="s">
        <v>54</v>
      </c>
      <c r="B34" s="26">
        <f>(6516+2606)</f>
        <v>9122</v>
      </c>
      <c r="C34" s="4" t="s">
        <v>238</v>
      </c>
      <c r="D34" s="24">
        <f>6731.73+2692.69</f>
        <v>9424.42</v>
      </c>
      <c r="E34" s="24">
        <f>7914+7914</f>
        <v>15828</v>
      </c>
      <c r="F34" s="4" t="s">
        <v>212</v>
      </c>
      <c r="G34" s="27">
        <v>17297.16</v>
      </c>
      <c r="H34" s="24">
        <f>6717+6714+2181</f>
        <v>15612</v>
      </c>
      <c r="I34" s="4" t="s">
        <v>419</v>
      </c>
      <c r="J34" s="24">
        <f>12756+2050.66+75</f>
        <v>14881.66</v>
      </c>
      <c r="K34" s="20">
        <f t="shared" si="1"/>
        <v>40562</v>
      </c>
      <c r="L34" s="20">
        <f t="shared" si="2"/>
        <v>41603.240000000005</v>
      </c>
      <c r="M34" s="13">
        <f t="shared" si="5"/>
        <v>-2.5670331837680749</v>
      </c>
      <c r="N34" s="4"/>
      <c r="Q34" s="34"/>
    </row>
    <row r="35" spans="1:17" x14ac:dyDescent="0.25">
      <c r="A35" s="23" t="s">
        <v>55</v>
      </c>
      <c r="B35" s="26">
        <f>2555+2044</f>
        <v>4599</v>
      </c>
      <c r="C35" s="4" t="s">
        <v>238</v>
      </c>
      <c r="D35" s="24">
        <f>2644.6066+2115.6866</f>
        <v>4760.2932000000001</v>
      </c>
      <c r="E35" s="24">
        <f>4643+4643</f>
        <v>9286</v>
      </c>
      <c r="F35" s="4" t="s">
        <v>212</v>
      </c>
      <c r="G35" s="27">
        <v>9498.06</v>
      </c>
      <c r="H35" s="24">
        <f>2181</f>
        <v>2181</v>
      </c>
      <c r="I35" s="4" t="s">
        <v>420</v>
      </c>
      <c r="J35" s="24">
        <f>2050.66+75</f>
        <v>2125.66</v>
      </c>
      <c r="K35" s="20">
        <f t="shared" si="1"/>
        <v>16066</v>
      </c>
      <c r="L35" s="20">
        <f t="shared" si="2"/>
        <v>16384.013200000001</v>
      </c>
      <c r="M35" s="13">
        <f t="shared" si="5"/>
        <v>-1.9794174032117553</v>
      </c>
      <c r="N35" s="4"/>
      <c r="Q35" s="34"/>
    </row>
    <row r="36" spans="1:17" x14ac:dyDescent="0.25">
      <c r="A36" s="23" t="s">
        <v>56</v>
      </c>
      <c r="B36" s="26">
        <f>2555+2044</f>
        <v>4599</v>
      </c>
      <c r="C36" s="4" t="s">
        <v>238</v>
      </c>
      <c r="D36" s="24">
        <f>2644.6066+2115.6866</f>
        <v>4760.2932000000001</v>
      </c>
      <c r="E36" s="24">
        <f>4643+4643</f>
        <v>9286</v>
      </c>
      <c r="F36" s="4" t="s">
        <v>212</v>
      </c>
      <c r="G36" s="27">
        <v>9496.06</v>
      </c>
      <c r="H36" s="24">
        <f>2181</f>
        <v>2181</v>
      </c>
      <c r="I36" s="4" t="s">
        <v>420</v>
      </c>
      <c r="J36" s="24">
        <f>2050.66+75</f>
        <v>2125.66</v>
      </c>
      <c r="K36" s="20">
        <f t="shared" si="1"/>
        <v>16066</v>
      </c>
      <c r="L36" s="20">
        <f t="shared" si="2"/>
        <v>16382.013199999999</v>
      </c>
      <c r="M36" s="13">
        <f t="shared" si="5"/>
        <v>-1.9669687538901854</v>
      </c>
      <c r="N36" s="42"/>
      <c r="O36" s="42"/>
      <c r="Q36" s="34"/>
    </row>
    <row r="37" spans="1:17" x14ac:dyDescent="0.25">
      <c r="A37" s="23" t="s">
        <v>57</v>
      </c>
      <c r="B37" s="26">
        <f>2555+2044</f>
        <v>4599</v>
      </c>
      <c r="C37" s="4" t="s">
        <v>238</v>
      </c>
      <c r="D37" s="24">
        <f>2644.6066+2115.6866</f>
        <v>4760.2932000000001</v>
      </c>
      <c r="E37" s="24">
        <f>4643+4643</f>
        <v>9286</v>
      </c>
      <c r="F37" s="4" t="s">
        <v>212</v>
      </c>
      <c r="G37" s="27">
        <v>9496.06</v>
      </c>
      <c r="H37" s="24">
        <f>2181</f>
        <v>2181</v>
      </c>
      <c r="I37" s="4" t="s">
        <v>420</v>
      </c>
      <c r="J37" s="24">
        <f>2050.66+75</f>
        <v>2125.66</v>
      </c>
      <c r="K37" s="20">
        <f t="shared" si="1"/>
        <v>16066</v>
      </c>
      <c r="L37" s="20">
        <f t="shared" si="2"/>
        <v>16382.013199999999</v>
      </c>
      <c r="M37" s="14">
        <f t="shared" si="5"/>
        <v>-1.9669687538901854</v>
      </c>
      <c r="N37" s="4"/>
      <c r="Q37" s="34"/>
    </row>
    <row r="38" spans="1:17" x14ac:dyDescent="0.25">
      <c r="A38" s="23" t="s">
        <v>58</v>
      </c>
      <c r="B38" s="26">
        <f>11115+8892</f>
        <v>20007</v>
      </c>
      <c r="C38" s="4" t="s">
        <v>238</v>
      </c>
      <c r="D38" s="24">
        <f>12009.2+9607.388</f>
        <v>21616.588000000003</v>
      </c>
      <c r="E38" s="24">
        <f>15483+15483</f>
        <v>30966</v>
      </c>
      <c r="F38" s="4" t="s">
        <v>212</v>
      </c>
      <c r="G38" s="27">
        <v>36112.28</v>
      </c>
      <c r="H38" s="24">
        <v>2181</v>
      </c>
      <c r="I38" s="4" t="s">
        <v>420</v>
      </c>
      <c r="J38" s="24">
        <f>2050.66+75</f>
        <v>2125.66</v>
      </c>
      <c r="K38" s="20">
        <f t="shared" si="1"/>
        <v>53154</v>
      </c>
      <c r="L38" s="20">
        <f t="shared" si="2"/>
        <v>59854.528000000006</v>
      </c>
      <c r="M38" s="13">
        <f t="shared" si="5"/>
        <v>-12.605877262294484</v>
      </c>
      <c r="N38" s="4"/>
      <c r="Q38" s="34"/>
    </row>
    <row r="39" spans="1:17" x14ac:dyDescent="0.25">
      <c r="A39" s="23" t="s">
        <v>59</v>
      </c>
      <c r="B39" s="26">
        <f>16673+13338</f>
        <v>30011</v>
      </c>
      <c r="C39" s="4" t="s">
        <v>238</v>
      </c>
      <c r="D39" s="24">
        <f>18013.89+14411.082</f>
        <v>32424.972000000002</v>
      </c>
      <c r="E39" s="24">
        <f>15483+15483</f>
        <v>30966</v>
      </c>
      <c r="F39" s="4" t="s">
        <v>212</v>
      </c>
      <c r="G39" s="27">
        <v>36112.28</v>
      </c>
      <c r="H39" s="24">
        <v>2181</v>
      </c>
      <c r="I39" s="4" t="s">
        <v>420</v>
      </c>
      <c r="J39" s="24">
        <f>2050.66+75</f>
        <v>2125.66</v>
      </c>
      <c r="K39" s="20">
        <f t="shared" si="1"/>
        <v>63158</v>
      </c>
      <c r="L39" s="20">
        <f t="shared" si="2"/>
        <v>70662.912000000011</v>
      </c>
      <c r="M39" s="13">
        <f t="shared" si="5"/>
        <v>-11.882757528737471</v>
      </c>
      <c r="N39" s="4"/>
      <c r="Q39" s="34"/>
    </row>
    <row r="40" spans="1:17" x14ac:dyDescent="0.25">
      <c r="A40" s="23" t="s">
        <v>64</v>
      </c>
      <c r="B40" s="47"/>
      <c r="C40" s="4"/>
      <c r="D40" s="24"/>
      <c r="E40" s="24"/>
      <c r="F40" s="4"/>
      <c r="G40" s="27"/>
      <c r="H40" s="24"/>
      <c r="I40" s="4"/>
      <c r="J40" s="24"/>
      <c r="K40" s="20">
        <f t="shared" si="1"/>
        <v>0</v>
      </c>
      <c r="L40" s="20">
        <f t="shared" si="2"/>
        <v>0</v>
      </c>
      <c r="M40" s="13" t="e">
        <f t="shared" si="5"/>
        <v>#DIV/0!</v>
      </c>
      <c r="N40" s="4"/>
      <c r="Q40" s="34"/>
    </row>
    <row r="41" spans="1:17" x14ac:dyDescent="0.25">
      <c r="A41" s="23" t="s">
        <v>65</v>
      </c>
      <c r="B41" s="47"/>
      <c r="C41" s="4"/>
      <c r="D41" s="24"/>
      <c r="E41" s="24"/>
      <c r="F41" s="4"/>
      <c r="G41" s="27"/>
      <c r="H41" s="24"/>
      <c r="I41" s="4"/>
      <c r="J41" s="24"/>
      <c r="K41" s="20">
        <f t="shared" si="1"/>
        <v>0</v>
      </c>
      <c r="L41" s="20">
        <f t="shared" si="2"/>
        <v>0</v>
      </c>
      <c r="M41" s="13" t="e">
        <f t="shared" si="5"/>
        <v>#DIV/0!</v>
      </c>
      <c r="N41" s="4"/>
      <c r="Q41" s="34"/>
    </row>
    <row r="42" spans="1:17" x14ac:dyDescent="0.25">
      <c r="A42" s="23" t="s">
        <v>70</v>
      </c>
      <c r="B42" s="26">
        <f>958*1.03</f>
        <v>986.74</v>
      </c>
      <c r="C42" s="4" t="s">
        <v>238</v>
      </c>
      <c r="D42" s="24">
        <v>1245.6199999999999</v>
      </c>
      <c r="E42" s="24">
        <f>(749+749)*1.03</f>
        <v>1542.94</v>
      </c>
      <c r="F42" s="4" t="s">
        <v>212</v>
      </c>
      <c r="G42" s="27">
        <v>1869.26</v>
      </c>
      <c r="H42" s="24">
        <v>1390</v>
      </c>
      <c r="I42" s="4" t="s">
        <v>236</v>
      </c>
      <c r="J42" s="24">
        <f>1020+240</f>
        <v>1260</v>
      </c>
      <c r="K42" s="20">
        <f t="shared" si="1"/>
        <v>3919.6800000000003</v>
      </c>
      <c r="L42" s="20">
        <f t="shared" si="2"/>
        <v>4374.88</v>
      </c>
      <c r="M42" s="13">
        <f t="shared" si="5"/>
        <v>-11.613192913707238</v>
      </c>
      <c r="N42" s="4" t="s">
        <v>421</v>
      </c>
      <c r="Q42" s="34"/>
    </row>
    <row r="43" spans="1:17" x14ac:dyDescent="0.25">
      <c r="A43" s="23" t="s">
        <v>71</v>
      </c>
      <c r="B43" s="26">
        <v>793</v>
      </c>
      <c r="C43" s="4" t="s">
        <v>238</v>
      </c>
      <c r="D43" s="24">
        <v>400</v>
      </c>
      <c r="E43" s="24">
        <f>898*1.03</f>
        <v>924.94</v>
      </c>
      <c r="F43" s="4" t="s">
        <v>212</v>
      </c>
      <c r="G43" s="24">
        <f>2*464.88</f>
        <v>929.76</v>
      </c>
      <c r="H43" s="24"/>
      <c r="I43" s="4"/>
      <c r="J43" s="24"/>
      <c r="K43" s="20">
        <f t="shared" si="1"/>
        <v>1717.94</v>
      </c>
      <c r="L43" s="20">
        <f t="shared" si="2"/>
        <v>1329.76</v>
      </c>
      <c r="M43" s="13">
        <f t="shared" si="5"/>
        <v>22.595666903384284</v>
      </c>
      <c r="N43" s="4"/>
      <c r="Q43" s="34"/>
    </row>
    <row r="44" spans="1:17" x14ac:dyDescent="0.25">
      <c r="A44" s="23" t="s">
        <v>73</v>
      </c>
      <c r="B44" s="26">
        <v>793</v>
      </c>
      <c r="C44" s="4" t="s">
        <v>238</v>
      </c>
      <c r="D44" s="24">
        <v>400</v>
      </c>
      <c r="E44" s="24">
        <f>898*1.03</f>
        <v>924.94</v>
      </c>
      <c r="F44" s="4" t="s">
        <v>212</v>
      </c>
      <c r="G44" s="24">
        <f t="shared" ref="G44:G47" si="6">2*464.88</f>
        <v>929.76</v>
      </c>
      <c r="H44" s="24"/>
      <c r="I44" s="4"/>
      <c r="J44" s="24"/>
      <c r="K44" s="20">
        <f t="shared" si="1"/>
        <v>1717.94</v>
      </c>
      <c r="L44" s="20">
        <f t="shared" si="2"/>
        <v>1329.76</v>
      </c>
      <c r="M44" s="13">
        <f t="shared" si="5"/>
        <v>22.595666903384284</v>
      </c>
      <c r="N44" s="4"/>
      <c r="Q44" s="34"/>
    </row>
    <row r="45" spans="1:17" x14ac:dyDescent="0.25">
      <c r="A45" s="23" t="s">
        <v>74</v>
      </c>
      <c r="B45" s="26">
        <v>793</v>
      </c>
      <c r="C45" s="4" t="s">
        <v>238</v>
      </c>
      <c r="D45" s="24">
        <v>400</v>
      </c>
      <c r="E45" s="24">
        <f>898*1.03</f>
        <v>924.94</v>
      </c>
      <c r="F45" s="4" t="s">
        <v>212</v>
      </c>
      <c r="G45" s="24">
        <f t="shared" si="6"/>
        <v>929.76</v>
      </c>
      <c r="H45" s="26"/>
      <c r="I45" s="4"/>
      <c r="J45" s="24"/>
      <c r="K45" s="20">
        <f t="shared" si="1"/>
        <v>1717.94</v>
      </c>
      <c r="L45" s="20">
        <f t="shared" si="2"/>
        <v>1329.76</v>
      </c>
      <c r="M45" s="14">
        <f t="shared" si="5"/>
        <v>22.595666903384284</v>
      </c>
      <c r="N45" s="4"/>
      <c r="Q45" s="34"/>
    </row>
    <row r="46" spans="1:17" x14ac:dyDescent="0.25">
      <c r="A46" s="23" t="s">
        <v>75</v>
      </c>
      <c r="B46" s="26">
        <v>793</v>
      </c>
      <c r="C46" s="4" t="s">
        <v>238</v>
      </c>
      <c r="D46" s="24">
        <v>400</v>
      </c>
      <c r="E46" s="24">
        <f>898*1.03</f>
        <v>924.94</v>
      </c>
      <c r="F46" s="4" t="s">
        <v>212</v>
      </c>
      <c r="G46" s="24">
        <f t="shared" si="6"/>
        <v>929.76</v>
      </c>
      <c r="H46" s="24"/>
      <c r="I46" s="28"/>
      <c r="J46" s="24"/>
      <c r="K46" s="20">
        <f t="shared" si="1"/>
        <v>1717.94</v>
      </c>
      <c r="L46" s="20">
        <f t="shared" si="2"/>
        <v>1329.76</v>
      </c>
      <c r="M46" s="13">
        <f t="shared" si="5"/>
        <v>22.595666903384284</v>
      </c>
      <c r="N46" s="4"/>
      <c r="Q46" s="34"/>
    </row>
    <row r="47" spans="1:17" x14ac:dyDescent="0.25">
      <c r="A47" s="23" t="s">
        <v>76</v>
      </c>
      <c r="B47" s="26">
        <v>793</v>
      </c>
      <c r="C47" s="4" t="s">
        <v>238</v>
      </c>
      <c r="D47" s="24">
        <v>400</v>
      </c>
      <c r="E47" s="24">
        <f>898*1.03</f>
        <v>924.94</v>
      </c>
      <c r="F47" s="4" t="s">
        <v>212</v>
      </c>
      <c r="G47" s="24">
        <f t="shared" si="6"/>
        <v>929.76</v>
      </c>
      <c r="H47" s="24"/>
      <c r="I47" s="4"/>
      <c r="J47" s="24"/>
      <c r="K47" s="20">
        <f t="shared" si="1"/>
        <v>1717.94</v>
      </c>
      <c r="L47" s="20">
        <f t="shared" si="2"/>
        <v>1329.76</v>
      </c>
      <c r="M47" s="13">
        <f t="shared" si="5"/>
        <v>22.595666903384284</v>
      </c>
      <c r="N47" s="4"/>
      <c r="Q47" s="34"/>
    </row>
    <row r="48" spans="1:17" x14ac:dyDescent="0.25">
      <c r="A48" s="23" t="s">
        <v>77</v>
      </c>
      <c r="B48" s="26">
        <f>(7790+25752+5150+7790)*1.03</f>
        <v>47876.46</v>
      </c>
      <c r="C48" s="4" t="s">
        <v>238</v>
      </c>
      <c r="D48" s="24">
        <v>47941.599999999999</v>
      </c>
      <c r="E48" s="24"/>
      <c r="F48" s="4"/>
      <c r="G48" s="27"/>
      <c r="H48" s="24"/>
      <c r="I48" s="4"/>
      <c r="J48" s="24"/>
      <c r="K48" s="20">
        <f t="shared" si="1"/>
        <v>47876.46</v>
      </c>
      <c r="L48" s="20">
        <f t="shared" si="2"/>
        <v>47941.599999999999</v>
      </c>
      <c r="M48" s="13">
        <f t="shared" si="5"/>
        <v>-0.13605851393357682</v>
      </c>
      <c r="N48" s="4"/>
      <c r="Q48" s="34"/>
    </row>
    <row r="49" spans="1:17" x14ac:dyDescent="0.25">
      <c r="A49" s="23" t="s">
        <v>78</v>
      </c>
      <c r="B49" s="26">
        <v>1715</v>
      </c>
      <c r="C49" s="4" t="s">
        <v>165</v>
      </c>
      <c r="D49" s="24">
        <v>1975</v>
      </c>
      <c r="E49" s="24">
        <f>356+356</f>
        <v>712</v>
      </c>
      <c r="F49" s="4" t="s">
        <v>212</v>
      </c>
      <c r="G49" s="24">
        <v>692</v>
      </c>
      <c r="H49" s="24"/>
      <c r="I49" s="4"/>
      <c r="J49" s="24"/>
      <c r="K49" s="20">
        <f t="shared" si="1"/>
        <v>2427</v>
      </c>
      <c r="L49" s="20">
        <f t="shared" si="2"/>
        <v>2667</v>
      </c>
      <c r="M49" s="13">
        <f t="shared" si="5"/>
        <v>-9.8887515451174295</v>
      </c>
      <c r="N49" s="4"/>
      <c r="Q49" s="34"/>
    </row>
    <row r="50" spans="1:17" x14ac:dyDescent="0.25">
      <c r="A50" s="23" t="s">
        <v>225</v>
      </c>
      <c r="B50" s="26">
        <f>(2770+8965+5279+20291+14684)*1.03</f>
        <v>53548.67</v>
      </c>
      <c r="C50" s="4" t="s">
        <v>238</v>
      </c>
      <c r="D50" s="24">
        <f>2429.58+7187.78+4609.9+17715.6+14205</f>
        <v>46147.86</v>
      </c>
      <c r="E50" s="24"/>
      <c r="F50" s="4"/>
      <c r="G50" s="27"/>
      <c r="H50" s="24"/>
      <c r="I50" s="4"/>
      <c r="J50" s="24"/>
      <c r="K50" s="20">
        <f t="shared" si="1"/>
        <v>53548.67</v>
      </c>
      <c r="L50" s="20">
        <f t="shared" si="2"/>
        <v>46147.86</v>
      </c>
      <c r="M50" s="13">
        <f t="shared" si="5"/>
        <v>13.820716742357931</v>
      </c>
      <c r="N50" s="4"/>
      <c r="Q50" s="34"/>
    </row>
    <row r="51" spans="1:17" x14ac:dyDescent="0.25">
      <c r="A51" s="23" t="s">
        <v>226</v>
      </c>
      <c r="B51" s="26">
        <v>2483</v>
      </c>
      <c r="C51" s="4" t="s">
        <v>238</v>
      </c>
      <c r="D51" s="24">
        <v>2081.48</v>
      </c>
      <c r="E51" s="24">
        <f>1724+1724</f>
        <v>3448</v>
      </c>
      <c r="F51" s="4" t="s">
        <v>212</v>
      </c>
      <c r="G51" s="27">
        <v>2296</v>
      </c>
      <c r="H51" s="24">
        <v>1757</v>
      </c>
      <c r="I51" s="4" t="s">
        <v>424</v>
      </c>
      <c r="J51" s="24">
        <v>1968</v>
      </c>
      <c r="K51" s="20">
        <f t="shared" si="1"/>
        <v>7688</v>
      </c>
      <c r="L51" s="20">
        <f t="shared" si="2"/>
        <v>6345.48</v>
      </c>
      <c r="M51" s="13">
        <f t="shared" si="5"/>
        <v>17.462539021852237</v>
      </c>
      <c r="N51" s="4"/>
      <c r="Q51" s="34"/>
    </row>
    <row r="52" spans="1:17" x14ac:dyDescent="0.25">
      <c r="A52" s="23" t="s">
        <v>227</v>
      </c>
      <c r="B52" s="26">
        <f>3337+18087+3617+3337+3337</f>
        <v>31715</v>
      </c>
      <c r="C52" s="4" t="s">
        <v>238</v>
      </c>
      <c r="D52" s="24">
        <v>30466.38</v>
      </c>
      <c r="E52" s="24"/>
      <c r="F52" s="4"/>
      <c r="G52" s="27"/>
      <c r="H52" s="24"/>
      <c r="I52" s="4"/>
      <c r="J52" s="24"/>
      <c r="K52" s="20">
        <f t="shared" si="1"/>
        <v>31715</v>
      </c>
      <c r="L52" s="20">
        <f t="shared" si="2"/>
        <v>30466.38</v>
      </c>
      <c r="M52" s="13">
        <f t="shared" si="5"/>
        <v>3.9370014188869646</v>
      </c>
      <c r="N52" s="4"/>
      <c r="Q52" s="34"/>
    </row>
    <row r="53" spans="1:17" x14ac:dyDescent="0.25">
      <c r="A53" s="23" t="s">
        <v>176</v>
      </c>
      <c r="B53" s="26">
        <v>17763</v>
      </c>
      <c r="C53" s="4" t="s">
        <v>238</v>
      </c>
      <c r="D53" s="24">
        <v>15830.49</v>
      </c>
      <c r="E53" s="24">
        <f>23028</f>
        <v>23028</v>
      </c>
      <c r="F53" s="4" t="s">
        <v>212</v>
      </c>
      <c r="G53" s="27">
        <f>17992+5000</f>
        <v>22992</v>
      </c>
      <c r="H53" s="24"/>
      <c r="I53" s="4"/>
      <c r="J53" s="24"/>
      <c r="K53" s="20">
        <f t="shared" si="1"/>
        <v>40791</v>
      </c>
      <c r="L53" s="20">
        <f t="shared" si="2"/>
        <v>38822.49</v>
      </c>
      <c r="M53" s="13">
        <f t="shared" si="5"/>
        <v>4.8258439361623857</v>
      </c>
      <c r="N53" s="4" t="s">
        <v>425</v>
      </c>
      <c r="Q53" s="34"/>
    </row>
    <row r="54" spans="1:17" ht="15.75" customHeight="1" x14ac:dyDescent="0.25">
      <c r="A54" s="23" t="s">
        <v>177</v>
      </c>
      <c r="B54" s="26">
        <f>9591+1535</f>
        <v>11126</v>
      </c>
      <c r="C54" s="4" t="s">
        <v>238</v>
      </c>
      <c r="D54" s="24">
        <v>10444.23</v>
      </c>
      <c r="E54" s="24">
        <f>910+910</f>
        <v>1820</v>
      </c>
      <c r="F54" s="4" t="s">
        <v>212</v>
      </c>
      <c r="G54" s="27">
        <v>2543.1</v>
      </c>
      <c r="H54" s="24"/>
      <c r="I54" s="4"/>
      <c r="J54" s="24"/>
      <c r="K54" s="20">
        <f t="shared" si="1"/>
        <v>12946</v>
      </c>
      <c r="L54" s="20">
        <f t="shared" si="2"/>
        <v>12987.33</v>
      </c>
      <c r="M54" s="13">
        <f t="shared" si="5"/>
        <v>-0.31924918893867016</v>
      </c>
      <c r="N54" s="4" t="s">
        <v>426</v>
      </c>
      <c r="Q54" s="34"/>
    </row>
    <row r="55" spans="1:17" x14ac:dyDescent="0.25">
      <c r="A55" s="23" t="s">
        <v>86</v>
      </c>
      <c r="B55" s="26">
        <v>8273</v>
      </c>
      <c r="C55" s="4" t="s">
        <v>238</v>
      </c>
      <c r="D55" s="24">
        <f>14330.16/2</f>
        <v>7165.08</v>
      </c>
      <c r="E55" s="24">
        <f>7459+7985</f>
        <v>15444</v>
      </c>
      <c r="F55" s="4" t="s">
        <v>212</v>
      </c>
      <c r="G55" s="27">
        <f>5683+6192+2500</f>
        <v>14375</v>
      </c>
      <c r="H55" s="24"/>
      <c r="I55" s="4"/>
      <c r="J55" s="24"/>
      <c r="K55" s="20">
        <f t="shared" si="1"/>
        <v>23717</v>
      </c>
      <c r="L55" s="20">
        <f t="shared" si="2"/>
        <v>21540.080000000002</v>
      </c>
      <c r="M55" s="13">
        <f t="shared" si="5"/>
        <v>9.1787325547075937</v>
      </c>
      <c r="N55" s="4" t="s">
        <v>427</v>
      </c>
      <c r="Q55" s="34"/>
    </row>
    <row r="56" spans="1:17" x14ac:dyDescent="0.25">
      <c r="A56" s="23" t="s">
        <v>87</v>
      </c>
      <c r="B56" s="26">
        <v>8273</v>
      </c>
      <c r="C56" s="4" t="s">
        <v>238</v>
      </c>
      <c r="D56" s="24">
        <f>14330.16/2</f>
        <v>7165.08</v>
      </c>
      <c r="E56" s="24">
        <f>7459+7985</f>
        <v>15444</v>
      </c>
      <c r="F56" s="4" t="s">
        <v>212</v>
      </c>
      <c r="G56" s="27">
        <f>5683+6192+2500</f>
        <v>14375</v>
      </c>
      <c r="H56" s="24"/>
      <c r="I56" s="4"/>
      <c r="J56" s="24"/>
      <c r="K56" s="20">
        <f>B56+E56+H56</f>
        <v>23717</v>
      </c>
      <c r="L56" s="20">
        <f t="shared" si="2"/>
        <v>21540.080000000002</v>
      </c>
      <c r="M56" s="14">
        <f t="shared" si="5"/>
        <v>9.1787325547075937</v>
      </c>
      <c r="N56" s="4" t="s">
        <v>427</v>
      </c>
      <c r="Q56" s="34"/>
    </row>
    <row r="57" spans="1:17" x14ac:dyDescent="0.25">
      <c r="A57" s="23" t="s">
        <v>88</v>
      </c>
      <c r="B57" s="47"/>
      <c r="C57" s="4"/>
      <c r="D57" s="24"/>
      <c r="E57" s="24"/>
      <c r="F57" s="4"/>
      <c r="G57" s="27"/>
      <c r="H57" s="24"/>
      <c r="I57" s="4"/>
      <c r="J57" s="24"/>
      <c r="K57" s="20">
        <f t="shared" si="1"/>
        <v>0</v>
      </c>
      <c r="L57" s="20">
        <f t="shared" si="2"/>
        <v>0</v>
      </c>
      <c r="M57" s="13" t="e">
        <f t="shared" si="5"/>
        <v>#DIV/0!</v>
      </c>
      <c r="N57" s="4"/>
      <c r="Q57" s="34"/>
    </row>
    <row r="58" spans="1:17" x14ac:dyDescent="0.25">
      <c r="A58" s="23" t="s">
        <v>89</v>
      </c>
      <c r="B58" s="47"/>
      <c r="C58" s="4"/>
      <c r="D58" s="24"/>
      <c r="E58" s="24"/>
      <c r="F58" s="4"/>
      <c r="G58" s="27"/>
      <c r="H58" s="24"/>
      <c r="I58" s="4"/>
      <c r="J58" s="24"/>
      <c r="K58" s="20">
        <f>B58+E58+H58</f>
        <v>0</v>
      </c>
      <c r="L58" s="20">
        <f t="shared" si="2"/>
        <v>0</v>
      </c>
      <c r="M58" s="13" t="e">
        <f>100-L58*100/K58</f>
        <v>#DIV/0!</v>
      </c>
      <c r="N58" s="4"/>
      <c r="Q58" s="34"/>
    </row>
    <row r="59" spans="1:17" x14ac:dyDescent="0.25">
      <c r="A59" s="23" t="s">
        <v>90</v>
      </c>
      <c r="B59" s="47"/>
      <c r="C59" s="4"/>
      <c r="D59" s="24"/>
      <c r="E59" s="24"/>
      <c r="F59" s="4"/>
      <c r="G59" s="27"/>
      <c r="H59" s="24"/>
      <c r="I59" s="4"/>
      <c r="J59" s="24"/>
      <c r="K59" s="20">
        <f t="shared" si="1"/>
        <v>0</v>
      </c>
      <c r="L59" s="20">
        <f t="shared" si="2"/>
        <v>0</v>
      </c>
      <c r="M59" s="13" t="e">
        <f t="shared" si="5"/>
        <v>#DIV/0!</v>
      </c>
      <c r="N59" s="4"/>
      <c r="Q59" s="34"/>
    </row>
    <row r="60" spans="1:17" x14ac:dyDescent="0.25">
      <c r="A60" s="23" t="s">
        <v>96</v>
      </c>
      <c r="B60" s="26">
        <f>574+765+3257+4703+1531</f>
        <v>10830</v>
      </c>
      <c r="C60" s="4" t="s">
        <v>238</v>
      </c>
      <c r="D60" s="24">
        <v>5859.05</v>
      </c>
      <c r="E60" s="24"/>
      <c r="F60" s="4"/>
      <c r="G60" s="27"/>
      <c r="H60" s="24"/>
      <c r="I60" s="4"/>
      <c r="J60" s="24"/>
      <c r="K60" s="20">
        <f>B60+E60+H60</f>
        <v>10830</v>
      </c>
      <c r="L60" s="20">
        <f t="shared" si="2"/>
        <v>5859.05</v>
      </c>
      <c r="M60" s="13">
        <f t="shared" si="5"/>
        <v>45.899815327793171</v>
      </c>
      <c r="N60" s="4"/>
      <c r="Q60" s="34"/>
    </row>
    <row r="61" spans="1:17" x14ac:dyDescent="0.25">
      <c r="A61" s="23" t="s">
        <v>97</v>
      </c>
      <c r="B61" s="47"/>
      <c r="C61" s="4"/>
      <c r="D61" s="24"/>
      <c r="E61" s="24"/>
      <c r="F61" s="4"/>
      <c r="G61" s="27"/>
      <c r="H61" s="24"/>
      <c r="I61" s="4"/>
      <c r="J61" s="24"/>
      <c r="K61" s="20">
        <f t="shared" si="1"/>
        <v>0</v>
      </c>
      <c r="L61" s="20">
        <f t="shared" si="2"/>
        <v>0</v>
      </c>
      <c r="M61" s="14" t="e">
        <f t="shared" si="5"/>
        <v>#DIV/0!</v>
      </c>
      <c r="N61" s="4"/>
      <c r="Q61" s="34"/>
    </row>
    <row r="62" spans="1:17" x14ac:dyDescent="0.25">
      <c r="A62" s="23" t="s">
        <v>98</v>
      </c>
      <c r="B62" s="26">
        <f>16924+11027</f>
        <v>27951</v>
      </c>
      <c r="C62" s="4" t="s">
        <v>238</v>
      </c>
      <c r="D62" s="24">
        <v>18438.54</v>
      </c>
      <c r="E62" s="24">
        <f>7595</f>
        <v>7595</v>
      </c>
      <c r="F62" s="4" t="s">
        <v>212</v>
      </c>
      <c r="G62" s="27">
        <v>9080</v>
      </c>
      <c r="H62" s="24"/>
      <c r="I62" s="28"/>
      <c r="J62" s="24"/>
      <c r="K62" s="20">
        <f t="shared" ref="K62:K67" si="7">B62+E62+H62</f>
        <v>35546</v>
      </c>
      <c r="L62" s="20">
        <f>D62+G62+J62</f>
        <v>27518.54</v>
      </c>
      <c r="M62" s="13">
        <f t="shared" si="5"/>
        <v>22.583300512012599</v>
      </c>
      <c r="N62" s="4"/>
      <c r="Q62" s="34"/>
    </row>
    <row r="63" spans="1:17" x14ac:dyDescent="0.25">
      <c r="A63" s="23" t="s">
        <v>99</v>
      </c>
      <c r="B63" s="26">
        <f>2124+7658+5105+5775+3850+6177</f>
        <v>30689</v>
      </c>
      <c r="C63" s="4" t="s">
        <v>238</v>
      </c>
      <c r="D63" s="24">
        <f>(2*648.3354)+(2*3522.45)+(2*2348.3)+(2*2906.97)+(2*1937.98)+(2*2598.2718)</f>
        <v>27924.614399999999</v>
      </c>
      <c r="E63" s="24"/>
      <c r="F63" s="4"/>
      <c r="G63" s="27"/>
      <c r="H63" s="24"/>
      <c r="I63" s="4"/>
      <c r="J63" s="24"/>
      <c r="K63" s="20">
        <f t="shared" si="7"/>
        <v>30689</v>
      </c>
      <c r="L63" s="20">
        <f t="shared" si="2"/>
        <v>27924.614399999999</v>
      </c>
      <c r="M63" s="13">
        <f t="shared" si="5"/>
        <v>9.0077408843559539</v>
      </c>
      <c r="N63" s="4"/>
      <c r="Q63" s="34"/>
    </row>
    <row r="64" spans="1:17" x14ac:dyDescent="0.25">
      <c r="A64" s="23" t="s">
        <v>100</v>
      </c>
      <c r="B64" s="26">
        <f>2124+7658+5105+5775+3850+6177</f>
        <v>30689</v>
      </c>
      <c r="C64" s="4" t="s">
        <v>238</v>
      </c>
      <c r="D64" s="24">
        <f>(2*648.3354)+(2*3522.45)+(2*2348.3)+(2*2906.97)+(2*1937.98)+(2*2598.2718)</f>
        <v>27924.614399999999</v>
      </c>
      <c r="E64" s="24"/>
      <c r="F64" s="4"/>
      <c r="G64" s="27"/>
      <c r="H64" s="24"/>
      <c r="I64" s="4"/>
      <c r="J64" s="24"/>
      <c r="K64" s="20">
        <f t="shared" si="7"/>
        <v>30689</v>
      </c>
      <c r="L64" s="20">
        <f t="shared" si="2"/>
        <v>27924.614399999999</v>
      </c>
      <c r="M64" s="13">
        <f t="shared" si="5"/>
        <v>9.0077408843559539</v>
      </c>
      <c r="N64" s="4"/>
      <c r="Q64" s="34"/>
    </row>
    <row r="65" spans="1:17" x14ac:dyDescent="0.25">
      <c r="A65" s="23" t="s">
        <v>102</v>
      </c>
      <c r="B65" s="26">
        <f>2124+7658+5105+5775+3850+6177</f>
        <v>30689</v>
      </c>
      <c r="C65" s="4" t="s">
        <v>238</v>
      </c>
      <c r="D65" s="24">
        <f>(2*648.3354)+(2*3522.45)+(2*2348.3)+(2*2906.97)+(2*1937.98)+(2*2598.2718)</f>
        <v>27924.614399999999</v>
      </c>
      <c r="E65" s="24"/>
      <c r="F65" s="4"/>
      <c r="G65" s="27"/>
      <c r="H65" s="24"/>
      <c r="I65" s="4"/>
      <c r="J65" s="24"/>
      <c r="K65" s="20">
        <f t="shared" si="7"/>
        <v>30689</v>
      </c>
      <c r="L65" s="20">
        <f>D65+G65+J65</f>
        <v>27924.614399999999</v>
      </c>
      <c r="M65" s="13">
        <f t="shared" si="5"/>
        <v>9.0077408843559539</v>
      </c>
      <c r="N65" s="4"/>
      <c r="Q65" s="34"/>
    </row>
    <row r="66" spans="1:17" x14ac:dyDescent="0.25">
      <c r="A66" s="23" t="s">
        <v>103</v>
      </c>
      <c r="B66" s="26">
        <f>2124+7658+5105+5775+3850+6177</f>
        <v>30689</v>
      </c>
      <c r="C66" s="4" t="s">
        <v>238</v>
      </c>
      <c r="D66" s="24">
        <f>(2*648.3354)+(2*3522.45)+(2*2348.3)+(2*2906.97)+(2*1937.98)+(2*2598.2718)</f>
        <v>27924.614399999999</v>
      </c>
      <c r="E66" s="24"/>
      <c r="F66" s="4"/>
      <c r="G66" s="27"/>
      <c r="H66" s="24"/>
      <c r="I66" s="4"/>
      <c r="J66" s="24"/>
      <c r="K66" s="20">
        <f t="shared" si="7"/>
        <v>30689</v>
      </c>
      <c r="L66" s="20">
        <f>D66+G66+J66</f>
        <v>27924.614399999999</v>
      </c>
      <c r="M66" s="13">
        <f>100-L66*100/K66</f>
        <v>9.0077408843559539</v>
      </c>
      <c r="N66" s="4"/>
      <c r="Q66" s="34"/>
    </row>
    <row r="67" spans="1:17" x14ac:dyDescent="0.25">
      <c r="A67" s="23" t="s">
        <v>104</v>
      </c>
      <c r="B67" s="26">
        <f>2124+3829+2553+2873+1915+7721</f>
        <v>21015</v>
      </c>
      <c r="C67" s="4" t="s">
        <v>238</v>
      </c>
      <c r="D67" s="24">
        <f>3522.45+(2*2348.3)+2906.97+1937.98+(2*3875.96)</f>
        <v>20815.919999999998</v>
      </c>
      <c r="E67" s="24"/>
      <c r="F67" s="4"/>
      <c r="G67" s="27"/>
      <c r="H67" s="24"/>
      <c r="I67" s="4"/>
      <c r="J67" s="24"/>
      <c r="K67" s="20">
        <f t="shared" si="7"/>
        <v>21015</v>
      </c>
      <c r="L67" s="20">
        <f t="shared" ref="L67:L122" si="8">D67+G67+J67</f>
        <v>20815.919999999998</v>
      </c>
      <c r="M67" s="13">
        <f t="shared" ref="M67:M131" si="9">100-L67*100/K67</f>
        <v>0.94732334047110101</v>
      </c>
      <c r="N67" s="4"/>
      <c r="Q67" s="34"/>
    </row>
    <row r="68" spans="1:17" x14ac:dyDescent="0.25">
      <c r="A68" s="23" t="s">
        <v>106</v>
      </c>
      <c r="B68" s="26">
        <f>2124+3829+2553+2873+1915+7721</f>
        <v>21015</v>
      </c>
      <c r="C68" s="4" t="s">
        <v>238</v>
      </c>
      <c r="D68" s="24">
        <f>3522.45+(2*2348.3)+2906.97+1937.98+(2*3875.96)</f>
        <v>20815.919999999998</v>
      </c>
      <c r="E68" s="24"/>
      <c r="F68" s="4"/>
      <c r="G68" s="27"/>
      <c r="H68" s="24"/>
      <c r="I68" s="4"/>
      <c r="J68" s="24"/>
      <c r="K68" s="20">
        <f t="shared" ref="K68:K74" si="10">B68+E68+H68</f>
        <v>21015</v>
      </c>
      <c r="L68" s="20">
        <f t="shared" si="8"/>
        <v>20815.919999999998</v>
      </c>
      <c r="M68" s="13">
        <f t="shared" si="9"/>
        <v>0.94732334047110101</v>
      </c>
      <c r="N68" s="4"/>
      <c r="Q68" s="34"/>
    </row>
    <row r="69" spans="1:17" x14ac:dyDescent="0.25">
      <c r="A69" s="23" t="s">
        <v>107</v>
      </c>
      <c r="B69" s="26">
        <f>2114+2298+1149+3063+1532+3089</f>
        <v>13245</v>
      </c>
      <c r="C69" s="4" t="s">
        <v>238</v>
      </c>
      <c r="D69" s="24">
        <f>(2*648.3354)+2113.47+830.685+2598.2718+1744.18+623.22</f>
        <v>9206.4976000000006</v>
      </c>
      <c r="E69" s="24"/>
      <c r="F69" s="4"/>
      <c r="G69" s="27"/>
      <c r="H69" s="24"/>
      <c r="I69" s="4"/>
      <c r="J69" s="24"/>
      <c r="K69" s="20">
        <f t="shared" si="10"/>
        <v>13245</v>
      </c>
      <c r="L69" s="20">
        <f t="shared" si="8"/>
        <v>9206.4976000000006</v>
      </c>
      <c r="M69" s="13">
        <f t="shared" si="9"/>
        <v>30.490769346923372</v>
      </c>
      <c r="N69" s="4"/>
      <c r="Q69" s="34"/>
    </row>
    <row r="70" spans="1:17" x14ac:dyDescent="0.25">
      <c r="A70" s="23" t="s">
        <v>108</v>
      </c>
      <c r="B70" s="26">
        <f>2114+2298+1149+3063+1532+3089</f>
        <v>13245</v>
      </c>
      <c r="C70" s="4" t="s">
        <v>238</v>
      </c>
      <c r="D70" s="24">
        <f>(2*648.3354)+2113.47+830.685+2598.2718+1744.18+623.22</f>
        <v>9206.4976000000006</v>
      </c>
      <c r="E70" s="24"/>
      <c r="F70" s="4"/>
      <c r="G70" s="27"/>
      <c r="H70" s="24"/>
      <c r="I70" s="4"/>
      <c r="J70" s="24"/>
      <c r="K70" s="20">
        <f t="shared" si="10"/>
        <v>13245</v>
      </c>
      <c r="L70" s="20">
        <f t="shared" si="8"/>
        <v>9206.4976000000006</v>
      </c>
      <c r="M70" s="13">
        <f t="shared" si="9"/>
        <v>30.490769346923372</v>
      </c>
      <c r="N70" s="41"/>
      <c r="O70" s="40"/>
      <c r="Q70" s="34"/>
    </row>
    <row r="71" spans="1:17" x14ac:dyDescent="0.25">
      <c r="A71" s="23" t="s">
        <v>109</v>
      </c>
      <c r="B71" s="26">
        <f>1276+2744+2745</f>
        <v>6765</v>
      </c>
      <c r="C71" s="4" t="s">
        <v>238</v>
      </c>
      <c r="D71" s="24">
        <f>648.3354+2113.47+2598.2718</f>
        <v>5360.0771999999997</v>
      </c>
      <c r="E71" s="24"/>
      <c r="F71" s="4"/>
      <c r="G71" s="27"/>
      <c r="H71" s="24"/>
      <c r="I71" s="4"/>
      <c r="J71" s="24"/>
      <c r="K71" s="20">
        <f t="shared" si="10"/>
        <v>6765</v>
      </c>
      <c r="L71" s="20">
        <f t="shared" si="8"/>
        <v>5360.0771999999997</v>
      </c>
      <c r="M71" s="13">
        <f t="shared" si="9"/>
        <v>20.767521064301562</v>
      </c>
      <c r="N71" s="4"/>
      <c r="Q71" s="34"/>
    </row>
    <row r="72" spans="1:17" x14ac:dyDescent="0.25">
      <c r="A72" s="23" t="s">
        <v>111</v>
      </c>
      <c r="B72" s="26"/>
      <c r="C72" s="4" t="s">
        <v>238</v>
      </c>
      <c r="D72" s="24"/>
      <c r="E72" s="24"/>
      <c r="F72" s="4"/>
      <c r="G72" s="27"/>
      <c r="H72" s="24"/>
      <c r="I72" s="4"/>
      <c r="J72" s="24"/>
      <c r="K72" s="20">
        <f t="shared" si="10"/>
        <v>0</v>
      </c>
      <c r="L72" s="20">
        <f t="shared" si="8"/>
        <v>0</v>
      </c>
      <c r="M72" s="13" t="e">
        <f t="shared" si="9"/>
        <v>#DIV/0!</v>
      </c>
      <c r="N72" s="4"/>
      <c r="Q72" s="34"/>
    </row>
    <row r="73" spans="1:17" x14ac:dyDescent="0.25">
      <c r="A73" s="23" t="s">
        <v>117</v>
      </c>
      <c r="B73" s="47"/>
      <c r="C73" s="4"/>
      <c r="D73" s="24"/>
      <c r="E73" s="24"/>
      <c r="F73" s="4"/>
      <c r="G73" s="27"/>
      <c r="H73" s="24"/>
      <c r="I73" s="4"/>
      <c r="J73" s="24"/>
      <c r="K73" s="20">
        <f t="shared" si="10"/>
        <v>0</v>
      </c>
      <c r="L73" s="20">
        <f t="shared" si="8"/>
        <v>0</v>
      </c>
      <c r="M73" s="13" t="e">
        <f t="shared" si="9"/>
        <v>#DIV/0!</v>
      </c>
      <c r="N73" s="4"/>
      <c r="Q73" s="34"/>
    </row>
    <row r="74" spans="1:17" x14ac:dyDescent="0.25">
      <c r="A74" s="23" t="s">
        <v>118</v>
      </c>
      <c r="B74" s="47"/>
      <c r="C74" s="4"/>
      <c r="D74" s="24"/>
      <c r="E74" s="24"/>
      <c r="F74" s="4"/>
      <c r="G74" s="27"/>
      <c r="H74" s="24"/>
      <c r="I74" s="4"/>
      <c r="J74" s="24"/>
      <c r="K74" s="20">
        <f t="shared" si="10"/>
        <v>0</v>
      </c>
      <c r="L74" s="20">
        <f t="shared" si="8"/>
        <v>0</v>
      </c>
      <c r="M74" s="14" t="e">
        <f t="shared" si="9"/>
        <v>#DIV/0!</v>
      </c>
      <c r="N74" s="4"/>
      <c r="Q74" s="34"/>
    </row>
    <row r="75" spans="1:17" x14ac:dyDescent="0.25">
      <c r="A75" s="23" t="s">
        <v>119</v>
      </c>
      <c r="B75" s="24">
        <f>91760+836+3480+2120</f>
        <v>98196</v>
      </c>
      <c r="C75" s="4" t="s">
        <v>324</v>
      </c>
      <c r="D75" s="24">
        <v>78620</v>
      </c>
      <c r="E75" s="24"/>
      <c r="F75" s="4"/>
      <c r="G75" s="27"/>
      <c r="H75" s="24"/>
      <c r="I75" s="4"/>
      <c r="J75" s="24"/>
      <c r="K75" s="20">
        <f t="shared" ref="K75:K121" si="11">B75+E75+H75</f>
        <v>98196</v>
      </c>
      <c r="L75" s="20">
        <f t="shared" si="8"/>
        <v>78620</v>
      </c>
      <c r="M75" s="13">
        <f t="shared" si="9"/>
        <v>19.935638926229174</v>
      </c>
      <c r="N75" s="4"/>
      <c r="Q75" s="34"/>
    </row>
    <row r="76" spans="1:17" x14ac:dyDescent="0.25">
      <c r="A76" s="23" t="s">
        <v>120</v>
      </c>
      <c r="B76" s="26">
        <f>1613</f>
        <v>1613</v>
      </c>
      <c r="C76" s="4" t="s">
        <v>238</v>
      </c>
      <c r="D76" s="24">
        <v>1896.3</v>
      </c>
      <c r="E76" s="24">
        <f>1272+1272</f>
        <v>2544</v>
      </c>
      <c r="F76" s="4" t="s">
        <v>212</v>
      </c>
      <c r="G76" s="27">
        <v>2548</v>
      </c>
      <c r="H76" s="24"/>
      <c r="I76" s="4"/>
      <c r="J76" s="24"/>
      <c r="K76" s="20">
        <f t="shared" si="11"/>
        <v>4157</v>
      </c>
      <c r="L76" s="20">
        <f t="shared" si="8"/>
        <v>4444.3</v>
      </c>
      <c r="M76" s="13">
        <f t="shared" si="9"/>
        <v>-6.9112340630262139</v>
      </c>
      <c r="N76" s="4"/>
      <c r="Q76" s="34"/>
    </row>
    <row r="77" spans="1:17" x14ac:dyDescent="0.25">
      <c r="A77" s="23" t="s">
        <v>121</v>
      </c>
      <c r="B77" s="26">
        <v>54572</v>
      </c>
      <c r="C77" s="4" t="s">
        <v>238</v>
      </c>
      <c r="D77" s="24">
        <v>49745.88</v>
      </c>
      <c r="E77" s="24">
        <v>74464</v>
      </c>
      <c r="F77" s="4" t="s">
        <v>212</v>
      </c>
      <c r="G77" s="27">
        <v>69924</v>
      </c>
      <c r="H77" s="24">
        <f>24788+22808+14663</f>
        <v>62259</v>
      </c>
      <c r="I77" s="4" t="s">
        <v>429</v>
      </c>
      <c r="J77" s="24">
        <f>42103.35+15017</f>
        <v>57120.35</v>
      </c>
      <c r="K77" s="20">
        <f t="shared" si="11"/>
        <v>191295</v>
      </c>
      <c r="L77" s="20">
        <f>D77+G77+J77</f>
        <v>176790.23</v>
      </c>
      <c r="M77" s="13">
        <f t="shared" si="9"/>
        <v>7.5824093677304631</v>
      </c>
      <c r="N77" s="4"/>
      <c r="Q77" s="34"/>
    </row>
    <row r="78" spans="1:17" x14ac:dyDescent="0.25">
      <c r="A78" s="23" t="s">
        <v>122</v>
      </c>
      <c r="B78" s="26">
        <v>959</v>
      </c>
      <c r="C78" s="4" t="s">
        <v>238</v>
      </c>
      <c r="D78" s="24">
        <v>875.8</v>
      </c>
      <c r="E78" s="24">
        <f>810+810</f>
        <v>1620</v>
      </c>
      <c r="F78" s="4" t="s">
        <v>212</v>
      </c>
      <c r="G78" s="27">
        <v>1340</v>
      </c>
      <c r="H78" s="24"/>
      <c r="I78" s="4"/>
      <c r="J78" s="24"/>
      <c r="K78" s="20">
        <f t="shared" si="11"/>
        <v>2579</v>
      </c>
      <c r="L78" s="20">
        <f t="shared" si="8"/>
        <v>2215.8000000000002</v>
      </c>
      <c r="M78" s="13">
        <f t="shared" si="9"/>
        <v>14.082977898410221</v>
      </c>
      <c r="N78" s="4"/>
      <c r="Q78" s="34"/>
    </row>
    <row r="79" spans="1:17" x14ac:dyDescent="0.25">
      <c r="A79" s="23" t="s">
        <v>123</v>
      </c>
      <c r="B79" s="26">
        <f>7400+667</f>
        <v>8067</v>
      </c>
      <c r="C79" s="4" t="s">
        <v>238</v>
      </c>
      <c r="D79" s="24">
        <f>7696+703.21+25.63</f>
        <v>8424.8399999999983</v>
      </c>
      <c r="E79" s="24">
        <f>2644</f>
        <v>2644</v>
      </c>
      <c r="F79" s="4" t="s">
        <v>212</v>
      </c>
      <c r="G79" s="27">
        <v>1868</v>
      </c>
      <c r="H79" s="24"/>
      <c r="I79" s="4"/>
      <c r="J79" s="24"/>
      <c r="K79" s="20">
        <f t="shared" si="11"/>
        <v>10711</v>
      </c>
      <c r="L79" s="20">
        <f t="shared" si="8"/>
        <v>10292.839999999998</v>
      </c>
      <c r="M79" s="13">
        <f t="shared" si="9"/>
        <v>3.9040239006628781</v>
      </c>
      <c r="N79" s="4"/>
      <c r="Q79" s="34"/>
    </row>
    <row r="80" spans="1:17" x14ac:dyDescent="0.25">
      <c r="A80" s="23" t="s">
        <v>124</v>
      </c>
      <c r="B80" s="26">
        <f>2052</f>
        <v>2052</v>
      </c>
      <c r="C80" s="4" t="s">
        <v>238</v>
      </c>
      <c r="D80" s="24">
        <v>2107</v>
      </c>
      <c r="E80" s="24">
        <f>2390</f>
        <v>2390</v>
      </c>
      <c r="F80" s="4" t="s">
        <v>212</v>
      </c>
      <c r="G80" s="27">
        <v>2190</v>
      </c>
      <c r="H80" s="24"/>
      <c r="I80" s="4"/>
      <c r="J80" s="24"/>
      <c r="K80" s="20">
        <f t="shared" si="11"/>
        <v>4442</v>
      </c>
      <c r="L80" s="20">
        <f t="shared" si="8"/>
        <v>4297</v>
      </c>
      <c r="M80" s="13">
        <f t="shared" si="9"/>
        <v>3.2642953624493458</v>
      </c>
      <c r="N80" s="4"/>
      <c r="Q80" s="34"/>
    </row>
    <row r="81" spans="1:17" x14ac:dyDescent="0.25">
      <c r="A81" s="23" t="s">
        <v>125</v>
      </c>
      <c r="B81" s="26">
        <f>6589</f>
        <v>6589</v>
      </c>
      <c r="C81" s="4" t="s">
        <v>238</v>
      </c>
      <c r="D81" s="24">
        <v>5339.94</v>
      </c>
      <c r="E81" s="24">
        <f>4162+4162</f>
        <v>8324</v>
      </c>
      <c r="F81" s="4" t="s">
        <v>212</v>
      </c>
      <c r="G81" s="27">
        <v>6352</v>
      </c>
      <c r="H81" s="24"/>
      <c r="I81" s="4"/>
      <c r="J81" s="24"/>
      <c r="K81" s="20">
        <f t="shared" si="11"/>
        <v>14913</v>
      </c>
      <c r="L81" s="20">
        <f t="shared" si="8"/>
        <v>11691.939999999999</v>
      </c>
      <c r="M81" s="13">
        <f t="shared" si="9"/>
        <v>21.599007577281583</v>
      </c>
      <c r="N81" s="4"/>
      <c r="Q81" s="34"/>
    </row>
    <row r="82" spans="1:17" x14ac:dyDescent="0.25">
      <c r="A82" s="23" t="s">
        <v>126</v>
      </c>
      <c r="B82" s="26">
        <f>821+821</f>
        <v>1642</v>
      </c>
      <c r="C82" s="4" t="s">
        <v>238</v>
      </c>
      <c r="D82" s="24">
        <v>1566.38</v>
      </c>
      <c r="E82" s="24"/>
      <c r="F82" s="4"/>
      <c r="G82" s="27"/>
      <c r="H82" s="24"/>
      <c r="I82" s="4"/>
      <c r="J82" s="24"/>
      <c r="K82" s="20">
        <f t="shared" si="11"/>
        <v>1642</v>
      </c>
      <c r="L82" s="20">
        <f t="shared" si="8"/>
        <v>1566.38</v>
      </c>
      <c r="M82" s="13">
        <f t="shared" si="9"/>
        <v>4.6053593179049983</v>
      </c>
      <c r="N82" s="4"/>
      <c r="Q82" s="34"/>
    </row>
    <row r="83" spans="1:17" x14ac:dyDescent="0.25">
      <c r="A83" s="23" t="s">
        <v>127</v>
      </c>
      <c r="B83" s="26">
        <f>956</f>
        <v>956</v>
      </c>
      <c r="C83" s="4" t="s">
        <v>238</v>
      </c>
      <c r="D83" s="24">
        <v>890.31</v>
      </c>
      <c r="E83" s="24">
        <f>667+667</f>
        <v>1334</v>
      </c>
      <c r="F83" s="4" t="s">
        <v>212</v>
      </c>
      <c r="G83" s="27">
        <v>808</v>
      </c>
      <c r="H83" s="24"/>
      <c r="I83" s="4"/>
      <c r="J83" s="24"/>
      <c r="K83" s="20">
        <f t="shared" si="11"/>
        <v>2290</v>
      </c>
      <c r="L83" s="20">
        <f t="shared" si="8"/>
        <v>1698.31</v>
      </c>
      <c r="M83" s="13">
        <f t="shared" si="9"/>
        <v>25.837991266375539</v>
      </c>
      <c r="N83" s="4"/>
      <c r="Q83" s="34"/>
    </row>
    <row r="84" spans="1:17" x14ac:dyDescent="0.25">
      <c r="A84" s="23" t="s">
        <v>128</v>
      </c>
      <c r="B84" s="26">
        <f>1642+10467+2136</f>
        <v>14245</v>
      </c>
      <c r="C84" s="4" t="s">
        <v>238</v>
      </c>
      <c r="D84" s="24">
        <v>14171.46</v>
      </c>
      <c r="E84" s="24"/>
      <c r="F84" s="4"/>
      <c r="G84" s="27"/>
      <c r="H84" s="24"/>
      <c r="I84" s="4"/>
      <c r="J84" s="53"/>
      <c r="K84" s="20">
        <f t="shared" si="11"/>
        <v>14245</v>
      </c>
      <c r="L84" s="20">
        <f t="shared" si="8"/>
        <v>14171.46</v>
      </c>
      <c r="M84" s="14">
        <f t="shared" si="9"/>
        <v>0.5162513162513136</v>
      </c>
      <c r="N84" s="4"/>
      <c r="Q84" s="34"/>
    </row>
    <row r="85" spans="1:17" x14ac:dyDescent="0.25">
      <c r="A85" s="23" t="s">
        <v>129</v>
      </c>
      <c r="B85" s="47"/>
      <c r="C85" s="4"/>
      <c r="D85" s="24"/>
      <c r="E85" s="24"/>
      <c r="F85" s="4"/>
      <c r="G85" s="27"/>
      <c r="H85" s="24"/>
      <c r="I85" s="4"/>
      <c r="J85" s="53"/>
      <c r="K85" s="20">
        <f t="shared" si="11"/>
        <v>0</v>
      </c>
      <c r="L85" s="20">
        <f t="shared" ref="L85" si="12">D85+G85+J85</f>
        <v>0</v>
      </c>
      <c r="M85" s="13" t="e">
        <f t="shared" si="9"/>
        <v>#DIV/0!</v>
      </c>
      <c r="N85" s="4"/>
      <c r="Q85" s="34"/>
    </row>
    <row r="86" spans="1:17" x14ac:dyDescent="0.25">
      <c r="A86" s="23" t="s">
        <v>130</v>
      </c>
      <c r="B86" s="24">
        <f>2650+15800+2650+1131</f>
        <v>22231</v>
      </c>
      <c r="C86" s="4" t="s">
        <v>238</v>
      </c>
      <c r="D86" s="24">
        <f>24339.99-1675.88</f>
        <v>22664.11</v>
      </c>
      <c r="E86" s="24"/>
      <c r="F86" s="4"/>
      <c r="G86" s="27"/>
      <c r="H86" s="24">
        <f>353+1090+1155</f>
        <v>2598</v>
      </c>
      <c r="I86" s="4" t="s">
        <v>428</v>
      </c>
      <c r="J86" s="24">
        <v>1675.88</v>
      </c>
      <c r="K86" s="20">
        <f t="shared" si="11"/>
        <v>24829</v>
      </c>
      <c r="L86" s="20">
        <f>D86+G86+J86</f>
        <v>24339.99</v>
      </c>
      <c r="M86" s="13">
        <f>100-L86*100/K86</f>
        <v>1.969511458375294</v>
      </c>
      <c r="N86" s="4"/>
      <c r="Q86" s="34"/>
    </row>
    <row r="87" spans="1:17" x14ac:dyDescent="0.25">
      <c r="A87" s="23" t="s">
        <v>131</v>
      </c>
      <c r="B87" s="24">
        <f>2267</f>
        <v>2267</v>
      </c>
      <c r="C87" s="4" t="s">
        <v>238</v>
      </c>
      <c r="D87" s="24">
        <v>1960.32</v>
      </c>
      <c r="E87" s="24">
        <f>2000+2000</f>
        <v>4000</v>
      </c>
      <c r="F87" s="4" t="s">
        <v>212</v>
      </c>
      <c r="G87" s="27">
        <v>3241.16</v>
      </c>
      <c r="H87" s="24"/>
      <c r="I87" s="4"/>
      <c r="J87" s="24"/>
      <c r="K87" s="20">
        <f t="shared" si="11"/>
        <v>6267</v>
      </c>
      <c r="L87" s="20">
        <f>D87+G87+J87</f>
        <v>5201.4799999999996</v>
      </c>
      <c r="M87" s="13">
        <f t="shared" si="9"/>
        <v>17.002074357746935</v>
      </c>
      <c r="N87" s="4"/>
      <c r="Q87" s="34"/>
    </row>
    <row r="88" spans="1:17" x14ac:dyDescent="0.25">
      <c r="A88" s="23" t="s">
        <v>132</v>
      </c>
      <c r="B88" s="47"/>
      <c r="C88" s="4"/>
      <c r="D88" s="24"/>
      <c r="E88" s="24"/>
      <c r="F88" s="4"/>
      <c r="G88" s="24"/>
      <c r="H88" s="24"/>
      <c r="I88" s="4"/>
      <c r="J88" s="24"/>
      <c r="K88" s="20">
        <f t="shared" si="11"/>
        <v>0</v>
      </c>
      <c r="L88" s="20">
        <f t="shared" si="8"/>
        <v>0</v>
      </c>
      <c r="M88" s="14" t="e">
        <f>100-L88*100/K88</f>
        <v>#DIV/0!</v>
      </c>
      <c r="N88" s="4"/>
      <c r="Q88" s="34"/>
    </row>
    <row r="89" spans="1:17" x14ac:dyDescent="0.25">
      <c r="A89" s="23" t="s">
        <v>133</v>
      </c>
      <c r="B89" s="24">
        <f>4821+6432+12872</f>
        <v>24125</v>
      </c>
      <c r="C89" s="4" t="s">
        <v>238</v>
      </c>
      <c r="D89" s="24">
        <v>22094.82</v>
      </c>
      <c r="E89" s="24">
        <v>22106</v>
      </c>
      <c r="F89" s="4" t="s">
        <v>212</v>
      </c>
      <c r="G89" s="24">
        <v>22106</v>
      </c>
      <c r="H89" s="24"/>
      <c r="I89" s="4"/>
      <c r="J89" s="24"/>
      <c r="K89" s="20">
        <f t="shared" si="11"/>
        <v>46231</v>
      </c>
      <c r="L89" s="20">
        <f>D89+G89+J89</f>
        <v>44200.82</v>
      </c>
      <c r="M89" s="13">
        <f t="shared" si="9"/>
        <v>4.3913824057450626</v>
      </c>
      <c r="N89" s="4"/>
      <c r="Q89" s="34"/>
    </row>
    <row r="90" spans="1:17" x14ac:dyDescent="0.25">
      <c r="A90" s="23" t="s">
        <v>134</v>
      </c>
      <c r="B90" s="24">
        <v>12152</v>
      </c>
      <c r="C90" s="4" t="s">
        <v>238</v>
      </c>
      <c r="D90" s="24">
        <v>7695.49</v>
      </c>
      <c r="E90" s="24">
        <f>3715+3715</f>
        <v>7430</v>
      </c>
      <c r="F90" s="4" t="s">
        <v>212</v>
      </c>
      <c r="G90" s="24">
        <f>3103*2</f>
        <v>6206</v>
      </c>
      <c r="H90" s="24"/>
      <c r="I90" s="4"/>
      <c r="J90" s="24"/>
      <c r="K90" s="20">
        <f t="shared" si="11"/>
        <v>19582</v>
      </c>
      <c r="L90" s="20">
        <f t="shared" si="8"/>
        <v>13901.49</v>
      </c>
      <c r="M90" s="13">
        <f t="shared" si="9"/>
        <v>29.008834644060869</v>
      </c>
      <c r="N90" s="4"/>
      <c r="Q90" s="34"/>
    </row>
    <row r="91" spans="1:17" x14ac:dyDescent="0.25">
      <c r="A91" s="23" t="s">
        <v>135</v>
      </c>
      <c r="B91" s="24">
        <v>12152</v>
      </c>
      <c r="C91" s="4" t="s">
        <v>238</v>
      </c>
      <c r="D91" s="24">
        <v>7695.49</v>
      </c>
      <c r="E91" s="24">
        <f>3715+3715</f>
        <v>7430</v>
      </c>
      <c r="F91" s="4" t="s">
        <v>212</v>
      </c>
      <c r="G91" s="24">
        <f>3103*2</f>
        <v>6206</v>
      </c>
      <c r="H91" s="24"/>
      <c r="I91" s="4"/>
      <c r="J91" s="24"/>
      <c r="K91" s="20">
        <f t="shared" si="11"/>
        <v>19582</v>
      </c>
      <c r="L91" s="20">
        <f t="shared" ref="L91:L104" si="13">D91+G91+J91</f>
        <v>13901.49</v>
      </c>
      <c r="M91" s="13">
        <f t="shared" si="9"/>
        <v>29.008834644060869</v>
      </c>
      <c r="N91" s="4"/>
      <c r="Q91" s="34"/>
    </row>
    <row r="92" spans="1:17" x14ac:dyDescent="0.25">
      <c r="A92" s="23" t="s">
        <v>140</v>
      </c>
      <c r="B92" s="24">
        <v>1911</v>
      </c>
      <c r="C92" s="4" t="s">
        <v>238</v>
      </c>
      <c r="D92" s="24">
        <v>331.61</v>
      </c>
      <c r="E92" s="24">
        <f>1500</f>
        <v>1500</v>
      </c>
      <c r="F92" s="4" t="s">
        <v>212</v>
      </c>
      <c r="G92" s="24">
        <f>329*2</f>
        <v>658</v>
      </c>
      <c r="H92" s="24"/>
      <c r="I92" s="4"/>
      <c r="J92" s="24"/>
      <c r="K92" s="20">
        <f t="shared" si="11"/>
        <v>3411</v>
      </c>
      <c r="L92" s="20">
        <f t="shared" si="13"/>
        <v>989.61</v>
      </c>
      <c r="M92" s="14">
        <f t="shared" si="9"/>
        <v>70.987686895338612</v>
      </c>
      <c r="N92" s="4"/>
      <c r="Q92" s="34"/>
    </row>
    <row r="93" spans="1:17" x14ac:dyDescent="0.25">
      <c r="A93" s="23" t="s">
        <v>141</v>
      </c>
      <c r="B93" s="26">
        <f>11272+5638</f>
        <v>16910</v>
      </c>
      <c r="C93" s="4" t="s">
        <v>238</v>
      </c>
      <c r="D93" s="24">
        <f>9234.58+4827.1</f>
        <v>14061.68</v>
      </c>
      <c r="E93" s="24">
        <f>2690+5018+3820</f>
        <v>11528</v>
      </c>
      <c r="F93" s="4" t="s">
        <v>212</v>
      </c>
      <c r="G93" s="24">
        <f>2772+3622+3356</f>
        <v>9750</v>
      </c>
      <c r="H93" s="24"/>
      <c r="I93" s="4"/>
      <c r="J93" s="24"/>
      <c r="K93" s="20">
        <f t="shared" si="11"/>
        <v>28438</v>
      </c>
      <c r="L93" s="20">
        <f t="shared" si="13"/>
        <v>23811.68</v>
      </c>
      <c r="M93" s="13">
        <f t="shared" si="9"/>
        <v>16.268091989591397</v>
      </c>
      <c r="N93" s="4" t="s">
        <v>430</v>
      </c>
      <c r="Q93" s="34"/>
    </row>
    <row r="94" spans="1:17" x14ac:dyDescent="0.25">
      <c r="A94" s="23" t="s">
        <v>142</v>
      </c>
      <c r="B94" s="26">
        <f>11272+5638</f>
        <v>16910</v>
      </c>
      <c r="C94" s="4" t="s">
        <v>238</v>
      </c>
      <c r="D94" s="24">
        <f>9234.58+4827.1</f>
        <v>14061.68</v>
      </c>
      <c r="E94" s="24">
        <f>2690+5018+3820</f>
        <v>11528</v>
      </c>
      <c r="F94" s="4" t="s">
        <v>212</v>
      </c>
      <c r="G94" s="24">
        <f>2772+3622+3356</f>
        <v>9750</v>
      </c>
      <c r="H94" s="24"/>
      <c r="I94" s="4"/>
      <c r="J94" s="24"/>
      <c r="K94" s="20">
        <f t="shared" si="11"/>
        <v>28438</v>
      </c>
      <c r="L94" s="20">
        <f t="shared" si="13"/>
        <v>23811.68</v>
      </c>
      <c r="M94" s="13">
        <f t="shared" si="9"/>
        <v>16.268091989591397</v>
      </c>
      <c r="N94" s="4" t="s">
        <v>430</v>
      </c>
      <c r="Q94" s="34"/>
    </row>
    <row r="95" spans="1:17" x14ac:dyDescent="0.25">
      <c r="A95" s="23" t="s">
        <v>143</v>
      </c>
      <c r="B95" s="26">
        <f>11524</f>
        <v>11524</v>
      </c>
      <c r="C95" s="4" t="s">
        <v>238</v>
      </c>
      <c r="D95" s="24">
        <f>10373.49+50.29</f>
        <v>10423.780000000001</v>
      </c>
      <c r="E95" s="24">
        <f>11732+11732</f>
        <v>23464</v>
      </c>
      <c r="F95" s="4" t="s">
        <v>212</v>
      </c>
      <c r="G95" s="24">
        <v>29522.46</v>
      </c>
      <c r="H95" s="24"/>
      <c r="I95" s="4"/>
      <c r="J95" s="24"/>
      <c r="K95" s="20">
        <f t="shared" si="11"/>
        <v>34988</v>
      </c>
      <c r="L95" s="20">
        <f t="shared" si="13"/>
        <v>39946.239999999998</v>
      </c>
      <c r="M95" s="13">
        <f t="shared" si="9"/>
        <v>-14.171258717274497</v>
      </c>
      <c r="N95" s="4" t="s">
        <v>432</v>
      </c>
      <c r="Q95" s="34"/>
    </row>
    <row r="96" spans="1:17" x14ac:dyDescent="0.25">
      <c r="A96" s="23" t="s">
        <v>149</v>
      </c>
      <c r="B96" s="26">
        <f>26770</f>
        <v>26770</v>
      </c>
      <c r="C96" s="4" t="s">
        <v>238</v>
      </c>
      <c r="D96" s="24">
        <v>16437.91</v>
      </c>
      <c r="E96" s="24">
        <f>15000+15000</f>
        <v>30000</v>
      </c>
      <c r="F96" s="4" t="s">
        <v>212</v>
      </c>
      <c r="G96" s="24">
        <v>22453.18</v>
      </c>
      <c r="H96" s="24"/>
      <c r="I96" s="4"/>
      <c r="J96" s="24"/>
      <c r="K96" s="20">
        <f t="shared" si="11"/>
        <v>56770</v>
      </c>
      <c r="L96" s="20">
        <f t="shared" si="13"/>
        <v>38891.089999999997</v>
      </c>
      <c r="M96" s="13">
        <f t="shared" si="9"/>
        <v>31.493588162762023</v>
      </c>
      <c r="N96" s="4"/>
      <c r="Q96" s="34"/>
    </row>
    <row r="97" spans="1:17" x14ac:dyDescent="0.25">
      <c r="A97" s="23" t="s">
        <v>150</v>
      </c>
      <c r="B97" s="26">
        <f>684+684</f>
        <v>1368</v>
      </c>
      <c r="C97" s="4" t="s">
        <v>238</v>
      </c>
      <c r="D97" s="24">
        <v>1120.08</v>
      </c>
      <c r="E97" s="24">
        <f>1050+1050</f>
        <v>2100</v>
      </c>
      <c r="F97" s="4" t="s">
        <v>212</v>
      </c>
      <c r="G97" s="24">
        <v>2464.02</v>
      </c>
      <c r="H97" s="24">
        <v>6700</v>
      </c>
      <c r="I97" s="4" t="s">
        <v>431</v>
      </c>
      <c r="J97" s="24">
        <v>5688</v>
      </c>
      <c r="K97" s="20">
        <f t="shared" si="11"/>
        <v>10168</v>
      </c>
      <c r="L97" s="20">
        <f t="shared" si="13"/>
        <v>9272.1</v>
      </c>
      <c r="M97" s="13">
        <f t="shared" si="9"/>
        <v>8.8109756097560989</v>
      </c>
      <c r="N97" s="4"/>
      <c r="Q97" s="34"/>
    </row>
    <row r="98" spans="1:17" x14ac:dyDescent="0.25">
      <c r="A98" s="23" t="s">
        <v>151</v>
      </c>
      <c r="B98" s="26">
        <f>684+684</f>
        <v>1368</v>
      </c>
      <c r="C98" s="4" t="s">
        <v>238</v>
      </c>
      <c r="D98" s="24">
        <v>700.04</v>
      </c>
      <c r="E98" s="24">
        <v>540</v>
      </c>
      <c r="F98" s="4" t="s">
        <v>212</v>
      </c>
      <c r="G98" s="24">
        <v>1650.05</v>
      </c>
      <c r="H98" s="24"/>
      <c r="I98" s="4"/>
      <c r="J98" s="24"/>
      <c r="K98" s="20">
        <f t="shared" si="11"/>
        <v>1908</v>
      </c>
      <c r="L98" s="20">
        <f t="shared" si="13"/>
        <v>2350.09</v>
      </c>
      <c r="M98" s="13">
        <f t="shared" si="9"/>
        <v>-23.170335429769395</v>
      </c>
      <c r="N98" s="4"/>
      <c r="Q98" s="34"/>
    </row>
    <row r="99" spans="1:17" x14ac:dyDescent="0.25">
      <c r="A99" s="23" t="s">
        <v>152</v>
      </c>
      <c r="B99" s="26">
        <f>6822+4264+5991</f>
        <v>17077</v>
      </c>
      <c r="C99" s="4" t="s">
        <v>238</v>
      </c>
      <c r="D99" s="24">
        <f>5889.48+5394.59+2245.53+5394.59</f>
        <v>18924.190000000002</v>
      </c>
      <c r="E99" s="26">
        <f>9000</f>
        <v>9000</v>
      </c>
      <c r="F99" s="4" t="s">
        <v>212</v>
      </c>
      <c r="G99" s="24">
        <v>9204</v>
      </c>
      <c r="H99" s="24"/>
      <c r="I99" s="4"/>
      <c r="J99" s="24"/>
      <c r="K99" s="20">
        <f t="shared" si="11"/>
        <v>26077</v>
      </c>
      <c r="L99" s="20">
        <f t="shared" si="13"/>
        <v>28128.190000000002</v>
      </c>
      <c r="M99" s="13">
        <f t="shared" si="9"/>
        <v>-7.8658971507458659</v>
      </c>
      <c r="N99" s="4"/>
      <c r="Q99" s="34"/>
    </row>
    <row r="100" spans="1:17" x14ac:dyDescent="0.25">
      <c r="A100" s="23" t="s">
        <v>153</v>
      </c>
      <c r="B100" s="26">
        <f>5639+9289+5024</f>
        <v>19952</v>
      </c>
      <c r="C100" s="4" t="s">
        <v>238</v>
      </c>
      <c r="D100" s="24">
        <f>7553.31+4628.09+3874.5</f>
        <v>16055.900000000001</v>
      </c>
      <c r="E100" s="26"/>
      <c r="F100" s="4"/>
      <c r="G100" s="27"/>
      <c r="H100" s="24"/>
      <c r="I100" s="4"/>
      <c r="J100" s="24"/>
      <c r="K100" s="20">
        <f t="shared" si="11"/>
        <v>19952</v>
      </c>
      <c r="L100" s="20">
        <f t="shared" si="13"/>
        <v>16055.900000000001</v>
      </c>
      <c r="M100" s="13">
        <f t="shared" si="9"/>
        <v>19.527365677626292</v>
      </c>
      <c r="N100" s="4"/>
      <c r="Q100" s="34"/>
    </row>
    <row r="101" spans="1:17" x14ac:dyDescent="0.25">
      <c r="A101" s="23" t="s">
        <v>154</v>
      </c>
      <c r="B101" s="26">
        <f>2779</f>
        <v>2779</v>
      </c>
      <c r="C101" s="4" t="s">
        <v>238</v>
      </c>
      <c r="D101" s="24">
        <f>1369.9</f>
        <v>1369.9</v>
      </c>
      <c r="E101" s="26">
        <f>2065</f>
        <v>2065</v>
      </c>
      <c r="F101" s="4" t="s">
        <v>212</v>
      </c>
      <c r="G101" s="27">
        <v>1440</v>
      </c>
      <c r="H101" s="24">
        <f>3500+3750</f>
        <v>7250</v>
      </c>
      <c r="I101" s="4" t="s">
        <v>352</v>
      </c>
      <c r="J101" s="24"/>
      <c r="K101" s="20">
        <f t="shared" si="11"/>
        <v>12094</v>
      </c>
      <c r="L101" s="20">
        <f t="shared" si="13"/>
        <v>2809.9</v>
      </c>
      <c r="M101" s="13">
        <f t="shared" si="9"/>
        <v>76.766165040515958</v>
      </c>
      <c r="N101" s="4"/>
      <c r="Q101" s="34"/>
    </row>
    <row r="102" spans="1:17" x14ac:dyDescent="0.25">
      <c r="A102" s="23" t="s">
        <v>158</v>
      </c>
      <c r="B102" s="26">
        <f>684</f>
        <v>684</v>
      </c>
      <c r="C102" s="4" t="s">
        <v>238</v>
      </c>
      <c r="D102" s="24">
        <v>551.53330000000005</v>
      </c>
      <c r="E102" s="26">
        <f>734+734</f>
        <v>1468</v>
      </c>
      <c r="F102" s="4" t="s">
        <v>212</v>
      </c>
      <c r="G102" s="27">
        <f>2*465</f>
        <v>930</v>
      </c>
      <c r="H102" s="24"/>
      <c r="I102" s="4"/>
      <c r="J102" s="24"/>
      <c r="K102" s="20">
        <f t="shared" si="11"/>
        <v>2152</v>
      </c>
      <c r="L102" s="20">
        <f t="shared" si="13"/>
        <v>1481.5333000000001</v>
      </c>
      <c r="M102" s="13">
        <f t="shared" si="9"/>
        <v>31.155515799256492</v>
      </c>
      <c r="N102" s="4"/>
      <c r="Q102" s="34"/>
    </row>
    <row r="103" spans="1:17" x14ac:dyDescent="0.25">
      <c r="A103" s="23" t="s">
        <v>159</v>
      </c>
      <c r="B103" s="26">
        <f>1069</f>
        <v>1069</v>
      </c>
      <c r="C103" s="4" t="s">
        <v>238</v>
      </c>
      <c r="D103" s="24">
        <v>936.7</v>
      </c>
      <c r="E103" s="26">
        <f>1070+1070</f>
        <v>2140</v>
      </c>
      <c r="F103" s="4" t="s">
        <v>212</v>
      </c>
      <c r="G103" s="27">
        <f>2*880</f>
        <v>1760</v>
      </c>
      <c r="H103" s="24"/>
      <c r="I103" s="4"/>
      <c r="J103" s="24"/>
      <c r="K103" s="20">
        <f t="shared" si="11"/>
        <v>3209</v>
      </c>
      <c r="L103" s="20">
        <f t="shared" si="13"/>
        <v>2696.7</v>
      </c>
      <c r="M103" s="13">
        <f t="shared" si="9"/>
        <v>15.964474914303523</v>
      </c>
      <c r="N103" s="4"/>
      <c r="Q103" s="34"/>
    </row>
    <row r="104" spans="1:17" x14ac:dyDescent="0.25">
      <c r="A104" s="23" t="s">
        <v>160</v>
      </c>
      <c r="B104" s="26">
        <f>684</f>
        <v>684</v>
      </c>
      <c r="C104" s="4" t="s">
        <v>238</v>
      </c>
      <c r="D104" s="24">
        <v>551.53330000000005</v>
      </c>
      <c r="E104" s="26">
        <f>734+734</f>
        <v>1468</v>
      </c>
      <c r="F104" s="4" t="s">
        <v>212</v>
      </c>
      <c r="G104" s="27">
        <f>2*465</f>
        <v>930</v>
      </c>
      <c r="H104" s="24"/>
      <c r="I104" s="4"/>
      <c r="J104" s="24"/>
      <c r="K104" s="20">
        <f t="shared" si="11"/>
        <v>2152</v>
      </c>
      <c r="L104" s="20">
        <f t="shared" si="13"/>
        <v>1481.5333000000001</v>
      </c>
      <c r="M104" s="13">
        <f t="shared" si="9"/>
        <v>31.155515799256492</v>
      </c>
      <c r="N104" s="4"/>
      <c r="Q104" s="34"/>
    </row>
    <row r="105" spans="1:17" x14ac:dyDescent="0.25">
      <c r="A105" s="23" t="s">
        <v>161</v>
      </c>
      <c r="B105" s="26">
        <f>684</f>
        <v>684</v>
      </c>
      <c r="C105" s="4" t="s">
        <v>238</v>
      </c>
      <c r="D105" s="24">
        <v>551.53330000000005</v>
      </c>
      <c r="E105" s="26">
        <f>734+734</f>
        <v>1468</v>
      </c>
      <c r="F105" s="4" t="s">
        <v>212</v>
      </c>
      <c r="G105" s="27">
        <f>2*465</f>
        <v>930</v>
      </c>
      <c r="H105" s="24"/>
      <c r="I105" s="4"/>
      <c r="J105" s="24"/>
      <c r="K105" s="20">
        <f t="shared" si="11"/>
        <v>2152</v>
      </c>
      <c r="L105" s="20">
        <f t="shared" si="8"/>
        <v>1481.5333000000001</v>
      </c>
      <c r="M105" s="13">
        <f t="shared" si="9"/>
        <v>31.155515799256492</v>
      </c>
      <c r="N105" s="4"/>
      <c r="Q105" s="34"/>
    </row>
    <row r="106" spans="1:17" x14ac:dyDescent="0.25">
      <c r="A106" s="23" t="s">
        <v>162</v>
      </c>
      <c r="B106" s="26">
        <f>1911</f>
        <v>1911</v>
      </c>
      <c r="C106" s="4" t="s">
        <v>433</v>
      </c>
      <c r="D106" s="24">
        <v>480</v>
      </c>
      <c r="E106" s="26">
        <f>447+447</f>
        <v>894</v>
      </c>
      <c r="F106" s="4" t="s">
        <v>212</v>
      </c>
      <c r="G106" s="27">
        <f>2*278</f>
        <v>556</v>
      </c>
      <c r="H106" s="24"/>
      <c r="I106" s="4"/>
      <c r="J106" s="24"/>
      <c r="K106" s="20">
        <f t="shared" si="11"/>
        <v>2805</v>
      </c>
      <c r="L106" s="20">
        <f t="shared" si="8"/>
        <v>1036</v>
      </c>
      <c r="M106" s="13">
        <f t="shared" si="9"/>
        <v>63.065953654188945</v>
      </c>
      <c r="N106" s="4"/>
      <c r="Q106" s="34"/>
    </row>
    <row r="107" spans="1:17" x14ac:dyDescent="0.25">
      <c r="A107" s="23" t="s">
        <v>163</v>
      </c>
      <c r="B107" s="26">
        <f>1911</f>
        <v>1911</v>
      </c>
      <c r="C107" s="4" t="s">
        <v>238</v>
      </c>
      <c r="D107" s="24">
        <f>3528.58*0.2</f>
        <v>705.71600000000001</v>
      </c>
      <c r="E107" s="26">
        <f>383+383</f>
        <v>766</v>
      </c>
      <c r="F107" s="4" t="s">
        <v>212</v>
      </c>
      <c r="G107" s="27">
        <f>232*2</f>
        <v>464</v>
      </c>
      <c r="H107" s="24">
        <v>2700</v>
      </c>
      <c r="I107" s="4" t="s">
        <v>431</v>
      </c>
      <c r="J107" s="24">
        <v>2172</v>
      </c>
      <c r="K107" s="20">
        <f t="shared" si="11"/>
        <v>5377</v>
      </c>
      <c r="L107" s="20">
        <f t="shared" si="8"/>
        <v>3341.7159999999999</v>
      </c>
      <c r="M107" s="13">
        <f t="shared" si="9"/>
        <v>37.851664496931377</v>
      </c>
      <c r="N107" s="4"/>
      <c r="Q107" s="34"/>
    </row>
    <row r="108" spans="1:17" x14ac:dyDescent="0.25">
      <c r="A108" s="23" t="s">
        <v>164</v>
      </c>
      <c r="B108" s="26">
        <f>1911</f>
        <v>1911</v>
      </c>
      <c r="C108" s="4" t="s">
        <v>238</v>
      </c>
      <c r="D108" s="24">
        <f>3528.58*0.2</f>
        <v>705.71600000000001</v>
      </c>
      <c r="E108" s="26">
        <f>383</f>
        <v>383</v>
      </c>
      <c r="F108" s="4" t="s">
        <v>212</v>
      </c>
      <c r="G108" s="27">
        <v>232</v>
      </c>
      <c r="H108" s="24"/>
      <c r="I108" s="4"/>
      <c r="J108" s="24"/>
      <c r="K108" s="20">
        <f t="shared" si="11"/>
        <v>2294</v>
      </c>
      <c r="L108" s="20">
        <f t="shared" si="8"/>
        <v>937.71600000000001</v>
      </c>
      <c r="M108" s="13">
        <f t="shared" si="9"/>
        <v>59.123103748910196</v>
      </c>
      <c r="N108" s="4"/>
      <c r="Q108" s="34"/>
    </row>
    <row r="109" spans="1:17" x14ac:dyDescent="0.25">
      <c r="A109" s="23" t="s">
        <v>172</v>
      </c>
      <c r="B109" s="26">
        <f>1911</f>
        <v>1911</v>
      </c>
      <c r="C109" s="4" t="s">
        <v>238</v>
      </c>
      <c r="D109" s="24">
        <f>(4451.56*0.25)</f>
        <v>1112.8900000000001</v>
      </c>
      <c r="E109" s="26">
        <f>842+842</f>
        <v>1684</v>
      </c>
      <c r="F109" s="4" t="s">
        <v>212</v>
      </c>
      <c r="G109" s="27">
        <f>541*2</f>
        <v>1082</v>
      </c>
      <c r="H109" s="24">
        <v>2700</v>
      </c>
      <c r="I109" s="4" t="s">
        <v>431</v>
      </c>
      <c r="J109" s="24">
        <v>2172</v>
      </c>
      <c r="K109" s="20">
        <f t="shared" si="11"/>
        <v>6295</v>
      </c>
      <c r="L109" s="20">
        <f t="shared" si="8"/>
        <v>4366.8900000000003</v>
      </c>
      <c r="M109" s="13">
        <f t="shared" si="9"/>
        <v>30.629229547259726</v>
      </c>
      <c r="N109" s="4"/>
      <c r="Q109" s="34"/>
    </row>
    <row r="110" spans="1:17" x14ac:dyDescent="0.25">
      <c r="A110" s="23" t="s">
        <v>173</v>
      </c>
      <c r="B110" s="26">
        <f>1911</f>
        <v>1911</v>
      </c>
      <c r="C110" s="4" t="s">
        <v>238</v>
      </c>
      <c r="D110" s="24">
        <f>3528.58*0.2</f>
        <v>705.71600000000001</v>
      </c>
      <c r="E110" s="26">
        <f>383</f>
        <v>383</v>
      </c>
      <c r="F110" s="4" t="s">
        <v>212</v>
      </c>
      <c r="G110" s="27">
        <v>232</v>
      </c>
      <c r="H110" s="24"/>
      <c r="I110" s="4"/>
      <c r="J110" s="24"/>
      <c r="K110" s="20">
        <f t="shared" si="11"/>
        <v>2294</v>
      </c>
      <c r="L110" s="20">
        <f t="shared" si="8"/>
        <v>937.71600000000001</v>
      </c>
      <c r="M110" s="13">
        <f t="shared" si="9"/>
        <v>59.123103748910196</v>
      </c>
      <c r="N110" s="4"/>
      <c r="Q110" s="34"/>
    </row>
    <row r="111" spans="1:17" x14ac:dyDescent="0.25">
      <c r="A111" s="23" t="s">
        <v>174</v>
      </c>
      <c r="B111" s="26">
        <f>3524</f>
        <v>3524</v>
      </c>
      <c r="C111" s="4" t="s">
        <v>238</v>
      </c>
      <c r="D111" s="24">
        <v>3368.2</v>
      </c>
      <c r="E111" s="26">
        <f>2230+2230</f>
        <v>4460</v>
      </c>
      <c r="F111" s="4" t="s">
        <v>212</v>
      </c>
      <c r="G111" s="27">
        <f>1600*2</f>
        <v>3200</v>
      </c>
      <c r="H111" s="24"/>
      <c r="I111" s="4"/>
      <c r="J111" s="24"/>
      <c r="K111" s="20">
        <f t="shared" si="11"/>
        <v>7984</v>
      </c>
      <c r="L111" s="20">
        <f t="shared" si="8"/>
        <v>6568.2</v>
      </c>
      <c r="M111" s="13">
        <f t="shared" si="9"/>
        <v>17.732965931863731</v>
      </c>
      <c r="N111" s="4"/>
      <c r="Q111" s="34"/>
    </row>
    <row r="112" spans="1:17" x14ac:dyDescent="0.25">
      <c r="A112" s="23" t="s">
        <v>183</v>
      </c>
      <c r="B112" s="26">
        <f>1911</f>
        <v>1911</v>
      </c>
      <c r="C112" s="4" t="s">
        <v>238</v>
      </c>
      <c r="D112" s="24">
        <v>915.82</v>
      </c>
      <c r="E112" s="26">
        <f>842+842</f>
        <v>1684</v>
      </c>
      <c r="F112" s="4" t="s">
        <v>212</v>
      </c>
      <c r="G112" s="27">
        <f>541*2</f>
        <v>1082</v>
      </c>
      <c r="H112" s="24"/>
      <c r="I112" s="4"/>
      <c r="J112" s="24"/>
      <c r="K112" s="20">
        <f t="shared" si="11"/>
        <v>3595</v>
      </c>
      <c r="L112" s="20">
        <f t="shared" si="8"/>
        <v>1997.8200000000002</v>
      </c>
      <c r="M112" s="13">
        <f t="shared" si="9"/>
        <v>44.427816411682883</v>
      </c>
      <c r="N112" s="4"/>
      <c r="Q112" s="34"/>
    </row>
    <row r="113" spans="1:17" x14ac:dyDescent="0.25">
      <c r="A113" s="23" t="s">
        <v>184</v>
      </c>
      <c r="B113" s="26">
        <f>2818+2818+1225</f>
        <v>6861</v>
      </c>
      <c r="C113" s="4" t="s">
        <v>238</v>
      </c>
      <c r="D113" s="24">
        <f>(4451.56*0.75)+(3528.58*0.4)+2645.57</f>
        <v>7395.6720000000005</v>
      </c>
      <c r="E113" s="26">
        <f>4775</f>
        <v>4775</v>
      </c>
      <c r="F113" s="4" t="s">
        <v>212</v>
      </c>
      <c r="G113" s="27">
        <f>7804.51</f>
        <v>7804.51</v>
      </c>
      <c r="H113" s="24"/>
      <c r="I113" s="4"/>
      <c r="J113" s="24"/>
      <c r="K113" s="20">
        <f t="shared" si="11"/>
        <v>11636</v>
      </c>
      <c r="L113" s="20">
        <f>D113+G113+J113</f>
        <v>15200.182000000001</v>
      </c>
      <c r="M113" s="13">
        <f t="shared" si="9"/>
        <v>-30.630646270195967</v>
      </c>
      <c r="N113" s="4" t="s">
        <v>434</v>
      </c>
      <c r="Q113" s="34"/>
    </row>
    <row r="114" spans="1:17" x14ac:dyDescent="0.25">
      <c r="A114" s="23" t="s">
        <v>185</v>
      </c>
      <c r="B114" s="24">
        <f>1420+1893+31329+6160</f>
        <v>40802</v>
      </c>
      <c r="C114" s="4" t="s">
        <v>270</v>
      </c>
      <c r="D114" s="24">
        <f>146471.06/4</f>
        <v>36617.764999999999</v>
      </c>
      <c r="E114" s="24"/>
      <c r="F114" s="4"/>
      <c r="G114" s="27"/>
      <c r="H114" s="24">
        <f>13080</f>
        <v>13080</v>
      </c>
      <c r="I114" s="4" t="s">
        <v>236</v>
      </c>
      <c r="J114" s="24">
        <f>12350+557.5</f>
        <v>12907.5</v>
      </c>
      <c r="K114" s="20">
        <f t="shared" si="11"/>
        <v>53882</v>
      </c>
      <c r="L114" s="20">
        <f>D114+G114+J114</f>
        <v>49525.264999999999</v>
      </c>
      <c r="M114" s="13">
        <f t="shared" si="9"/>
        <v>8.0856965220296217</v>
      </c>
      <c r="N114" s="4"/>
      <c r="Q114" s="34"/>
    </row>
    <row r="115" spans="1:17" x14ac:dyDescent="0.25">
      <c r="A115" s="23" t="s">
        <v>288</v>
      </c>
      <c r="B115" s="24">
        <f>1420+1893+31329+6160</f>
        <v>40802</v>
      </c>
      <c r="C115" s="4" t="s">
        <v>270</v>
      </c>
      <c r="D115" s="24">
        <f t="shared" ref="D115:D117" si="14">146471.06/4</f>
        <v>36617.764999999999</v>
      </c>
      <c r="E115" s="24"/>
      <c r="F115" s="4"/>
      <c r="G115" s="27"/>
      <c r="H115" s="24">
        <f>13080</f>
        <v>13080</v>
      </c>
      <c r="I115" s="4" t="s">
        <v>236</v>
      </c>
      <c r="J115" s="24">
        <f>12350+557.5</f>
        <v>12907.5</v>
      </c>
      <c r="K115" s="20">
        <f t="shared" si="11"/>
        <v>53882</v>
      </c>
      <c r="L115" s="20">
        <f>D115+G115+J115</f>
        <v>49525.264999999999</v>
      </c>
      <c r="M115" s="13">
        <f t="shared" si="9"/>
        <v>8.0856965220296217</v>
      </c>
      <c r="N115" s="4"/>
      <c r="Q115" s="34"/>
    </row>
    <row r="116" spans="1:17" x14ac:dyDescent="0.25">
      <c r="A116" s="23" t="s">
        <v>289</v>
      </c>
      <c r="B116" s="24">
        <f>1420+1893+31329+6160</f>
        <v>40802</v>
      </c>
      <c r="C116" s="4" t="s">
        <v>270</v>
      </c>
      <c r="D116" s="24">
        <f t="shared" si="14"/>
        <v>36617.764999999999</v>
      </c>
      <c r="E116" s="24"/>
      <c r="F116" s="4"/>
      <c r="G116" s="27"/>
      <c r="H116" s="24">
        <f>13080</f>
        <v>13080</v>
      </c>
      <c r="I116" s="4" t="s">
        <v>236</v>
      </c>
      <c r="J116" s="24">
        <f>12350+557.5</f>
        <v>12907.5</v>
      </c>
      <c r="K116" s="20">
        <f t="shared" si="11"/>
        <v>53882</v>
      </c>
      <c r="L116" s="20">
        <f t="shared" si="8"/>
        <v>49525.264999999999</v>
      </c>
      <c r="M116" s="13">
        <f t="shared" si="9"/>
        <v>8.0856965220296217</v>
      </c>
      <c r="N116" s="4"/>
      <c r="Q116" s="34"/>
    </row>
    <row r="117" spans="1:17" x14ac:dyDescent="0.25">
      <c r="A117" s="23" t="s">
        <v>290</v>
      </c>
      <c r="B117" s="24">
        <f>1420+1893+31329+6160</f>
        <v>40802</v>
      </c>
      <c r="C117" s="4" t="s">
        <v>270</v>
      </c>
      <c r="D117" s="24">
        <f t="shared" si="14"/>
        <v>36617.764999999999</v>
      </c>
      <c r="E117" s="24"/>
      <c r="F117" s="4"/>
      <c r="G117" s="27"/>
      <c r="H117" s="24">
        <f>13080</f>
        <v>13080</v>
      </c>
      <c r="I117" s="4" t="s">
        <v>236</v>
      </c>
      <c r="J117" s="24">
        <f>12350+557.5</f>
        <v>12907.5</v>
      </c>
      <c r="K117" s="20">
        <f t="shared" si="11"/>
        <v>53882</v>
      </c>
      <c r="L117" s="20">
        <f t="shared" si="8"/>
        <v>49525.264999999999</v>
      </c>
      <c r="M117" s="13">
        <f t="shared" si="9"/>
        <v>8.0856965220296217</v>
      </c>
      <c r="N117" s="4"/>
      <c r="Q117" s="34"/>
    </row>
    <row r="118" spans="1:17" x14ac:dyDescent="0.25">
      <c r="A118" s="23" t="s">
        <v>291</v>
      </c>
      <c r="B118" s="47"/>
      <c r="C118" s="4"/>
      <c r="D118" s="24"/>
      <c r="E118" s="24"/>
      <c r="F118" s="4"/>
      <c r="G118" s="27"/>
      <c r="H118" s="24"/>
      <c r="I118" s="4"/>
      <c r="J118" s="24"/>
      <c r="K118" s="20">
        <f t="shared" si="11"/>
        <v>0</v>
      </c>
      <c r="L118" s="20">
        <f t="shared" si="8"/>
        <v>0</v>
      </c>
      <c r="M118" s="13" t="e">
        <f t="shared" si="9"/>
        <v>#DIV/0!</v>
      </c>
      <c r="N118" s="4"/>
      <c r="Q118" s="34"/>
    </row>
    <row r="119" spans="1:17" x14ac:dyDescent="0.25">
      <c r="A119" s="23" t="s">
        <v>292</v>
      </c>
      <c r="B119" s="24">
        <f>1004+1338+2677+13385+1024+1366</f>
        <v>20794</v>
      </c>
      <c r="C119" s="4" t="s">
        <v>270</v>
      </c>
      <c r="D119" s="24"/>
      <c r="E119" s="24"/>
      <c r="F119" s="4"/>
      <c r="G119" s="27"/>
      <c r="H119" s="24"/>
      <c r="I119" s="4"/>
      <c r="J119" s="24"/>
      <c r="K119" s="20">
        <f t="shared" si="11"/>
        <v>20794</v>
      </c>
      <c r="L119" s="20">
        <f>D119+G119+J119</f>
        <v>0</v>
      </c>
      <c r="M119" s="13">
        <f t="shared" si="9"/>
        <v>100</v>
      </c>
      <c r="N119" s="4"/>
      <c r="Q119" s="34"/>
    </row>
    <row r="120" spans="1:17" ht="15.75" customHeight="1" x14ac:dyDescent="0.25">
      <c r="A120" s="23" t="s">
        <v>293</v>
      </c>
      <c r="B120" s="24">
        <f>285+380+7721+285+380</f>
        <v>9051</v>
      </c>
      <c r="C120" s="4" t="s">
        <v>270</v>
      </c>
      <c r="D120" s="24">
        <v>10317</v>
      </c>
      <c r="E120" s="24"/>
      <c r="F120" s="4"/>
      <c r="G120" s="27"/>
      <c r="H120" s="24"/>
      <c r="I120" s="4"/>
      <c r="J120" s="24"/>
      <c r="K120" s="20">
        <f t="shared" si="11"/>
        <v>9051</v>
      </c>
      <c r="L120" s="20">
        <f>D120+G120+J120</f>
        <v>10317</v>
      </c>
      <c r="M120" s="13">
        <f t="shared" si="9"/>
        <v>-13.987404706662247</v>
      </c>
      <c r="N120" s="4" t="s">
        <v>435</v>
      </c>
      <c r="Q120" s="34"/>
    </row>
    <row r="121" spans="1:17" x14ac:dyDescent="0.25">
      <c r="A121" s="23" t="s">
        <v>317</v>
      </c>
      <c r="B121" s="26">
        <f>2623+104+60+4</f>
        <v>2791</v>
      </c>
      <c r="C121" s="4" t="s">
        <v>238</v>
      </c>
      <c r="D121" s="24">
        <v>2645.57</v>
      </c>
      <c r="E121" s="26">
        <f>2475+2475</f>
        <v>4950</v>
      </c>
      <c r="F121" s="4" t="s">
        <v>212</v>
      </c>
      <c r="G121" s="27">
        <v>3564.6</v>
      </c>
      <c r="H121" s="24"/>
      <c r="I121" s="4"/>
      <c r="J121" s="24"/>
      <c r="K121" s="20">
        <f t="shared" si="11"/>
        <v>7741</v>
      </c>
      <c r="L121" s="20">
        <f>D121+G121+J121</f>
        <v>6210.17</v>
      </c>
      <c r="M121" s="13">
        <f t="shared" si="9"/>
        <v>19.775610386255011</v>
      </c>
      <c r="N121" s="4"/>
      <c r="Q121" s="34"/>
    </row>
    <row r="122" spans="1:17" x14ac:dyDescent="0.25">
      <c r="A122" s="23" t="s">
        <v>318</v>
      </c>
      <c r="B122" s="26"/>
      <c r="C122" s="4"/>
      <c r="D122" s="24"/>
      <c r="E122" s="24"/>
      <c r="F122" s="4"/>
      <c r="G122" s="27"/>
      <c r="H122" s="24"/>
      <c r="I122" s="4"/>
      <c r="J122" s="24"/>
      <c r="K122" s="20">
        <f t="shared" ref="K122" si="15">B122+E122+H122</f>
        <v>0</v>
      </c>
      <c r="L122" s="20">
        <f t="shared" si="8"/>
        <v>0</v>
      </c>
      <c r="M122" s="13" t="e">
        <f t="shared" si="9"/>
        <v>#DIV/0!</v>
      </c>
      <c r="N122" s="59"/>
      <c r="Q122" s="34"/>
    </row>
    <row r="123" spans="1:17" x14ac:dyDescent="0.25">
      <c r="A123" s="23" t="s">
        <v>319</v>
      </c>
      <c r="B123" s="26">
        <f>4138+14070+3448</f>
        <v>21656</v>
      </c>
      <c r="C123" s="4" t="s">
        <v>238</v>
      </c>
      <c r="D123" s="24">
        <v>19513.259999999998</v>
      </c>
      <c r="E123" s="24"/>
      <c r="F123" s="4"/>
      <c r="G123" s="27"/>
      <c r="H123" s="24"/>
      <c r="I123" s="4"/>
      <c r="J123" s="24"/>
      <c r="K123" s="20">
        <f t="shared" ref="K123:K134" si="16">B123+E123+H123</f>
        <v>21656</v>
      </c>
      <c r="L123" s="20">
        <f>D123+G123+J123</f>
        <v>19513.259999999998</v>
      </c>
      <c r="M123" s="13">
        <f t="shared" si="9"/>
        <v>9.8944403398596279</v>
      </c>
      <c r="N123" s="59"/>
      <c r="Q123" s="34"/>
    </row>
    <row r="124" spans="1:17" x14ac:dyDescent="0.25">
      <c r="A124" s="23" t="s">
        <v>320</v>
      </c>
      <c r="C124" s="4"/>
      <c r="D124" s="24"/>
      <c r="E124" s="24"/>
      <c r="F124" s="4"/>
      <c r="G124" s="27"/>
      <c r="H124" s="24"/>
      <c r="I124" s="4"/>
      <c r="J124" s="24"/>
      <c r="K124" s="20">
        <f>B129+E124+H124</f>
        <v>0</v>
      </c>
      <c r="L124" s="20">
        <f t="shared" ref="L124" si="17">D124+G124+J124</f>
        <v>0</v>
      </c>
      <c r="M124" s="13" t="e">
        <f t="shared" si="9"/>
        <v>#DIV/0!</v>
      </c>
      <c r="N124" s="4"/>
      <c r="Q124" s="34"/>
    </row>
    <row r="125" spans="1:17" x14ac:dyDescent="0.25">
      <c r="A125" s="23" t="s">
        <v>357</v>
      </c>
      <c r="B125" s="26">
        <f>5354+6425+803+2126</f>
        <v>14708</v>
      </c>
      <c r="C125" s="4" t="s">
        <v>238</v>
      </c>
      <c r="D125" s="26">
        <f>29413.92/2</f>
        <v>14706.96</v>
      </c>
      <c r="E125" s="24"/>
      <c r="F125" s="4"/>
      <c r="G125" s="27"/>
      <c r="H125" s="24"/>
      <c r="I125" s="4"/>
      <c r="J125" s="24"/>
      <c r="K125" s="20">
        <f t="shared" si="16"/>
        <v>14708</v>
      </c>
      <c r="L125" s="20">
        <f t="shared" ref="L125:L134" si="18">D125+G125+J125</f>
        <v>14706.96</v>
      </c>
      <c r="M125" s="13">
        <f t="shared" si="9"/>
        <v>7.0709817786251961E-3</v>
      </c>
      <c r="N125" s="4"/>
      <c r="Q125" s="34"/>
    </row>
    <row r="126" spans="1:17" x14ac:dyDescent="0.25">
      <c r="A126" s="23" t="s">
        <v>358</v>
      </c>
      <c r="B126" s="26">
        <f>5354+6425+803+2126</f>
        <v>14708</v>
      </c>
      <c r="C126" s="4" t="s">
        <v>238</v>
      </c>
      <c r="D126" s="26">
        <f>29413.92/2</f>
        <v>14706.96</v>
      </c>
      <c r="E126" s="24"/>
      <c r="F126" s="4"/>
      <c r="G126" s="27"/>
      <c r="H126" s="24"/>
      <c r="I126" s="4"/>
      <c r="J126" s="24"/>
      <c r="K126" s="20">
        <f t="shared" si="16"/>
        <v>14708</v>
      </c>
      <c r="L126" s="20">
        <f t="shared" si="18"/>
        <v>14706.96</v>
      </c>
      <c r="M126" s="13">
        <f t="shared" si="9"/>
        <v>7.0709817786251961E-3</v>
      </c>
      <c r="N126" s="4"/>
      <c r="Q126" s="34"/>
    </row>
    <row r="127" spans="1:17" x14ac:dyDescent="0.25">
      <c r="A127" s="23" t="s">
        <v>360</v>
      </c>
      <c r="B127" s="26">
        <f>13028</f>
        <v>13028</v>
      </c>
      <c r="C127" s="4" t="s">
        <v>238</v>
      </c>
      <c r="D127" s="24">
        <v>9057.26</v>
      </c>
      <c r="E127" s="26">
        <f>9888</f>
        <v>9888</v>
      </c>
      <c r="F127" s="4" t="s">
        <v>212</v>
      </c>
      <c r="G127" s="27">
        <v>6846</v>
      </c>
      <c r="H127" s="24"/>
      <c r="I127" s="4"/>
      <c r="J127" s="24"/>
      <c r="K127" s="20">
        <f t="shared" si="16"/>
        <v>22916</v>
      </c>
      <c r="L127" s="20">
        <f t="shared" si="18"/>
        <v>15903.26</v>
      </c>
      <c r="M127" s="13">
        <f t="shared" si="9"/>
        <v>30.601937510909409</v>
      </c>
      <c r="N127" s="4"/>
      <c r="Q127" s="34"/>
    </row>
    <row r="128" spans="1:17" x14ac:dyDescent="0.25">
      <c r="A128" s="23" t="s">
        <v>361</v>
      </c>
      <c r="B128" s="26">
        <f>22070</f>
        <v>22070</v>
      </c>
      <c r="C128" s="4" t="s">
        <v>238</v>
      </c>
      <c r="D128" s="24">
        <v>20741.900000000001</v>
      </c>
      <c r="E128" s="26">
        <f>21700+21700</f>
        <v>43400</v>
      </c>
      <c r="F128" s="4" t="s">
        <v>212</v>
      </c>
      <c r="G128" s="27">
        <v>38065.94</v>
      </c>
      <c r="H128" s="24"/>
      <c r="I128" s="4"/>
      <c r="J128" s="24"/>
      <c r="K128" s="20">
        <f t="shared" si="16"/>
        <v>65470</v>
      </c>
      <c r="L128" s="20">
        <f t="shared" si="18"/>
        <v>58807.840000000004</v>
      </c>
      <c r="M128" s="13">
        <f t="shared" si="9"/>
        <v>10.175897357568346</v>
      </c>
      <c r="N128" s="4"/>
      <c r="Q128" s="34"/>
    </row>
    <row r="129" spans="1:17" x14ac:dyDescent="0.25">
      <c r="A129" s="23" t="s">
        <v>362</v>
      </c>
      <c r="B129" s="47"/>
      <c r="C129" s="4"/>
      <c r="D129" s="24"/>
      <c r="E129" s="24"/>
      <c r="F129" s="4"/>
      <c r="G129" s="27"/>
      <c r="H129" s="24"/>
      <c r="I129" s="4"/>
      <c r="J129" s="24"/>
      <c r="K129" s="20">
        <f t="shared" si="16"/>
        <v>0</v>
      </c>
      <c r="L129" s="20">
        <f t="shared" si="18"/>
        <v>0</v>
      </c>
      <c r="M129" s="13" t="e">
        <f t="shared" ref="M129" si="19">100-L129*100/K129</f>
        <v>#DIV/0!</v>
      </c>
      <c r="N129" s="4"/>
      <c r="Q129" s="34"/>
    </row>
    <row r="130" spans="1:17" x14ac:dyDescent="0.25">
      <c r="A130" s="23" t="s">
        <v>363</v>
      </c>
      <c r="B130" s="26">
        <f>1438</f>
        <v>1438</v>
      </c>
      <c r="C130" s="4" t="s">
        <v>238</v>
      </c>
      <c r="D130" s="24">
        <v>1453.9</v>
      </c>
      <c r="E130" s="26">
        <v>2335</v>
      </c>
      <c r="F130" s="4" t="s">
        <v>212</v>
      </c>
      <c r="G130" s="27">
        <v>1192</v>
      </c>
      <c r="H130" s="24"/>
      <c r="I130" s="4"/>
      <c r="J130" s="24"/>
      <c r="K130" s="20">
        <f t="shared" si="16"/>
        <v>3773</v>
      </c>
      <c r="L130" s="20">
        <f t="shared" si="18"/>
        <v>2645.9</v>
      </c>
      <c r="M130" s="13">
        <f t="shared" si="9"/>
        <v>29.872780280943545</v>
      </c>
      <c r="N130" s="4"/>
      <c r="Q130" s="34"/>
    </row>
    <row r="131" spans="1:17" x14ac:dyDescent="0.25">
      <c r="A131" s="23" t="s">
        <v>366</v>
      </c>
      <c r="B131" s="26">
        <f>5259+13769+5259</f>
        <v>24287</v>
      </c>
      <c r="C131" s="4" t="s">
        <v>238</v>
      </c>
      <c r="D131" s="24">
        <f>(1804.33*4)+(2415.64*6)</f>
        <v>21711.16</v>
      </c>
      <c r="E131" s="24"/>
      <c r="F131" s="4"/>
      <c r="G131" s="27"/>
      <c r="H131" s="24"/>
      <c r="I131" s="4"/>
      <c r="J131" s="24"/>
      <c r="K131" s="20">
        <f t="shared" si="16"/>
        <v>24287</v>
      </c>
      <c r="L131" s="20">
        <f t="shared" si="18"/>
        <v>21711.16</v>
      </c>
      <c r="M131" s="13">
        <f t="shared" si="9"/>
        <v>10.605838514431582</v>
      </c>
      <c r="N131" s="4"/>
      <c r="Q131" s="34"/>
    </row>
    <row r="132" spans="1:17" x14ac:dyDescent="0.25">
      <c r="A132" s="23" t="s">
        <v>367</v>
      </c>
      <c r="B132" s="26">
        <f>5259+13769+5259</f>
        <v>24287</v>
      </c>
      <c r="C132" s="4" t="s">
        <v>238</v>
      </c>
      <c r="D132" s="24">
        <f>(14434.64+28987.68)/2</f>
        <v>21711.16</v>
      </c>
      <c r="E132" s="24"/>
      <c r="F132" s="4"/>
      <c r="G132" s="27"/>
      <c r="H132" s="24"/>
      <c r="I132" s="4"/>
      <c r="J132" s="24"/>
      <c r="K132" s="20">
        <f t="shared" si="16"/>
        <v>24287</v>
      </c>
      <c r="L132" s="20">
        <f t="shared" si="18"/>
        <v>21711.16</v>
      </c>
      <c r="M132" s="13">
        <f t="shared" ref="M132:M134" si="20">100-L132*100/K132</f>
        <v>10.605838514431582</v>
      </c>
      <c r="N132" s="4"/>
      <c r="Q132" s="34"/>
    </row>
    <row r="133" spans="1:17" x14ac:dyDescent="0.25">
      <c r="A133" s="23" t="s">
        <v>388</v>
      </c>
      <c r="B133" s="24">
        <f>3515+6774+3515</f>
        <v>13804</v>
      </c>
      <c r="C133" s="4" t="s">
        <v>238</v>
      </c>
      <c r="D133" s="24">
        <f>4732.68+7099.04</f>
        <v>11831.720000000001</v>
      </c>
      <c r="E133" s="24"/>
      <c r="F133" s="4"/>
      <c r="G133" s="27"/>
      <c r="H133" s="24"/>
      <c r="I133" s="4"/>
      <c r="J133" s="24"/>
      <c r="K133" s="20">
        <f t="shared" si="16"/>
        <v>13804</v>
      </c>
      <c r="L133" s="20">
        <f t="shared" si="18"/>
        <v>11831.720000000001</v>
      </c>
      <c r="M133" s="13">
        <f t="shared" si="20"/>
        <v>14.287742683280214</v>
      </c>
      <c r="N133" s="4"/>
      <c r="Q133" s="34"/>
    </row>
    <row r="134" spans="1:17" x14ac:dyDescent="0.25">
      <c r="A134" s="23" t="s">
        <v>389</v>
      </c>
      <c r="B134" s="24">
        <v>2732</v>
      </c>
      <c r="C134" s="4" t="s">
        <v>238</v>
      </c>
      <c r="D134" s="24">
        <v>2263.58</v>
      </c>
      <c r="E134" s="24">
        <f>1875+2550</f>
        <v>4425</v>
      </c>
      <c r="F134" s="4" t="s">
        <v>212</v>
      </c>
      <c r="G134" s="27">
        <v>3933.96</v>
      </c>
      <c r="H134" s="24"/>
      <c r="I134" s="4"/>
      <c r="J134" s="24"/>
      <c r="K134" s="20">
        <f t="shared" si="16"/>
        <v>7157</v>
      </c>
      <c r="L134" s="20">
        <f t="shared" si="18"/>
        <v>6197.54</v>
      </c>
      <c r="M134" s="13">
        <f t="shared" si="20"/>
        <v>13.405896325275947</v>
      </c>
      <c r="N134" s="4"/>
      <c r="Q134" s="34"/>
    </row>
    <row r="135" spans="1:17" x14ac:dyDescent="0.25">
      <c r="A135" s="23"/>
      <c r="B135" s="8"/>
      <c r="C135" s="4"/>
      <c r="D135" s="24"/>
      <c r="E135" s="24"/>
      <c r="F135" s="4"/>
      <c r="G135" s="27"/>
      <c r="H135" s="24"/>
      <c r="I135" s="4"/>
      <c r="J135" s="24"/>
      <c r="K135" s="20"/>
      <c r="L135" s="20"/>
      <c r="M135" s="13"/>
      <c r="N135" s="4"/>
      <c r="Q135" s="34"/>
    </row>
    <row r="136" spans="1:17" x14ac:dyDescent="0.25">
      <c r="A136" s="23"/>
      <c r="B136" s="8"/>
      <c r="C136" s="4"/>
      <c r="D136" s="24"/>
      <c r="E136" s="24"/>
      <c r="F136" s="4"/>
      <c r="G136" s="15"/>
      <c r="H136" s="9"/>
      <c r="I136" s="4"/>
      <c r="J136" s="24"/>
      <c r="K136" s="39">
        <f>SUM(K2:K135)</f>
        <v>2752184.51</v>
      </c>
      <c r="L136" s="39">
        <f>SUM(L2:L135)</f>
        <v>2518263.3594000004</v>
      </c>
      <c r="M136" s="49">
        <f>100-L136*100/K136</f>
        <v>8.4994719558246175</v>
      </c>
      <c r="N136" s="50">
        <f>K136-L136</f>
        <v>233921.15059999935</v>
      </c>
    </row>
    <row r="140" spans="1:17" ht="30" x14ac:dyDescent="0.25">
      <c r="A140" s="2" t="s">
        <v>0</v>
      </c>
      <c r="B140" s="3" t="s">
        <v>2</v>
      </c>
      <c r="C140" s="3" t="s">
        <v>9</v>
      </c>
      <c r="D140" s="3" t="s">
        <v>3</v>
      </c>
      <c r="E140" s="3" t="s">
        <v>4</v>
      </c>
      <c r="F140" s="7" t="s">
        <v>9</v>
      </c>
      <c r="G140" s="3" t="s">
        <v>5</v>
      </c>
      <c r="H140" s="3" t="s">
        <v>252</v>
      </c>
      <c r="I140" s="7" t="s">
        <v>9</v>
      </c>
      <c r="J140" s="3" t="s">
        <v>253</v>
      </c>
      <c r="K140" s="5" t="s">
        <v>10</v>
      </c>
      <c r="L140" s="5" t="s">
        <v>11</v>
      </c>
      <c r="M140" s="12" t="s">
        <v>61</v>
      </c>
      <c r="N140" s="34"/>
    </row>
    <row r="141" spans="1:17" x14ac:dyDescent="0.25">
      <c r="A141" s="23"/>
      <c r="B141" s="26"/>
      <c r="C141" s="4"/>
      <c r="D141" s="24"/>
      <c r="E141" s="24"/>
      <c r="F141" s="4"/>
      <c r="G141" s="27"/>
      <c r="H141" s="24"/>
      <c r="I141" s="28"/>
      <c r="J141" s="24"/>
      <c r="K141" s="20"/>
      <c r="L141" s="20"/>
      <c r="M141" s="13"/>
      <c r="N141" s="4"/>
    </row>
    <row r="142" spans="1:17" x14ac:dyDescent="0.25">
      <c r="A142" s="23"/>
      <c r="B142" s="26"/>
      <c r="C142" s="4"/>
      <c r="D142" s="24"/>
      <c r="E142" s="24"/>
      <c r="F142" s="4"/>
      <c r="G142" s="27"/>
      <c r="H142" s="24"/>
      <c r="I142" s="28"/>
      <c r="J142" s="24"/>
      <c r="K142" s="20"/>
      <c r="L142" s="20"/>
      <c r="M142" s="13"/>
      <c r="N142" s="4"/>
    </row>
    <row r="143" spans="1:17" x14ac:dyDescent="0.25">
      <c r="A143" s="23"/>
      <c r="B143" s="26"/>
      <c r="C143" s="4"/>
      <c r="D143" s="24"/>
      <c r="E143" s="24"/>
      <c r="F143" s="4"/>
      <c r="G143" s="27"/>
      <c r="H143" s="24"/>
      <c r="I143" s="28"/>
      <c r="J143" s="24"/>
      <c r="K143" s="20"/>
      <c r="L143" s="20"/>
      <c r="M143" s="13"/>
      <c r="N143" s="4"/>
    </row>
    <row r="144" spans="1:17" x14ac:dyDescent="0.25">
      <c r="A144" s="23"/>
      <c r="B144" s="26"/>
      <c r="C144" s="4"/>
      <c r="D144" s="24"/>
      <c r="E144" s="24"/>
      <c r="F144" s="4"/>
      <c r="G144" s="27"/>
      <c r="H144" s="24"/>
      <c r="I144" s="28"/>
      <c r="J144" s="24"/>
      <c r="K144" s="20"/>
      <c r="L144" s="20"/>
      <c r="M144" s="13"/>
      <c r="N144" s="4"/>
    </row>
    <row r="145" spans="1:14" x14ac:dyDescent="0.25">
      <c r="A145" s="23"/>
      <c r="B145" s="26"/>
      <c r="C145" s="4"/>
      <c r="D145" s="24"/>
      <c r="E145" s="24"/>
      <c r="F145" s="4"/>
      <c r="G145" s="27"/>
      <c r="H145" s="24"/>
      <c r="I145" s="28"/>
      <c r="J145" s="24"/>
      <c r="K145" s="20"/>
      <c r="L145" s="20"/>
      <c r="M145" s="13"/>
      <c r="N145" s="4"/>
    </row>
    <row r="146" spans="1:14" x14ac:dyDescent="0.25">
      <c r="A146" s="23"/>
      <c r="B146" s="26"/>
      <c r="C146" s="4"/>
      <c r="D146" s="24"/>
      <c r="E146" s="24"/>
      <c r="F146" s="4"/>
      <c r="G146" s="27"/>
      <c r="H146" s="24"/>
      <c r="I146" s="28"/>
      <c r="J146" s="24"/>
      <c r="K146" s="20"/>
      <c r="L146" s="20"/>
      <c r="M146" s="13"/>
      <c r="N146" s="4"/>
    </row>
    <row r="147" spans="1:14" x14ac:dyDescent="0.25">
      <c r="A147" s="23"/>
      <c r="B147" s="26"/>
      <c r="C147" s="4"/>
      <c r="D147" s="24"/>
      <c r="E147" s="24"/>
      <c r="F147" s="4"/>
      <c r="G147" s="27"/>
      <c r="H147" s="24"/>
      <c r="I147" s="28"/>
      <c r="J147" s="24"/>
      <c r="K147" s="20"/>
      <c r="L147" s="20"/>
      <c r="M147" s="13"/>
      <c r="N147" s="4"/>
    </row>
    <row r="148" spans="1:14" x14ac:dyDescent="0.25">
      <c r="A148" s="23"/>
      <c r="B148" s="26"/>
      <c r="C148" s="4"/>
      <c r="D148" s="24"/>
      <c r="E148" s="24"/>
      <c r="F148" s="4"/>
      <c r="G148" s="27"/>
      <c r="H148" s="24"/>
      <c r="I148" s="28"/>
      <c r="J148" s="24"/>
      <c r="K148" s="20"/>
      <c r="L148" s="20"/>
      <c r="M148" s="13"/>
      <c r="N148" s="4"/>
    </row>
    <row r="149" spans="1:14" x14ac:dyDescent="0.25">
      <c r="A149" s="23"/>
      <c r="B149" s="26"/>
      <c r="C149" s="4"/>
      <c r="D149" s="24"/>
      <c r="E149" s="24"/>
      <c r="F149" s="4"/>
      <c r="G149" s="27"/>
      <c r="H149" s="24"/>
      <c r="I149" s="28"/>
      <c r="J149" s="24"/>
      <c r="K149" s="20"/>
      <c r="L149" s="20"/>
      <c r="M149" s="13"/>
      <c r="N149" s="4"/>
    </row>
    <row r="150" spans="1:14" x14ac:dyDescent="0.25">
      <c r="A150" s="23"/>
      <c r="B150" s="26"/>
      <c r="C150" s="4"/>
      <c r="D150" s="24"/>
      <c r="E150" s="24"/>
      <c r="F150" s="4"/>
      <c r="G150" s="27"/>
      <c r="H150" s="24"/>
      <c r="I150" s="4"/>
      <c r="J150" s="24"/>
      <c r="K150" s="20"/>
      <c r="L150" s="20"/>
      <c r="M150" s="13"/>
      <c r="N150" s="4"/>
    </row>
    <row r="151" spans="1:14" x14ac:dyDescent="0.25">
      <c r="A151" s="23"/>
      <c r="B151" s="26"/>
      <c r="C151" s="4"/>
      <c r="D151" s="24"/>
      <c r="E151" s="24"/>
      <c r="F151" s="4"/>
      <c r="G151" s="27"/>
      <c r="H151" s="24"/>
      <c r="I151" s="4"/>
      <c r="J151" s="24"/>
      <c r="K151" s="20"/>
      <c r="L151" s="20"/>
      <c r="M151" s="13"/>
      <c r="N151" s="4"/>
    </row>
    <row r="152" spans="1:14" x14ac:dyDescent="0.25">
      <c r="A152" s="23"/>
      <c r="B152" s="26"/>
      <c r="C152" s="4"/>
      <c r="D152" s="24"/>
      <c r="E152" s="24"/>
      <c r="F152" s="4"/>
      <c r="G152" s="27"/>
      <c r="H152" s="24"/>
      <c r="I152" s="4"/>
      <c r="J152" s="24"/>
      <c r="K152" s="20"/>
      <c r="L152" s="20"/>
      <c r="M152" s="13"/>
      <c r="N152" s="4"/>
    </row>
    <row r="153" spans="1:14" x14ac:dyDescent="0.25">
      <c r="A153" s="23"/>
      <c r="B153" s="26"/>
      <c r="C153" s="4"/>
      <c r="D153" s="24"/>
      <c r="E153" s="24"/>
      <c r="F153" s="4"/>
      <c r="G153" s="27"/>
      <c r="H153" s="24"/>
      <c r="I153" s="4"/>
      <c r="J153" s="24"/>
      <c r="K153" s="20"/>
      <c r="L153" s="20"/>
      <c r="M153" s="13"/>
      <c r="N153" s="4"/>
    </row>
    <row r="154" spans="1:14" x14ac:dyDescent="0.25">
      <c r="A154" s="23"/>
      <c r="B154" s="26"/>
      <c r="C154" s="4"/>
      <c r="D154" s="24"/>
      <c r="E154" s="24"/>
      <c r="F154" s="4"/>
      <c r="G154" s="27"/>
      <c r="H154" s="24"/>
      <c r="I154" s="4"/>
      <c r="J154" s="24"/>
      <c r="K154" s="20"/>
      <c r="L154" s="20"/>
      <c r="M154" s="13"/>
      <c r="N154" s="4"/>
    </row>
    <row r="155" spans="1:14" x14ac:dyDescent="0.25">
      <c r="A155" s="23"/>
      <c r="B155" s="26"/>
      <c r="C155" s="4"/>
      <c r="D155" s="24"/>
      <c r="E155" s="24"/>
      <c r="F155" s="4"/>
      <c r="G155" s="27"/>
      <c r="H155" s="24"/>
      <c r="I155" s="4"/>
      <c r="J155" s="24"/>
      <c r="K155" s="20"/>
      <c r="L155" s="20"/>
      <c r="M155" s="13"/>
      <c r="N155" s="34"/>
    </row>
    <row r="156" spans="1:14" x14ac:dyDescent="0.25">
      <c r="A156" s="23"/>
      <c r="B156" s="26"/>
      <c r="C156" s="4"/>
      <c r="D156" s="24"/>
      <c r="E156" s="24"/>
      <c r="F156" s="4"/>
      <c r="G156" s="27"/>
      <c r="H156" s="24"/>
      <c r="I156" s="4"/>
      <c r="J156" s="24"/>
      <c r="K156" s="20"/>
      <c r="L156" s="20"/>
      <c r="M156" s="13"/>
      <c r="N156" s="34"/>
    </row>
    <row r="157" spans="1:14" x14ac:dyDescent="0.25">
      <c r="A157" s="23"/>
      <c r="B157" s="26"/>
      <c r="C157" s="4"/>
      <c r="D157" s="24"/>
      <c r="E157" s="24"/>
      <c r="F157" s="4"/>
      <c r="G157" s="27"/>
      <c r="H157" s="24"/>
      <c r="I157" s="4"/>
      <c r="J157" s="24"/>
      <c r="K157" s="20"/>
      <c r="L157" s="20"/>
      <c r="M157" s="13"/>
      <c r="N157" s="34"/>
    </row>
    <row r="158" spans="1:14" x14ac:dyDescent="0.25">
      <c r="A158" s="23"/>
      <c r="B158" s="26"/>
      <c r="C158" s="4"/>
      <c r="D158" s="24"/>
      <c r="E158" s="24"/>
      <c r="F158" s="4"/>
      <c r="G158" s="27"/>
      <c r="H158" s="24"/>
      <c r="I158" s="4"/>
      <c r="J158" s="24"/>
      <c r="K158" s="20"/>
      <c r="L158" s="20"/>
      <c r="M158" s="13"/>
      <c r="N158" s="34"/>
    </row>
    <row r="159" spans="1:14" x14ac:dyDescent="0.25">
      <c r="A159" s="23"/>
      <c r="B159" s="24"/>
      <c r="C159" s="4"/>
      <c r="D159" s="24"/>
      <c r="E159" s="24"/>
      <c r="F159" s="4"/>
      <c r="G159" s="27"/>
      <c r="H159" s="24"/>
      <c r="I159" s="4"/>
      <c r="J159" s="24"/>
      <c r="K159" s="20"/>
      <c r="L159" s="20"/>
      <c r="M159" s="13"/>
      <c r="N159" s="34"/>
    </row>
    <row r="160" spans="1:14" x14ac:dyDescent="0.25">
      <c r="A160" s="23"/>
      <c r="B160" s="24"/>
      <c r="C160" s="4"/>
      <c r="D160" s="24"/>
      <c r="E160" s="24"/>
      <c r="F160" s="4"/>
      <c r="G160" s="27"/>
      <c r="H160" s="24"/>
      <c r="I160" s="4"/>
      <c r="J160" s="24"/>
      <c r="K160" s="20"/>
      <c r="L160" s="20"/>
      <c r="M160" s="13"/>
      <c r="N160" s="34"/>
    </row>
    <row r="161" spans="1:14" x14ac:dyDescent="0.25">
      <c r="A161" s="23"/>
      <c r="B161" s="24"/>
      <c r="C161" s="4"/>
      <c r="D161" s="24"/>
      <c r="E161" s="24"/>
      <c r="F161" s="4"/>
      <c r="G161" s="27"/>
      <c r="H161" s="24"/>
      <c r="I161" s="4"/>
      <c r="J161" s="24"/>
      <c r="K161" s="20"/>
      <c r="L161" s="20"/>
      <c r="M161" s="13"/>
      <c r="N161" s="34"/>
    </row>
    <row r="162" spans="1:14" x14ac:dyDescent="0.25">
      <c r="A162" s="23"/>
      <c r="B162" s="24"/>
      <c r="C162" s="4"/>
      <c r="D162" s="24"/>
      <c r="E162" s="24"/>
      <c r="F162" s="4"/>
      <c r="G162" s="27"/>
      <c r="H162" s="24"/>
      <c r="I162" s="4"/>
      <c r="J162" s="24"/>
      <c r="K162" s="20"/>
      <c r="L162" s="20"/>
      <c r="M162" s="13"/>
      <c r="N162" s="34"/>
    </row>
    <row r="163" spans="1:14" x14ac:dyDescent="0.25">
      <c r="A163" s="23"/>
      <c r="B163" s="24"/>
      <c r="C163" s="4"/>
      <c r="D163" s="24"/>
      <c r="E163" s="24"/>
      <c r="F163" s="4"/>
      <c r="G163" s="27"/>
      <c r="H163" s="24"/>
      <c r="I163" s="4"/>
      <c r="J163" s="24"/>
      <c r="K163" s="20"/>
      <c r="L163" s="20"/>
      <c r="M163" s="13"/>
      <c r="N163" s="34"/>
    </row>
    <row r="164" spans="1:14" x14ac:dyDescent="0.25">
      <c r="A164" s="23"/>
      <c r="B164" s="24"/>
      <c r="C164" s="4"/>
      <c r="D164" s="24"/>
      <c r="E164" s="24"/>
      <c r="F164" s="4"/>
      <c r="G164" s="27"/>
      <c r="H164" s="24"/>
      <c r="I164" s="4"/>
      <c r="J164" s="24"/>
      <c r="K164" s="20"/>
      <c r="L164" s="20"/>
      <c r="M164" s="13"/>
      <c r="N164" s="34"/>
    </row>
    <row r="165" spans="1:14" x14ac:dyDescent="0.25">
      <c r="A165" s="23"/>
      <c r="B165" s="26"/>
      <c r="C165" s="4"/>
      <c r="D165" s="24"/>
      <c r="E165" s="24"/>
      <c r="F165" s="4"/>
      <c r="G165" s="27"/>
      <c r="H165" s="24"/>
      <c r="I165" s="4"/>
      <c r="J165" s="24"/>
      <c r="K165" s="20"/>
      <c r="L165" s="20"/>
      <c r="M165" s="14"/>
      <c r="N165" s="4"/>
    </row>
    <row r="166" spans="1:14" x14ac:dyDescent="0.25">
      <c r="A166" s="23"/>
      <c r="B166" s="26"/>
      <c r="C166" s="4"/>
      <c r="D166" s="24"/>
      <c r="E166" s="24"/>
      <c r="F166" s="4"/>
      <c r="G166" s="27"/>
      <c r="H166" s="24"/>
      <c r="I166" s="4"/>
      <c r="J166" s="24"/>
      <c r="K166" s="20"/>
      <c r="L166" s="20"/>
      <c r="M166" s="13"/>
      <c r="N166" s="4"/>
    </row>
    <row r="167" spans="1:14" x14ac:dyDescent="0.25">
      <c r="A167" s="23"/>
      <c r="B167" s="26"/>
      <c r="C167" s="4"/>
      <c r="D167" s="24"/>
      <c r="E167" s="24"/>
      <c r="F167" s="4"/>
      <c r="G167" s="27"/>
      <c r="H167" s="24"/>
      <c r="I167" s="4"/>
      <c r="J167" s="24"/>
      <c r="K167" s="20"/>
      <c r="L167" s="20"/>
      <c r="M167" s="13"/>
      <c r="N167" s="34"/>
    </row>
    <row r="168" spans="1:14" x14ac:dyDescent="0.25">
      <c r="K168" s="52">
        <f>SUM(K141:K167)</f>
        <v>0</v>
      </c>
      <c r="L168" s="52">
        <f>SUM(L141:L167)</f>
        <v>0</v>
      </c>
      <c r="M168" s="52"/>
    </row>
    <row r="170" spans="1:14" x14ac:dyDescent="0.25">
      <c r="J170" s="60" t="s">
        <v>414</v>
      </c>
      <c r="K170" s="52">
        <f>K168-L168</f>
        <v>0</v>
      </c>
    </row>
  </sheetData>
  <printOptions horizontalCentered="1" verticalCentered="1"/>
  <pageMargins left="0.25" right="0.25" top="0.25" bottom="0.25" header="0.05" footer="0.05"/>
  <pageSetup scale="85" fitToHeight="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4193-F577-4200-AA96-9BD0B257C41D}">
  <dimension ref="A1:Q128"/>
  <sheetViews>
    <sheetView topLeftCell="A23" workbookViewId="0">
      <selection activeCell="M106" sqref="M106"/>
    </sheetView>
  </sheetViews>
  <sheetFormatPr defaultRowHeight="15" x14ac:dyDescent="0.25"/>
  <cols>
    <col min="1" max="1" width="4" bestFit="1" customWidth="1"/>
    <col min="2" max="2" width="6" bestFit="1" customWidth="1"/>
    <col min="3" max="3" width="12" bestFit="1" customWidth="1"/>
    <col min="4" max="4" width="6" bestFit="1" customWidth="1"/>
    <col min="5" max="5" width="7" bestFit="1" customWidth="1"/>
    <col min="6" max="6" width="5.42578125" bestFit="1" customWidth="1"/>
    <col min="7" max="7" width="7" bestFit="1" customWidth="1"/>
    <col min="8" max="8" width="6.85546875" bestFit="1" customWidth="1"/>
    <col min="9" max="9" width="13.5703125" bestFit="1" customWidth="1"/>
    <col min="10" max="10" width="6.85546875" bestFit="1" customWidth="1"/>
    <col min="13" max="13" width="7.7109375" bestFit="1" customWidth="1"/>
    <col min="14" max="14" width="28.140625" bestFit="1" customWidth="1"/>
  </cols>
  <sheetData>
    <row r="1" spans="1:17" ht="30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252</v>
      </c>
      <c r="I1" s="7" t="s">
        <v>9</v>
      </c>
      <c r="J1" s="3" t="s">
        <v>253</v>
      </c>
      <c r="K1" s="5" t="s">
        <v>10</v>
      </c>
      <c r="L1" s="5" t="s">
        <v>11</v>
      </c>
      <c r="M1" s="12" t="s">
        <v>61</v>
      </c>
      <c r="N1" s="7" t="s">
        <v>1</v>
      </c>
      <c r="O1" s="3"/>
      <c r="P1" s="61"/>
      <c r="Q1" s="62" t="s">
        <v>422</v>
      </c>
    </row>
    <row r="2" spans="1:17" x14ac:dyDescent="0.25">
      <c r="A2" s="23" t="s">
        <v>19</v>
      </c>
      <c r="B2" s="47"/>
      <c r="C2" s="4"/>
      <c r="D2" s="24"/>
      <c r="E2" s="24"/>
      <c r="F2" s="4"/>
      <c r="G2" s="27"/>
      <c r="H2" s="24"/>
      <c r="I2" s="4"/>
      <c r="J2" s="24"/>
      <c r="K2" s="20">
        <f>B2+E2+G2</f>
        <v>0</v>
      </c>
      <c r="L2" s="20">
        <f>D2+G2+J2</f>
        <v>0</v>
      </c>
      <c r="M2" s="13" t="e">
        <f t="shared" ref="M2:M65" si="0">100-L2*100/K2</f>
        <v>#DIV/0!</v>
      </c>
      <c r="N2" s="4"/>
      <c r="Q2" s="34"/>
    </row>
    <row r="3" spans="1:17" x14ac:dyDescent="0.25">
      <c r="A3" s="23" t="s">
        <v>20</v>
      </c>
      <c r="B3" s="26">
        <v>5554</v>
      </c>
      <c r="C3" s="4" t="s">
        <v>136</v>
      </c>
      <c r="D3" s="24">
        <f>9532.06/2</f>
        <v>4766.03</v>
      </c>
      <c r="E3" s="24">
        <f>6800+6800</f>
        <v>13600</v>
      </c>
      <c r="F3" s="4" t="s">
        <v>212</v>
      </c>
      <c r="G3" s="27">
        <f>20340/2</f>
        <v>10170</v>
      </c>
      <c r="H3" s="24"/>
      <c r="I3" s="4"/>
      <c r="J3" s="24"/>
      <c r="K3" s="20">
        <f t="shared" ref="K3:K7" si="1">B3+E3+H3</f>
        <v>19154</v>
      </c>
      <c r="L3" s="20">
        <f t="shared" ref="L3:L7" si="2">D3+G3+J3</f>
        <v>14936.029999999999</v>
      </c>
      <c r="M3" s="13">
        <f t="shared" si="0"/>
        <v>22.021353242142638</v>
      </c>
      <c r="N3" s="4"/>
      <c r="Q3" s="34"/>
    </row>
    <row r="4" spans="1:17" x14ac:dyDescent="0.25">
      <c r="A4" s="23" t="s">
        <v>21</v>
      </c>
      <c r="B4" s="26">
        <v>5554</v>
      </c>
      <c r="C4" s="4" t="s">
        <v>136</v>
      </c>
      <c r="D4" s="24">
        <f>9532.06/2</f>
        <v>4766.03</v>
      </c>
      <c r="E4" s="24">
        <f>6800+6800</f>
        <v>13600</v>
      </c>
      <c r="F4" s="4" t="s">
        <v>212</v>
      </c>
      <c r="G4" s="27">
        <f>20340/2</f>
        <v>10170</v>
      </c>
      <c r="H4" s="24"/>
      <c r="I4" s="4"/>
      <c r="J4" s="24"/>
      <c r="K4" s="20">
        <f t="shared" si="1"/>
        <v>19154</v>
      </c>
      <c r="L4" s="20">
        <f t="shared" si="2"/>
        <v>14936.029999999999</v>
      </c>
      <c r="M4" s="13">
        <f t="shared" si="0"/>
        <v>22.021353242142638</v>
      </c>
      <c r="N4" s="4"/>
      <c r="Q4" s="34"/>
    </row>
    <row r="5" spans="1:17" x14ac:dyDescent="0.25">
      <c r="A5" s="23" t="s">
        <v>22</v>
      </c>
      <c r="B5" s="26">
        <f>3727+22548+8555</f>
        <v>34830</v>
      </c>
      <c r="C5" s="4" t="s">
        <v>238</v>
      </c>
      <c r="D5" s="24">
        <f>(42462.03+66060)/3</f>
        <v>36174.01</v>
      </c>
      <c r="E5" s="24"/>
      <c r="F5" s="4"/>
      <c r="G5" s="27"/>
      <c r="H5" s="24"/>
      <c r="I5" s="4"/>
      <c r="J5" s="24"/>
      <c r="K5" s="20">
        <f t="shared" si="1"/>
        <v>34830</v>
      </c>
      <c r="L5" s="20">
        <f t="shared" si="2"/>
        <v>36174.01</v>
      </c>
      <c r="M5" s="66">
        <f t="shared" si="0"/>
        <v>-3.8587711742750486</v>
      </c>
      <c r="N5" s="4"/>
      <c r="Q5" s="34"/>
    </row>
    <row r="6" spans="1:17" x14ac:dyDescent="0.25">
      <c r="A6" s="23" t="s">
        <v>23</v>
      </c>
      <c r="B6" s="26">
        <f>3727+22548+8555</f>
        <v>34830</v>
      </c>
      <c r="C6" s="4" t="s">
        <v>238</v>
      </c>
      <c r="D6" s="24">
        <f>(42462.03+66060)/3</f>
        <v>36174.01</v>
      </c>
      <c r="E6" s="24"/>
      <c r="F6" s="4"/>
      <c r="G6" s="27"/>
      <c r="H6" s="24"/>
      <c r="I6" s="4"/>
      <c r="J6" s="24"/>
      <c r="K6" s="20">
        <f t="shared" si="1"/>
        <v>34830</v>
      </c>
      <c r="L6" s="20">
        <f t="shared" si="2"/>
        <v>36174.01</v>
      </c>
      <c r="M6" s="66">
        <f t="shared" si="0"/>
        <v>-3.8587711742750486</v>
      </c>
      <c r="N6" s="4"/>
      <c r="Q6" s="34"/>
    </row>
    <row r="7" spans="1:17" x14ac:dyDescent="0.25">
      <c r="A7" s="23" t="s">
        <v>24</v>
      </c>
      <c r="B7" s="26">
        <f>3727+22548+8555</f>
        <v>34830</v>
      </c>
      <c r="C7" s="4" t="s">
        <v>238</v>
      </c>
      <c r="D7" s="24">
        <f>(42462.03+66060)/3</f>
        <v>36174.01</v>
      </c>
      <c r="E7" s="24"/>
      <c r="F7" s="4"/>
      <c r="G7" s="27"/>
      <c r="H7" s="24"/>
      <c r="I7" s="4"/>
      <c r="J7" s="24"/>
      <c r="K7" s="20">
        <f t="shared" si="1"/>
        <v>34830</v>
      </c>
      <c r="L7" s="20">
        <f t="shared" si="2"/>
        <v>36174.01</v>
      </c>
      <c r="M7" s="66">
        <f t="shared" si="0"/>
        <v>-3.8587711742750486</v>
      </c>
      <c r="N7" s="4"/>
      <c r="Q7" s="34"/>
    </row>
    <row r="8" spans="1:17" x14ac:dyDescent="0.25">
      <c r="A8" s="23" t="s">
        <v>25</v>
      </c>
      <c r="B8" s="26">
        <f>5881+7351</f>
        <v>13232</v>
      </c>
      <c r="C8" s="4" t="s">
        <v>136</v>
      </c>
      <c r="D8" s="24">
        <v>11149.52</v>
      </c>
      <c r="E8" s="24">
        <f>11100+1112</f>
        <v>12212</v>
      </c>
      <c r="F8" s="4" t="s">
        <v>212</v>
      </c>
      <c r="G8" s="27">
        <v>7050</v>
      </c>
      <c r="H8" s="24"/>
      <c r="I8" s="4"/>
      <c r="J8" s="24"/>
      <c r="K8" s="20">
        <f>B8+E8+H8</f>
        <v>25444</v>
      </c>
      <c r="L8" s="20">
        <f>D8+G8+J8</f>
        <v>18199.52</v>
      </c>
      <c r="M8" s="13">
        <f t="shared" si="0"/>
        <v>28.472252790441757</v>
      </c>
      <c r="N8" s="4"/>
      <c r="Q8" s="34"/>
    </row>
    <row r="9" spans="1:17" x14ac:dyDescent="0.25">
      <c r="A9" s="23" t="s">
        <v>26</v>
      </c>
      <c r="B9" s="26">
        <f>1091+1455+13339+1091+1455</f>
        <v>18431</v>
      </c>
      <c r="C9" s="4" t="s">
        <v>238</v>
      </c>
      <c r="D9" s="24">
        <f>(8400.72+11201.64+51340.68)/4</f>
        <v>17735.760000000002</v>
      </c>
      <c r="E9" s="24"/>
      <c r="F9" s="4"/>
      <c r="G9" s="27"/>
      <c r="H9" s="24"/>
      <c r="I9" s="4"/>
      <c r="J9" s="24"/>
      <c r="K9" s="20">
        <f t="shared" ref="K9:K13" si="3">B9+E9+H9</f>
        <v>18431</v>
      </c>
      <c r="L9" s="20">
        <f t="shared" ref="L9:L13" si="4">D9+G9+J9</f>
        <v>17735.760000000002</v>
      </c>
      <c r="M9" s="13">
        <f t="shared" si="0"/>
        <v>3.7721230535510699</v>
      </c>
      <c r="N9" s="4"/>
      <c r="Q9" s="34"/>
    </row>
    <row r="10" spans="1:17" x14ac:dyDescent="0.25">
      <c r="A10" s="23" t="s">
        <v>27</v>
      </c>
      <c r="B10" s="26">
        <f>1091+1455+13339+1091+1455</f>
        <v>18431</v>
      </c>
      <c r="C10" s="4" t="s">
        <v>238</v>
      </c>
      <c r="D10" s="24">
        <f t="shared" ref="D10:D12" si="5">(8400.72+11201.64+51340.68)/4</f>
        <v>17735.760000000002</v>
      </c>
      <c r="E10" s="24"/>
      <c r="F10" s="4"/>
      <c r="G10" s="27"/>
      <c r="H10" s="24"/>
      <c r="I10" s="4"/>
      <c r="J10" s="24"/>
      <c r="K10" s="20">
        <f t="shared" si="3"/>
        <v>18431</v>
      </c>
      <c r="L10" s="20">
        <f t="shared" si="4"/>
        <v>17735.760000000002</v>
      </c>
      <c r="M10" s="13">
        <f t="shared" si="0"/>
        <v>3.7721230535510699</v>
      </c>
      <c r="N10" s="4"/>
      <c r="Q10" s="34"/>
    </row>
    <row r="11" spans="1:17" x14ac:dyDescent="0.25">
      <c r="A11" s="23" t="s">
        <v>28</v>
      </c>
      <c r="B11" s="26">
        <f>1091+1455+13339+1091+1455</f>
        <v>18431</v>
      </c>
      <c r="C11" s="4" t="s">
        <v>238</v>
      </c>
      <c r="D11" s="24">
        <f t="shared" si="5"/>
        <v>17735.760000000002</v>
      </c>
      <c r="E11" s="24"/>
      <c r="F11" s="4"/>
      <c r="G11" s="27"/>
      <c r="H11" s="24"/>
      <c r="I11" s="4"/>
      <c r="J11" s="24"/>
      <c r="K11" s="20">
        <f t="shared" si="3"/>
        <v>18431</v>
      </c>
      <c r="L11" s="20">
        <f t="shared" si="4"/>
        <v>17735.760000000002</v>
      </c>
      <c r="M11" s="13">
        <f t="shared" si="0"/>
        <v>3.7721230535510699</v>
      </c>
      <c r="N11" s="4"/>
      <c r="Q11" s="34"/>
    </row>
    <row r="12" spans="1:17" x14ac:dyDescent="0.25">
      <c r="A12" s="31" t="s">
        <v>29</v>
      </c>
      <c r="B12" s="26">
        <f>1091+1455+13339+1091+1455</f>
        <v>18431</v>
      </c>
      <c r="C12" s="4" t="s">
        <v>238</v>
      </c>
      <c r="D12" s="24">
        <f t="shared" si="5"/>
        <v>17735.760000000002</v>
      </c>
      <c r="E12" s="24"/>
      <c r="F12" s="4"/>
      <c r="G12" s="27"/>
      <c r="H12" s="24"/>
      <c r="I12" s="4"/>
      <c r="J12" s="24"/>
      <c r="K12" s="20">
        <f t="shared" si="3"/>
        <v>18431</v>
      </c>
      <c r="L12" s="20">
        <f t="shared" si="4"/>
        <v>17735.760000000002</v>
      </c>
      <c r="M12" s="13">
        <f t="shared" si="0"/>
        <v>3.7721230535510699</v>
      </c>
      <c r="N12" s="4"/>
      <c r="Q12" s="34"/>
    </row>
    <row r="13" spans="1:17" x14ac:dyDescent="0.25">
      <c r="A13" s="23" t="s">
        <v>30</v>
      </c>
      <c r="B13" s="26">
        <f>1956+11875+1956</f>
        <v>15787</v>
      </c>
      <c r="C13" s="4" t="s">
        <v>238</v>
      </c>
      <c r="D13" s="24">
        <f>(3500.64+10034.76)</f>
        <v>13535.4</v>
      </c>
      <c r="E13" s="24"/>
      <c r="F13" s="4"/>
      <c r="G13" s="27"/>
      <c r="H13" s="26"/>
      <c r="I13" s="4"/>
      <c r="J13" s="24"/>
      <c r="K13" s="20">
        <f t="shared" si="3"/>
        <v>15787</v>
      </c>
      <c r="L13" s="20">
        <f t="shared" si="4"/>
        <v>13535.4</v>
      </c>
      <c r="M13" s="13">
        <f t="shared" si="0"/>
        <v>14.262367770950789</v>
      </c>
      <c r="N13" s="4"/>
      <c r="Q13" s="34"/>
    </row>
    <row r="14" spans="1:17" x14ac:dyDescent="0.25">
      <c r="A14" s="23" t="s">
        <v>35</v>
      </c>
      <c r="B14" s="64">
        <f>17923+8961+28667+7169</f>
        <v>62720</v>
      </c>
      <c r="C14" s="4" t="s">
        <v>136</v>
      </c>
      <c r="D14" s="24">
        <v>51919.14</v>
      </c>
      <c r="E14" s="24">
        <f>53625+56411</f>
        <v>110036</v>
      </c>
      <c r="F14" s="4" t="s">
        <v>212</v>
      </c>
      <c r="G14" s="27">
        <f>38000.1+54303.62</f>
        <v>92303.72</v>
      </c>
      <c r="H14" s="24"/>
      <c r="I14" s="4"/>
      <c r="J14" s="24"/>
      <c r="K14" s="20">
        <f t="shared" ref="K14" si="6">B14+E14+H14</f>
        <v>172756</v>
      </c>
      <c r="L14" s="20">
        <f t="shared" ref="L14" si="7">D14+G14+J14</f>
        <v>144222.85999999999</v>
      </c>
      <c r="M14" s="13">
        <f t="shared" ref="M14" si="8">100-L14*100/K14</f>
        <v>16.516439371136187</v>
      </c>
      <c r="N14" s="4"/>
      <c r="Q14" s="34"/>
    </row>
    <row r="15" spans="1:17" x14ac:dyDescent="0.25">
      <c r="A15" s="23" t="s">
        <v>36</v>
      </c>
      <c r="B15" s="26">
        <f>1440+1920+3006+22548</f>
        <v>28914</v>
      </c>
      <c r="C15" s="4" t="s">
        <v>238</v>
      </c>
      <c r="D15" s="24">
        <v>25801.759999999998</v>
      </c>
      <c r="E15" s="24">
        <v>18000</v>
      </c>
      <c r="F15" s="4" t="s">
        <v>212</v>
      </c>
      <c r="G15" s="27">
        <f>10770+4500</f>
        <v>15270</v>
      </c>
      <c r="H15" s="24">
        <f>3120+2450+5600</f>
        <v>11170</v>
      </c>
      <c r="I15" s="4" t="s">
        <v>305</v>
      </c>
      <c r="J15" s="24">
        <f>3267+1635+3519.5</f>
        <v>8421.5</v>
      </c>
      <c r="K15" s="20">
        <f t="shared" ref="K15:K19" si="9">B15+E15+H15</f>
        <v>58084</v>
      </c>
      <c r="L15" s="20">
        <f t="shared" ref="L15:L19" si="10">D15+G15+J15</f>
        <v>49493.259999999995</v>
      </c>
      <c r="M15" s="13">
        <f t="shared" si="0"/>
        <v>14.790200399421551</v>
      </c>
      <c r="N15" s="4"/>
      <c r="Q15" s="34"/>
    </row>
    <row r="16" spans="1:17" x14ac:dyDescent="0.25">
      <c r="A16" s="23" t="s">
        <v>37</v>
      </c>
      <c r="B16" s="26">
        <f>3356+4475+15664+26107+3356+4475</f>
        <v>57433</v>
      </c>
      <c r="C16" s="4" t="s">
        <v>238</v>
      </c>
      <c r="D16" s="24">
        <v>56339.35</v>
      </c>
      <c r="E16" s="24"/>
      <c r="F16" s="4"/>
      <c r="G16" s="27"/>
      <c r="H16" s="24"/>
      <c r="I16" s="4"/>
      <c r="J16" s="24"/>
      <c r="K16" s="20">
        <f t="shared" si="9"/>
        <v>57433</v>
      </c>
      <c r="L16" s="20">
        <f t="shared" si="10"/>
        <v>56339.35</v>
      </c>
      <c r="M16" s="13">
        <f t="shared" si="0"/>
        <v>1.9042188288962762</v>
      </c>
      <c r="N16" s="4"/>
      <c r="Q16" s="34"/>
    </row>
    <row r="17" spans="1:17" ht="15.75" customHeight="1" x14ac:dyDescent="0.25">
      <c r="A17" s="23" t="s">
        <v>38</v>
      </c>
      <c r="B17" s="26">
        <f>47281+5993+681</f>
        <v>53955</v>
      </c>
      <c r="C17" s="4" t="s">
        <v>238</v>
      </c>
      <c r="D17" s="24">
        <f>47190+1705.6+4124.31</f>
        <v>53019.909999999996</v>
      </c>
      <c r="E17" s="24">
        <f>34210+34210</f>
        <v>68420</v>
      </c>
      <c r="F17" s="4" t="s">
        <v>212</v>
      </c>
      <c r="G17" s="27">
        <f>35830.47*2</f>
        <v>71660.94</v>
      </c>
      <c r="H17" s="24">
        <f>8510+10238+10238+11268+5274+8650+11850</f>
        <v>66028</v>
      </c>
      <c r="I17" s="4" t="s">
        <v>436</v>
      </c>
      <c r="J17" s="24">
        <f>5444+12952+7451+7039+15235</f>
        <v>48121</v>
      </c>
      <c r="K17" s="20">
        <f t="shared" si="9"/>
        <v>188403</v>
      </c>
      <c r="L17" s="20">
        <f t="shared" si="10"/>
        <v>172801.85</v>
      </c>
      <c r="M17" s="13">
        <f t="shared" si="0"/>
        <v>8.2807333216562427</v>
      </c>
      <c r="N17" s="4"/>
      <c r="Q17" s="34"/>
    </row>
    <row r="18" spans="1:17" x14ac:dyDescent="0.25">
      <c r="A18" s="23" t="s">
        <v>39</v>
      </c>
      <c r="B18" s="47"/>
      <c r="C18" s="4"/>
      <c r="D18" s="24"/>
      <c r="E18" s="24"/>
      <c r="F18" s="4"/>
      <c r="G18" s="27"/>
      <c r="H18" s="24"/>
      <c r="I18" s="4"/>
      <c r="J18" s="24"/>
      <c r="K18" s="20">
        <f t="shared" si="9"/>
        <v>0</v>
      </c>
      <c r="L18" s="20">
        <f t="shared" si="10"/>
        <v>0</v>
      </c>
      <c r="M18" s="13" t="e">
        <f t="shared" si="0"/>
        <v>#DIV/0!</v>
      </c>
      <c r="N18" s="4"/>
      <c r="P18" s="56"/>
      <c r="Q18" s="34"/>
    </row>
    <row r="19" spans="1:17" x14ac:dyDescent="0.25">
      <c r="A19" s="23" t="s">
        <v>40</v>
      </c>
      <c r="B19" s="26">
        <f>14263</f>
        <v>14263</v>
      </c>
      <c r="C19" s="4" t="s">
        <v>238</v>
      </c>
      <c r="D19" s="24">
        <v>13911</v>
      </c>
      <c r="E19" s="24">
        <f>9425+9425</f>
        <v>18850</v>
      </c>
      <c r="F19" s="4" t="s">
        <v>212</v>
      </c>
      <c r="G19" s="27">
        <v>19289.52</v>
      </c>
      <c r="H19" s="24">
        <f>11160+6327+5274</f>
        <v>22761</v>
      </c>
      <c r="I19" s="4" t="s">
        <v>305</v>
      </c>
      <c r="J19" s="24">
        <f>9815+5417+3519.5</f>
        <v>18751.5</v>
      </c>
      <c r="K19" s="20">
        <f t="shared" si="9"/>
        <v>55874</v>
      </c>
      <c r="L19" s="20">
        <f t="shared" si="10"/>
        <v>51952.020000000004</v>
      </c>
      <c r="M19" s="13">
        <f t="shared" si="0"/>
        <v>7.0193292049969642</v>
      </c>
      <c r="N19" s="4"/>
      <c r="P19" s="56"/>
      <c r="Q19" s="34"/>
    </row>
    <row r="20" spans="1:17" x14ac:dyDescent="0.25">
      <c r="A20" s="23" t="s">
        <v>60</v>
      </c>
      <c r="B20" s="26">
        <f>11762+7351</f>
        <v>19113</v>
      </c>
      <c r="C20" s="4" t="s">
        <v>136</v>
      </c>
      <c r="D20" s="24">
        <v>17091</v>
      </c>
      <c r="E20" s="24">
        <f>11100</f>
        <v>11100</v>
      </c>
      <c r="F20" s="4" t="s">
        <v>212</v>
      </c>
      <c r="G20" s="27">
        <v>7050</v>
      </c>
      <c r="H20" s="24"/>
      <c r="I20" s="4"/>
      <c r="J20" s="27"/>
      <c r="K20" s="20">
        <f>B20+E20+H20</f>
        <v>30213</v>
      </c>
      <c r="L20" s="20">
        <f>D20+G20+J20</f>
        <v>24141</v>
      </c>
      <c r="M20" s="13">
        <f t="shared" si="0"/>
        <v>20.097309105351997</v>
      </c>
      <c r="N20" s="4"/>
      <c r="P20" s="56"/>
      <c r="Q20" s="34"/>
    </row>
    <row r="21" spans="1:17" x14ac:dyDescent="0.25">
      <c r="A21" s="23" t="s">
        <v>41</v>
      </c>
      <c r="B21" s="26">
        <f>3557+21519+8555</f>
        <v>33631</v>
      </c>
      <c r="C21" s="4" t="s">
        <v>238</v>
      </c>
      <c r="D21" s="24">
        <v>35301.81</v>
      </c>
      <c r="E21" s="24"/>
      <c r="F21" s="4"/>
      <c r="G21" s="27"/>
      <c r="H21" s="24"/>
      <c r="I21" s="4"/>
      <c r="J21" s="24"/>
      <c r="K21" s="20">
        <f t="shared" ref="K21:K25" si="11">B21+E21+H21</f>
        <v>33631</v>
      </c>
      <c r="L21" s="20">
        <f t="shared" ref="L21:L25" si="12">D21+G21+J21</f>
        <v>35301.81</v>
      </c>
      <c r="M21" s="66">
        <f t="shared" si="0"/>
        <v>-4.9680651779608098</v>
      </c>
      <c r="N21" s="4" t="s">
        <v>438</v>
      </c>
      <c r="P21" s="56"/>
      <c r="Q21" s="34"/>
    </row>
    <row r="22" spans="1:17" x14ac:dyDescent="0.25">
      <c r="A22" s="23" t="s">
        <v>42</v>
      </c>
      <c r="B22" s="26">
        <f>1793+2735+6563+5827+87+262</f>
        <v>17267</v>
      </c>
      <c r="C22" s="4" t="s">
        <v>238</v>
      </c>
      <c r="D22" s="24">
        <v>15870.46</v>
      </c>
      <c r="E22" s="26"/>
      <c r="F22" s="4"/>
      <c r="G22" s="27"/>
      <c r="H22" s="24"/>
      <c r="I22" s="4"/>
      <c r="J22" s="24"/>
      <c r="K22" s="20">
        <f>B24+E22+H22</f>
        <v>0</v>
      </c>
      <c r="L22" s="20">
        <f t="shared" si="12"/>
        <v>15870.46</v>
      </c>
      <c r="M22" s="13" t="e">
        <f t="shared" si="0"/>
        <v>#DIV/0!</v>
      </c>
      <c r="N22" s="4"/>
      <c r="P22" s="54"/>
      <c r="Q22" s="34"/>
    </row>
    <row r="23" spans="1:17" x14ac:dyDescent="0.25">
      <c r="A23" s="23" t="s">
        <v>43</v>
      </c>
      <c r="B23" s="26">
        <v>93736</v>
      </c>
      <c r="C23" s="4" t="s">
        <v>238</v>
      </c>
      <c r="D23" s="24">
        <v>88929</v>
      </c>
      <c r="E23" s="24">
        <f>65650+65650</f>
        <v>131300</v>
      </c>
      <c r="F23" s="4" t="s">
        <v>212</v>
      </c>
      <c r="G23" s="27">
        <v>140178.84</v>
      </c>
      <c r="H23" s="24"/>
      <c r="I23" s="4"/>
      <c r="J23" s="24"/>
      <c r="K23" s="20">
        <f t="shared" si="11"/>
        <v>225036</v>
      </c>
      <c r="L23" s="20">
        <f t="shared" si="12"/>
        <v>229107.84</v>
      </c>
      <c r="M23" s="66">
        <f t="shared" si="0"/>
        <v>-1.8094171599210824</v>
      </c>
      <c r="N23" s="4"/>
      <c r="P23" s="56"/>
      <c r="Q23" s="34"/>
    </row>
    <row r="24" spans="1:17" x14ac:dyDescent="0.25">
      <c r="A24" s="23" t="s">
        <v>44</v>
      </c>
      <c r="B24" s="47"/>
      <c r="C24" s="4"/>
      <c r="D24" s="24"/>
      <c r="E24" s="24"/>
      <c r="F24" s="4"/>
      <c r="G24" s="27"/>
      <c r="H24" s="24"/>
      <c r="I24" s="4"/>
      <c r="J24" s="24"/>
      <c r="K24" s="20">
        <f>B24+E24+H24</f>
        <v>0</v>
      </c>
      <c r="L24" s="20">
        <f t="shared" si="12"/>
        <v>0</v>
      </c>
      <c r="M24" s="13" t="e">
        <f t="shared" si="0"/>
        <v>#DIV/0!</v>
      </c>
      <c r="N24" s="4"/>
      <c r="P24" s="56"/>
      <c r="Q24" s="34"/>
    </row>
    <row r="25" spans="1:17" x14ac:dyDescent="0.25">
      <c r="A25" s="23" t="s">
        <v>45</v>
      </c>
      <c r="B25" s="26">
        <f>7384+8555+6047+1120+536</f>
        <v>23642</v>
      </c>
      <c r="C25" s="4" t="s">
        <v>437</v>
      </c>
      <c r="D25" s="24">
        <v>23471.84</v>
      </c>
      <c r="E25" s="24"/>
      <c r="F25" s="4"/>
      <c r="G25" s="27"/>
      <c r="H25" s="24"/>
      <c r="I25" s="4"/>
      <c r="J25" s="24"/>
      <c r="K25" s="20">
        <f t="shared" si="11"/>
        <v>23642</v>
      </c>
      <c r="L25" s="20">
        <f t="shared" si="12"/>
        <v>23471.84</v>
      </c>
      <c r="M25" s="13">
        <f t="shared" si="0"/>
        <v>0.71973606293883563</v>
      </c>
      <c r="N25" s="4"/>
      <c r="P25" s="56"/>
      <c r="Q25" s="34"/>
    </row>
    <row r="26" spans="1:17" x14ac:dyDescent="0.25">
      <c r="A26" s="23" t="s">
        <v>46</v>
      </c>
      <c r="B26" s="47"/>
      <c r="C26" s="4"/>
      <c r="D26" s="24"/>
      <c r="E26" s="24"/>
      <c r="F26" s="4"/>
      <c r="G26" s="27"/>
      <c r="H26" s="24"/>
      <c r="I26" s="4"/>
      <c r="J26" s="24"/>
      <c r="K26" s="20">
        <f>B26+E26+H26</f>
        <v>0</v>
      </c>
      <c r="L26" s="20">
        <f>D26+G26+J26</f>
        <v>0</v>
      </c>
      <c r="M26" s="13" t="e">
        <f t="shared" si="0"/>
        <v>#DIV/0!</v>
      </c>
      <c r="N26" s="4"/>
      <c r="P26" s="56"/>
      <c r="Q26" s="34"/>
    </row>
    <row r="27" spans="1:17" x14ac:dyDescent="0.25">
      <c r="A27" s="23" t="s">
        <v>47</v>
      </c>
      <c r="B27" s="26">
        <f>1642+2190+17088+2136+2848</f>
        <v>25904</v>
      </c>
      <c r="C27" s="4" t="s">
        <v>238</v>
      </c>
      <c r="D27" s="24">
        <v>25093.89</v>
      </c>
      <c r="E27" s="24"/>
      <c r="F27" s="4"/>
      <c r="G27" s="27"/>
      <c r="H27" s="24"/>
      <c r="I27" s="4"/>
      <c r="J27" s="24"/>
      <c r="K27" s="20">
        <f t="shared" ref="K27:K31" si="13">B27+E27+H27</f>
        <v>25904</v>
      </c>
      <c r="L27" s="20">
        <f t="shared" ref="L27:L31" si="14">D27+G27+J27</f>
        <v>25093.89</v>
      </c>
      <c r="M27" s="13">
        <f t="shared" si="0"/>
        <v>3.1273548486720131</v>
      </c>
      <c r="N27" s="4"/>
      <c r="P27" s="56"/>
      <c r="Q27" s="34"/>
    </row>
    <row r="28" spans="1:17" x14ac:dyDescent="0.25">
      <c r="A28" s="23" t="s">
        <v>48</v>
      </c>
      <c r="B28" s="26">
        <f>3472+21004+8555+56+743</f>
        <v>33830</v>
      </c>
      <c r="C28" s="4" t="s">
        <v>238</v>
      </c>
      <c r="D28" s="24">
        <f>9234.2133+3655.53+20075.9</f>
        <v>32965.643300000003</v>
      </c>
      <c r="E28" s="24"/>
      <c r="F28" s="4"/>
      <c r="G28" s="27"/>
      <c r="H28" s="24"/>
      <c r="I28" s="4"/>
      <c r="J28" s="24"/>
      <c r="K28" s="20">
        <f t="shared" si="13"/>
        <v>33830</v>
      </c>
      <c r="L28" s="20">
        <f t="shared" si="14"/>
        <v>32965.643300000003</v>
      </c>
      <c r="M28" s="13">
        <f t="shared" si="0"/>
        <v>2.5550005911912308</v>
      </c>
      <c r="N28" s="4"/>
      <c r="Q28" s="34"/>
    </row>
    <row r="29" spans="1:17" x14ac:dyDescent="0.25">
      <c r="A29" s="23" t="s">
        <v>49</v>
      </c>
      <c r="B29" s="26">
        <f>3139</f>
        <v>3139</v>
      </c>
      <c r="C29" s="4" t="s">
        <v>136</v>
      </c>
      <c r="D29" s="24">
        <f>4740.96/2</f>
        <v>2370.48</v>
      </c>
      <c r="E29" s="24">
        <f>3944+3944</f>
        <v>7888</v>
      </c>
      <c r="F29" s="4" t="s">
        <v>212</v>
      </c>
      <c r="G29" s="27">
        <f>15582.72/2</f>
        <v>7791.36</v>
      </c>
      <c r="H29" s="24">
        <v>2084</v>
      </c>
      <c r="I29" s="4" t="s">
        <v>303</v>
      </c>
      <c r="J29" s="24">
        <f>2920/2</f>
        <v>1460</v>
      </c>
      <c r="K29" s="20">
        <f t="shared" si="13"/>
        <v>13111</v>
      </c>
      <c r="L29" s="20">
        <f t="shared" si="14"/>
        <v>11621.84</v>
      </c>
      <c r="M29" s="13">
        <f t="shared" si="0"/>
        <v>11.358096255053013</v>
      </c>
      <c r="N29" s="4"/>
      <c r="Q29" s="34"/>
    </row>
    <row r="30" spans="1:17" x14ac:dyDescent="0.25">
      <c r="A30" s="23" t="s">
        <v>50</v>
      </c>
      <c r="B30" s="26">
        <f>3139</f>
        <v>3139</v>
      </c>
      <c r="C30" s="4" t="s">
        <v>136</v>
      </c>
      <c r="D30" s="24">
        <f>4740.96/2</f>
        <v>2370.48</v>
      </c>
      <c r="E30" s="24">
        <f>3944+3944</f>
        <v>7888</v>
      </c>
      <c r="F30" s="4" t="s">
        <v>212</v>
      </c>
      <c r="G30" s="27">
        <f>15582.72/2</f>
        <v>7791.36</v>
      </c>
      <c r="H30" s="24">
        <v>2084</v>
      </c>
      <c r="I30" s="4" t="s">
        <v>303</v>
      </c>
      <c r="J30" s="24">
        <f>2920/2</f>
        <v>1460</v>
      </c>
      <c r="K30" s="20">
        <f t="shared" si="13"/>
        <v>13111</v>
      </c>
      <c r="L30" s="20">
        <f t="shared" si="14"/>
        <v>11621.84</v>
      </c>
      <c r="M30" s="13">
        <f t="shared" si="0"/>
        <v>11.358096255053013</v>
      </c>
      <c r="N30" s="4"/>
      <c r="Q30" s="34"/>
    </row>
    <row r="31" spans="1:17" x14ac:dyDescent="0.25">
      <c r="A31" s="23" t="s">
        <v>51</v>
      </c>
      <c r="B31" s="26">
        <f>3489+21107+7895+56+1485</f>
        <v>34032</v>
      </c>
      <c r="C31" s="4" t="s">
        <v>238</v>
      </c>
      <c r="D31" s="24">
        <f>9234.2133+3655.53+20075.9</f>
        <v>32965.643300000003</v>
      </c>
      <c r="E31" s="24"/>
      <c r="F31" s="4"/>
      <c r="G31" s="27"/>
      <c r="H31" s="24"/>
      <c r="I31" s="4"/>
      <c r="J31" s="24"/>
      <c r="K31" s="20">
        <f t="shared" si="13"/>
        <v>34032</v>
      </c>
      <c r="L31" s="20">
        <f t="shared" si="14"/>
        <v>32965.643300000003</v>
      </c>
      <c r="M31" s="13">
        <f t="shared" si="0"/>
        <v>3.1333941584391027</v>
      </c>
      <c r="N31" s="4"/>
      <c r="Q31" s="34"/>
    </row>
    <row r="32" spans="1:17" x14ac:dyDescent="0.25">
      <c r="A32" s="23" t="s">
        <v>52</v>
      </c>
      <c r="B32" s="26">
        <f>3489+21107+7895+56+1485</f>
        <v>34032</v>
      </c>
      <c r="C32" s="4" t="s">
        <v>238</v>
      </c>
      <c r="D32" s="24">
        <f>9234.2133+3655.53+20075.9</f>
        <v>32965.643300000003</v>
      </c>
      <c r="E32" s="24"/>
      <c r="F32" s="4"/>
      <c r="G32" s="27"/>
      <c r="H32" s="24"/>
      <c r="I32" s="4"/>
      <c r="J32" s="24"/>
      <c r="K32" s="20">
        <f>B32+E32+H32</f>
        <v>34032</v>
      </c>
      <c r="L32" s="20">
        <f>D32+G32+J32</f>
        <v>32965.643300000003</v>
      </c>
      <c r="M32" s="13">
        <f t="shared" si="0"/>
        <v>3.1333941584391027</v>
      </c>
      <c r="N32" s="4"/>
      <c r="Q32" s="34"/>
    </row>
    <row r="33" spans="1:17" x14ac:dyDescent="0.25">
      <c r="A33" s="23" t="s">
        <v>53</v>
      </c>
      <c r="B33" s="26">
        <f>2952</f>
        <v>2952</v>
      </c>
      <c r="C33" s="4" t="s">
        <v>136</v>
      </c>
      <c r="D33" s="24">
        <v>2224.14</v>
      </c>
      <c r="E33" s="24">
        <f>3800</f>
        <v>3800</v>
      </c>
      <c r="F33" s="4" t="s">
        <v>212</v>
      </c>
      <c r="G33" s="27">
        <v>2760</v>
      </c>
      <c r="H33" s="24"/>
      <c r="I33" s="4"/>
      <c r="J33" s="24"/>
      <c r="K33" s="20">
        <f t="shared" ref="K33:K37" si="15">B33+E33+H33</f>
        <v>6752</v>
      </c>
      <c r="L33" s="20">
        <f t="shared" ref="L33:L37" si="16">D33+G33+J33</f>
        <v>4984.1399999999994</v>
      </c>
      <c r="M33" s="13">
        <f t="shared" si="0"/>
        <v>26.182760663507111</v>
      </c>
      <c r="N33" s="4"/>
      <c r="Q33" s="34"/>
    </row>
    <row r="34" spans="1:17" x14ac:dyDescent="0.25">
      <c r="A34" s="23" t="s">
        <v>54</v>
      </c>
      <c r="B34" s="47"/>
      <c r="C34" s="4"/>
      <c r="D34" s="24"/>
      <c r="E34" s="24"/>
      <c r="F34" s="4"/>
      <c r="G34" s="27"/>
      <c r="H34" s="24"/>
      <c r="I34" s="4"/>
      <c r="J34" s="24"/>
      <c r="K34" s="20">
        <f t="shared" si="15"/>
        <v>0</v>
      </c>
      <c r="L34" s="20">
        <f t="shared" si="16"/>
        <v>0</v>
      </c>
      <c r="M34" s="13" t="e">
        <f t="shared" si="0"/>
        <v>#DIV/0!</v>
      </c>
      <c r="N34" s="4"/>
      <c r="Q34" s="34"/>
    </row>
    <row r="35" spans="1:17" x14ac:dyDescent="0.25">
      <c r="A35" s="23" t="s">
        <v>55</v>
      </c>
      <c r="B35" s="26">
        <f>560</f>
        <v>560</v>
      </c>
      <c r="C35" s="4" t="s">
        <v>136</v>
      </c>
      <c r="D35" s="24">
        <v>657.95</v>
      </c>
      <c r="E35" s="24">
        <f>705+705</f>
        <v>1410</v>
      </c>
      <c r="F35" s="4" t="s">
        <v>212</v>
      </c>
      <c r="G35" s="27">
        <v>1160</v>
      </c>
      <c r="H35" s="24"/>
      <c r="I35" s="4"/>
      <c r="J35" s="24"/>
      <c r="K35" s="20">
        <f t="shared" si="15"/>
        <v>1970</v>
      </c>
      <c r="L35" s="20">
        <f t="shared" si="16"/>
        <v>1817.95</v>
      </c>
      <c r="M35" s="13">
        <f t="shared" si="0"/>
        <v>7.7182741116751288</v>
      </c>
      <c r="N35" s="4"/>
      <c r="Q35" s="34"/>
    </row>
    <row r="36" spans="1:17" x14ac:dyDescent="0.25">
      <c r="A36" s="23" t="s">
        <v>56</v>
      </c>
      <c r="B36" s="26">
        <v>1044</v>
      </c>
      <c r="C36" s="4" t="s">
        <v>324</v>
      </c>
      <c r="D36" s="24">
        <v>951.13</v>
      </c>
      <c r="E36" s="24">
        <v>600</v>
      </c>
      <c r="F36" s="4" t="s">
        <v>439</v>
      </c>
      <c r="G36" s="27">
        <v>600</v>
      </c>
      <c r="H36" s="24">
        <v>600</v>
      </c>
      <c r="I36" s="4" t="s">
        <v>303</v>
      </c>
      <c r="J36" s="24">
        <v>553</v>
      </c>
      <c r="K36" s="20">
        <f t="shared" si="15"/>
        <v>2244</v>
      </c>
      <c r="L36" s="20">
        <f t="shared" si="16"/>
        <v>2104.13</v>
      </c>
      <c r="M36" s="13">
        <f t="shared" si="0"/>
        <v>6.2330659536541901</v>
      </c>
      <c r="N36" s="42"/>
      <c r="O36" s="42"/>
      <c r="Q36" s="34"/>
    </row>
    <row r="37" spans="1:17" x14ac:dyDescent="0.25">
      <c r="A37" s="23" t="s">
        <v>57</v>
      </c>
      <c r="B37" s="26">
        <f>2385+239</f>
        <v>2624</v>
      </c>
      <c r="C37" s="4" t="s">
        <v>440</v>
      </c>
      <c r="D37" s="24">
        <f>5633.86/2</f>
        <v>2816.93</v>
      </c>
      <c r="E37" s="24">
        <v>2128</v>
      </c>
      <c r="F37" s="4" t="s">
        <v>212</v>
      </c>
      <c r="G37" s="27">
        <f>1860/2</f>
        <v>930</v>
      </c>
      <c r="H37" s="24"/>
      <c r="I37" s="4"/>
      <c r="J37" s="24"/>
      <c r="K37" s="20">
        <f t="shared" si="15"/>
        <v>4752</v>
      </c>
      <c r="L37" s="20">
        <f t="shared" si="16"/>
        <v>3746.93</v>
      </c>
      <c r="M37" s="13">
        <f t="shared" si="0"/>
        <v>21.150462962962962</v>
      </c>
      <c r="N37" s="4" t="s">
        <v>441</v>
      </c>
      <c r="Q37" s="34"/>
    </row>
    <row r="38" spans="1:17" x14ac:dyDescent="0.25">
      <c r="A38" s="23" t="s">
        <v>58</v>
      </c>
      <c r="B38" s="26">
        <f>2385+239</f>
        <v>2624</v>
      </c>
      <c r="C38" s="4" t="s">
        <v>440</v>
      </c>
      <c r="D38" s="24">
        <f>5633.86/2</f>
        <v>2816.93</v>
      </c>
      <c r="E38" s="24">
        <v>2128</v>
      </c>
      <c r="F38" s="4" t="s">
        <v>212</v>
      </c>
      <c r="G38" s="27">
        <f>1860/2</f>
        <v>930</v>
      </c>
      <c r="H38" s="24"/>
      <c r="I38" s="4"/>
      <c r="J38" s="24"/>
      <c r="K38" s="20">
        <f>B38+E38+H38</f>
        <v>4752</v>
      </c>
      <c r="L38" s="20">
        <f>D38+G38+J38</f>
        <v>3746.93</v>
      </c>
      <c r="M38" s="13">
        <f t="shared" si="0"/>
        <v>21.150462962962962</v>
      </c>
      <c r="N38" s="4" t="s">
        <v>441</v>
      </c>
      <c r="Q38" s="34"/>
    </row>
    <row r="39" spans="1:17" x14ac:dyDescent="0.25">
      <c r="A39" s="23" t="s">
        <v>59</v>
      </c>
      <c r="B39" s="47"/>
      <c r="C39" s="4"/>
      <c r="D39" s="24"/>
      <c r="E39" s="24"/>
      <c r="F39" s="4"/>
      <c r="G39" s="27"/>
      <c r="H39" s="24"/>
      <c r="I39" s="4"/>
      <c r="J39" s="24"/>
      <c r="K39" s="20">
        <f t="shared" ref="K39:K43" si="17">B39+E39+H39</f>
        <v>0</v>
      </c>
      <c r="L39" s="20">
        <f t="shared" ref="L39:L43" si="18">D39+G39+J39</f>
        <v>0</v>
      </c>
      <c r="M39" s="13" t="e">
        <f t="shared" si="0"/>
        <v>#DIV/0!</v>
      </c>
      <c r="N39" s="4"/>
      <c r="Q39" s="34"/>
    </row>
    <row r="40" spans="1:17" x14ac:dyDescent="0.25">
      <c r="A40" s="23" t="s">
        <v>64</v>
      </c>
      <c r="B40" s="47"/>
      <c r="C40" s="4"/>
      <c r="D40" s="24"/>
      <c r="E40" s="24"/>
      <c r="F40" s="4"/>
      <c r="G40" s="27"/>
      <c r="H40" s="24"/>
      <c r="I40" s="4"/>
      <c r="J40" s="24"/>
      <c r="K40" s="20">
        <f t="shared" si="17"/>
        <v>0</v>
      </c>
      <c r="L40" s="20">
        <f t="shared" si="18"/>
        <v>0</v>
      </c>
      <c r="M40" s="13" t="e">
        <f t="shared" si="0"/>
        <v>#DIV/0!</v>
      </c>
      <c r="N40" s="4"/>
      <c r="Q40" s="34"/>
    </row>
    <row r="41" spans="1:17" x14ac:dyDescent="0.25">
      <c r="A41" s="23" t="s">
        <v>65</v>
      </c>
      <c r="B41" s="26">
        <f>1795+6212+1795</f>
        <v>9802</v>
      </c>
      <c r="C41" s="4" t="s">
        <v>238</v>
      </c>
      <c r="D41" s="24">
        <v>9915.89</v>
      </c>
      <c r="E41" s="24"/>
      <c r="F41" s="4"/>
      <c r="G41" s="27"/>
      <c r="H41" s="24">
        <f>6882+2724</f>
        <v>9606</v>
      </c>
      <c r="I41" s="4" t="s">
        <v>303</v>
      </c>
      <c r="J41" s="24">
        <v>9269</v>
      </c>
      <c r="K41" s="20">
        <f t="shared" si="17"/>
        <v>19408</v>
      </c>
      <c r="L41" s="20">
        <f t="shared" si="18"/>
        <v>19184.89</v>
      </c>
      <c r="M41" s="13">
        <f t="shared" si="0"/>
        <v>1.1495774938169774</v>
      </c>
      <c r="N41" s="4"/>
      <c r="Q41" s="34"/>
    </row>
    <row r="42" spans="1:17" x14ac:dyDescent="0.25">
      <c r="A42" s="23" t="s">
        <v>70</v>
      </c>
      <c r="B42" s="26">
        <f>1366+5217+5692+20490+4212+16392+3369+4113+3719+852+4113+3719+852</f>
        <v>74106</v>
      </c>
      <c r="C42" s="4" t="s">
        <v>238</v>
      </c>
      <c r="D42" s="24">
        <f>146528/2</f>
        <v>73264</v>
      </c>
      <c r="E42" s="24"/>
      <c r="F42" s="4"/>
      <c r="G42" s="27"/>
      <c r="H42" s="24"/>
      <c r="I42" s="4"/>
      <c r="J42" s="24"/>
      <c r="K42" s="20">
        <f t="shared" si="17"/>
        <v>74106</v>
      </c>
      <c r="L42" s="20">
        <f t="shared" si="18"/>
        <v>73264</v>
      </c>
      <c r="M42" s="13">
        <f t="shared" si="0"/>
        <v>1.1362102933635612</v>
      </c>
      <c r="N42" s="4"/>
      <c r="Q42" s="34"/>
    </row>
    <row r="43" spans="1:17" x14ac:dyDescent="0.25">
      <c r="A43" s="23" t="s">
        <v>71</v>
      </c>
      <c r="B43" s="26">
        <f>1366+5217+5692+20490+4212+16392+3369+4113+3719+852+4113+3719+852</f>
        <v>74106</v>
      </c>
      <c r="C43" s="4" t="s">
        <v>238</v>
      </c>
      <c r="D43" s="24">
        <f>146528/2</f>
        <v>73264</v>
      </c>
      <c r="E43" s="24"/>
      <c r="F43" s="4"/>
      <c r="G43" s="24"/>
      <c r="H43" s="24"/>
      <c r="I43" s="4"/>
      <c r="J43" s="24"/>
      <c r="K43" s="20">
        <f t="shared" si="17"/>
        <v>74106</v>
      </c>
      <c r="L43" s="20">
        <f t="shared" si="18"/>
        <v>73264</v>
      </c>
      <c r="M43" s="13">
        <f t="shared" si="0"/>
        <v>1.1362102933635612</v>
      </c>
      <c r="N43" s="4"/>
      <c r="Q43" s="34"/>
    </row>
    <row r="44" spans="1:17" x14ac:dyDescent="0.25">
      <c r="A44" s="23" t="s">
        <v>73</v>
      </c>
      <c r="B44" s="47"/>
      <c r="C44" s="4"/>
      <c r="D44" s="24"/>
      <c r="E44" s="24"/>
      <c r="F44" s="4"/>
      <c r="G44" s="24"/>
      <c r="H44" s="24"/>
      <c r="I44" s="4"/>
      <c r="J44" s="24"/>
      <c r="K44" s="20">
        <f>B44+E44+H44</f>
        <v>0</v>
      </c>
      <c r="L44" s="20">
        <f>D44+G44+J44</f>
        <v>0</v>
      </c>
      <c r="M44" s="13" t="e">
        <f t="shared" si="0"/>
        <v>#DIV/0!</v>
      </c>
      <c r="N44" s="4"/>
      <c r="Q44" s="34"/>
    </row>
    <row r="45" spans="1:17" x14ac:dyDescent="0.25">
      <c r="A45" s="23" t="s">
        <v>74</v>
      </c>
      <c r="B45" s="26">
        <f>18820+3764+4888+2277+1565+1750+1203</f>
        <v>34267</v>
      </c>
      <c r="C45" s="4" t="s">
        <v>238</v>
      </c>
      <c r="D45" s="24">
        <v>21578.45</v>
      </c>
      <c r="E45" s="24">
        <v>18414</v>
      </c>
      <c r="F45" s="4" t="s">
        <v>212</v>
      </c>
      <c r="G45" s="27">
        <v>9135.76</v>
      </c>
      <c r="H45" s="26"/>
      <c r="I45" s="4"/>
      <c r="J45" s="24"/>
      <c r="K45" s="20">
        <f t="shared" ref="K45:K49" si="19">B45+E45+H45</f>
        <v>52681</v>
      </c>
      <c r="L45" s="20">
        <f t="shared" ref="L45:L49" si="20">D45+G45+J45</f>
        <v>30714.21</v>
      </c>
      <c r="M45" s="13">
        <f t="shared" si="0"/>
        <v>41.697746815740018</v>
      </c>
      <c r="N45" s="4"/>
      <c r="Q45" s="34"/>
    </row>
    <row r="46" spans="1:17" x14ac:dyDescent="0.25">
      <c r="A46" s="23" t="s">
        <v>75</v>
      </c>
      <c r="B46" s="26">
        <f>18820+3764+4888+2277+1565+1750+1203</f>
        <v>34267</v>
      </c>
      <c r="C46" s="4" t="s">
        <v>238</v>
      </c>
      <c r="D46" s="24">
        <f>127555.79/4</f>
        <v>31888.947499999998</v>
      </c>
      <c r="E46" s="24">
        <v>18414</v>
      </c>
      <c r="F46" s="4" t="s">
        <v>212</v>
      </c>
      <c r="G46" s="24">
        <v>15620.25</v>
      </c>
      <c r="H46" s="24"/>
      <c r="I46" s="28"/>
      <c r="J46" s="24"/>
      <c r="K46" s="20">
        <f t="shared" si="19"/>
        <v>52681</v>
      </c>
      <c r="L46" s="20">
        <f t="shared" si="20"/>
        <v>47509.197499999995</v>
      </c>
      <c r="M46" s="13">
        <f t="shared" si="0"/>
        <v>9.8172063931968125</v>
      </c>
      <c r="N46" s="4"/>
      <c r="Q46" s="34"/>
    </row>
    <row r="47" spans="1:17" x14ac:dyDescent="0.25">
      <c r="A47" s="23" t="s">
        <v>76</v>
      </c>
      <c r="B47" s="26">
        <f>18820+3764+4888+2277+1565+1750+1203</f>
        <v>34267</v>
      </c>
      <c r="C47" s="4" t="s">
        <v>238</v>
      </c>
      <c r="D47" s="24">
        <f>127555.79/4</f>
        <v>31888.947499999998</v>
      </c>
      <c r="E47" s="24">
        <v>18414</v>
      </c>
      <c r="F47" s="4" t="s">
        <v>212</v>
      </c>
      <c r="G47" s="24">
        <v>15620.25</v>
      </c>
      <c r="H47" s="24"/>
      <c r="I47" s="4"/>
      <c r="J47" s="24"/>
      <c r="K47" s="20">
        <f t="shared" si="19"/>
        <v>52681</v>
      </c>
      <c r="L47" s="20">
        <f t="shared" si="20"/>
        <v>47509.197499999995</v>
      </c>
      <c r="M47" s="13">
        <f t="shared" si="0"/>
        <v>9.8172063931968125</v>
      </c>
      <c r="N47" s="4"/>
      <c r="Q47" s="34"/>
    </row>
    <row r="48" spans="1:17" x14ac:dyDescent="0.25">
      <c r="A48" s="23" t="s">
        <v>77</v>
      </c>
      <c r="B48" s="26">
        <f>18820+3764+4888+2277+1565+1750+1203</f>
        <v>34267</v>
      </c>
      <c r="C48" s="4" t="s">
        <v>238</v>
      </c>
      <c r="D48" s="24">
        <f>127555.79/4</f>
        <v>31888.947499999998</v>
      </c>
      <c r="E48" s="24">
        <v>18414</v>
      </c>
      <c r="F48" s="4" t="s">
        <v>212</v>
      </c>
      <c r="G48" s="24">
        <v>15620.25</v>
      </c>
      <c r="H48" s="24"/>
      <c r="I48" s="4"/>
      <c r="J48" s="24"/>
      <c r="K48" s="20">
        <f t="shared" si="19"/>
        <v>52681</v>
      </c>
      <c r="L48" s="20">
        <f t="shared" si="20"/>
        <v>47509.197499999995</v>
      </c>
      <c r="M48" s="13">
        <f t="shared" si="0"/>
        <v>9.8172063931968125</v>
      </c>
      <c r="N48" s="4"/>
      <c r="Q48" s="34"/>
    </row>
    <row r="49" spans="1:17" x14ac:dyDescent="0.25">
      <c r="A49" s="23" t="s">
        <v>78</v>
      </c>
      <c r="B49" s="26">
        <f>18820+3764+4888+2277+1565+1750+1203</f>
        <v>34267</v>
      </c>
      <c r="C49" s="4" t="s">
        <v>238</v>
      </c>
      <c r="D49" s="24">
        <f>127555.79/4</f>
        <v>31888.947499999998</v>
      </c>
      <c r="E49" s="24">
        <v>18414</v>
      </c>
      <c r="F49" s="4" t="s">
        <v>212</v>
      </c>
      <c r="G49" s="24">
        <v>15620.25</v>
      </c>
      <c r="H49" s="24"/>
      <c r="I49" s="4"/>
      <c r="J49" s="24"/>
      <c r="K49" s="20">
        <f t="shared" si="19"/>
        <v>52681</v>
      </c>
      <c r="L49" s="20">
        <f t="shared" si="20"/>
        <v>47509.197499999995</v>
      </c>
      <c r="M49" s="13">
        <f t="shared" si="0"/>
        <v>9.8172063931968125</v>
      </c>
      <c r="N49" s="4"/>
      <c r="Q49" s="34"/>
    </row>
    <row r="50" spans="1:17" x14ac:dyDescent="0.25">
      <c r="A50" s="23" t="s">
        <v>225</v>
      </c>
      <c r="B50" s="47"/>
      <c r="C50" s="4"/>
      <c r="D50" s="24"/>
      <c r="E50" s="24"/>
      <c r="F50" s="4"/>
      <c r="G50" s="27"/>
      <c r="H50" s="24"/>
      <c r="I50" s="4"/>
      <c r="J50" s="24"/>
      <c r="K50" s="20">
        <f>B50+E50+H50</f>
        <v>0</v>
      </c>
      <c r="L50" s="20">
        <f>D50+G50+J50</f>
        <v>0</v>
      </c>
      <c r="M50" s="13" t="e">
        <f t="shared" si="0"/>
        <v>#DIV/0!</v>
      </c>
      <c r="N50" s="4"/>
      <c r="Q50" s="34"/>
    </row>
    <row r="51" spans="1:17" x14ac:dyDescent="0.25">
      <c r="A51" s="23" t="s">
        <v>226</v>
      </c>
      <c r="B51" s="47"/>
      <c r="C51" s="4"/>
      <c r="D51" s="24"/>
      <c r="E51" s="24"/>
      <c r="F51" s="4"/>
      <c r="G51" s="27"/>
      <c r="H51" s="24"/>
      <c r="I51" s="4"/>
      <c r="J51" s="24"/>
      <c r="K51" s="20">
        <f t="shared" ref="K51:K55" si="21">B51+E51+H51</f>
        <v>0</v>
      </c>
      <c r="L51" s="20">
        <f t="shared" ref="L51:L55" si="22">D51+G51+J51</f>
        <v>0</v>
      </c>
      <c r="M51" s="13" t="e">
        <f t="shared" si="0"/>
        <v>#DIV/0!</v>
      </c>
      <c r="N51" s="4"/>
      <c r="Q51" s="34"/>
    </row>
    <row r="52" spans="1:17" x14ac:dyDescent="0.25">
      <c r="A52" s="23" t="s">
        <v>227</v>
      </c>
      <c r="B52" s="26">
        <f>2255+4510+5760</f>
        <v>12525</v>
      </c>
      <c r="C52" s="4" t="s">
        <v>238</v>
      </c>
      <c r="D52" s="24">
        <f>5817+4468+(4468.045/4)</f>
        <v>11402.01125</v>
      </c>
      <c r="E52" s="24">
        <f>1236+1236</f>
        <v>2472</v>
      </c>
      <c r="F52" s="4" t="s">
        <v>212</v>
      </c>
      <c r="G52" s="24">
        <v>1790</v>
      </c>
      <c r="H52" s="24"/>
      <c r="I52" s="4"/>
      <c r="J52" s="24"/>
      <c r="K52" s="20">
        <f t="shared" si="21"/>
        <v>14997</v>
      </c>
      <c r="L52" s="20">
        <f t="shared" si="22"/>
        <v>13192.01125</v>
      </c>
      <c r="M52" s="13">
        <f t="shared" si="0"/>
        <v>12.035665466426622</v>
      </c>
      <c r="N52" s="4"/>
      <c r="Q52" s="34"/>
    </row>
    <row r="53" spans="1:17" x14ac:dyDescent="0.25">
      <c r="A53" s="23" t="s">
        <v>176</v>
      </c>
      <c r="B53" s="26">
        <f>2255</f>
        <v>2255</v>
      </c>
      <c r="C53" s="4" t="s">
        <v>238</v>
      </c>
      <c r="D53" s="24">
        <f>(4468.045/4*3)</f>
        <v>3351.0337500000001</v>
      </c>
      <c r="E53" s="24">
        <f>2316</f>
        <v>2316</v>
      </c>
      <c r="F53" s="4" t="s">
        <v>212</v>
      </c>
      <c r="G53" s="24">
        <v>1354</v>
      </c>
      <c r="H53" s="24"/>
      <c r="I53" s="4"/>
      <c r="J53" s="24"/>
      <c r="K53" s="20">
        <f t="shared" si="21"/>
        <v>4571</v>
      </c>
      <c r="L53" s="20">
        <f t="shared" si="22"/>
        <v>4705.0337500000005</v>
      </c>
      <c r="M53" s="66">
        <f t="shared" si="0"/>
        <v>-2.9322631809232291</v>
      </c>
      <c r="N53" s="4"/>
      <c r="Q53" s="34"/>
    </row>
    <row r="54" spans="1:17" x14ac:dyDescent="0.25">
      <c r="A54" s="23" t="s">
        <v>177</v>
      </c>
      <c r="B54" s="26">
        <f>2656+1660+24474+2656+1660</f>
        <v>33106</v>
      </c>
      <c r="C54" s="4" t="s">
        <v>238</v>
      </c>
      <c r="D54" s="24">
        <f>56970.6/2</f>
        <v>28485.3</v>
      </c>
      <c r="E54" s="24"/>
      <c r="F54" s="4"/>
      <c r="G54" s="27"/>
      <c r="H54" s="24"/>
      <c r="I54" s="4"/>
      <c r="J54" s="24"/>
      <c r="K54" s="20">
        <f t="shared" si="21"/>
        <v>33106</v>
      </c>
      <c r="L54" s="20">
        <f t="shared" si="22"/>
        <v>28485.3</v>
      </c>
      <c r="M54" s="13">
        <f t="shared" si="0"/>
        <v>13.95728870899535</v>
      </c>
      <c r="N54" s="4"/>
      <c r="Q54" s="34"/>
    </row>
    <row r="55" spans="1:17" x14ac:dyDescent="0.25">
      <c r="A55" s="23" t="s">
        <v>86</v>
      </c>
      <c r="B55" s="26">
        <f>2656+1660+24474+2656+1660</f>
        <v>33106</v>
      </c>
      <c r="C55" s="4" t="s">
        <v>238</v>
      </c>
      <c r="D55" s="24">
        <f>56970.6/2</f>
        <v>28485.3</v>
      </c>
      <c r="E55" s="24"/>
      <c r="F55" s="4"/>
      <c r="G55" s="27"/>
      <c r="H55" s="24"/>
      <c r="I55" s="4"/>
      <c r="J55" s="24"/>
      <c r="K55" s="20">
        <f t="shared" si="21"/>
        <v>33106</v>
      </c>
      <c r="L55" s="20">
        <f t="shared" si="22"/>
        <v>28485.3</v>
      </c>
      <c r="M55" s="13">
        <f t="shared" si="0"/>
        <v>13.95728870899535</v>
      </c>
      <c r="N55" s="4"/>
      <c r="Q55" s="34"/>
    </row>
    <row r="56" spans="1:17" x14ac:dyDescent="0.25">
      <c r="A56" s="23" t="s">
        <v>87</v>
      </c>
      <c r="B56" s="26">
        <f>51049+3439</f>
        <v>54488</v>
      </c>
      <c r="C56" s="4" t="s">
        <v>238</v>
      </c>
      <c r="D56" s="24">
        <v>51347.07</v>
      </c>
      <c r="E56" s="24">
        <f>17994+17882</f>
        <v>35876</v>
      </c>
      <c r="F56" s="4" t="s">
        <v>212</v>
      </c>
      <c r="G56" s="24">
        <v>32461.74</v>
      </c>
      <c r="H56" s="24">
        <v>5212</v>
      </c>
      <c r="I56" s="4" t="s">
        <v>305</v>
      </c>
      <c r="J56" s="24">
        <v>4841</v>
      </c>
      <c r="K56" s="20">
        <f>B56+E56+H56</f>
        <v>95576</v>
      </c>
      <c r="L56" s="20">
        <f>D56+G56+J56</f>
        <v>88649.81</v>
      </c>
      <c r="M56" s="13">
        <f t="shared" si="0"/>
        <v>7.2467878965430685</v>
      </c>
      <c r="N56" s="4"/>
      <c r="Q56" s="34"/>
    </row>
    <row r="57" spans="1:17" x14ac:dyDescent="0.25">
      <c r="A57" s="23" t="s">
        <v>88</v>
      </c>
      <c r="B57" s="47"/>
      <c r="C57" s="4"/>
      <c r="D57" s="24"/>
      <c r="E57" s="24"/>
      <c r="F57" s="4"/>
      <c r="G57" s="27"/>
      <c r="H57" s="24"/>
      <c r="I57" s="4"/>
      <c r="J57" s="24"/>
      <c r="K57" s="20">
        <f t="shared" ref="K57:K61" si="23">B57+E57+H57</f>
        <v>0</v>
      </c>
      <c r="L57" s="20">
        <f t="shared" ref="L57:L61" si="24">D57+G57+J57</f>
        <v>0</v>
      </c>
      <c r="M57" s="13" t="e">
        <f t="shared" si="0"/>
        <v>#DIV/0!</v>
      </c>
      <c r="N57" s="4"/>
      <c r="Q57" s="34"/>
    </row>
    <row r="58" spans="1:17" x14ac:dyDescent="0.25">
      <c r="A58" s="23" t="s">
        <v>89</v>
      </c>
      <c r="B58" s="26">
        <f>782+2461+782</f>
        <v>4025</v>
      </c>
      <c r="C58" s="4" t="s">
        <v>238</v>
      </c>
      <c r="D58" s="24">
        <f>1441.27+2302.03</f>
        <v>3743.3</v>
      </c>
      <c r="E58" s="24"/>
      <c r="F58" s="4"/>
      <c r="G58" s="27"/>
      <c r="H58" s="24"/>
      <c r="I58" s="4"/>
      <c r="J58" s="24"/>
      <c r="K58" s="20">
        <f t="shared" si="23"/>
        <v>4025</v>
      </c>
      <c r="L58" s="20">
        <f t="shared" si="24"/>
        <v>3743.3</v>
      </c>
      <c r="M58" s="13">
        <f t="shared" si="0"/>
        <v>6.9987577639751493</v>
      </c>
      <c r="N58" s="4"/>
      <c r="Q58" s="34"/>
    </row>
    <row r="59" spans="1:17" x14ac:dyDescent="0.25">
      <c r="A59" s="23" t="s">
        <v>90</v>
      </c>
      <c r="B59" s="26">
        <f>715+652+815</f>
        <v>2182</v>
      </c>
      <c r="C59" s="4" t="s">
        <v>238</v>
      </c>
      <c r="D59" s="24">
        <f>750.66+750.66</f>
        <v>1501.32</v>
      </c>
      <c r="E59" s="24"/>
      <c r="F59" s="4"/>
      <c r="G59" s="27"/>
      <c r="H59" s="24"/>
      <c r="I59" s="4"/>
      <c r="J59" s="24"/>
      <c r="K59" s="20">
        <f t="shared" si="23"/>
        <v>2182</v>
      </c>
      <c r="L59" s="20">
        <f t="shared" si="24"/>
        <v>1501.32</v>
      </c>
      <c r="M59" s="13">
        <f t="shared" si="0"/>
        <v>31.19523373052246</v>
      </c>
      <c r="N59" s="4"/>
      <c r="Q59" s="34"/>
    </row>
    <row r="60" spans="1:17" x14ac:dyDescent="0.25">
      <c r="A60" s="23" t="s">
        <v>96</v>
      </c>
      <c r="B60" s="26">
        <f>815+2608+815</f>
        <v>4238</v>
      </c>
      <c r="C60" s="4" t="s">
        <v>238</v>
      </c>
      <c r="D60" s="24">
        <f>750.6633+1551.37</f>
        <v>2302.0333000000001</v>
      </c>
      <c r="E60" s="24"/>
      <c r="F60" s="4"/>
      <c r="G60" s="27"/>
      <c r="H60" s="24"/>
      <c r="I60" s="4"/>
      <c r="J60" s="24"/>
      <c r="K60" s="20">
        <f t="shared" si="23"/>
        <v>4238</v>
      </c>
      <c r="L60" s="20">
        <f t="shared" si="24"/>
        <v>2302.0333000000001</v>
      </c>
      <c r="M60" s="13">
        <f t="shared" si="0"/>
        <v>45.681139688532326</v>
      </c>
      <c r="N60" s="4"/>
      <c r="Q60" s="34"/>
    </row>
    <row r="61" spans="1:17" x14ac:dyDescent="0.25">
      <c r="A61" s="23" t="s">
        <v>97</v>
      </c>
      <c r="B61" s="26">
        <f>2025</f>
        <v>2025</v>
      </c>
      <c r="C61" s="4" t="s">
        <v>238</v>
      </c>
      <c r="D61" s="24">
        <v>1761.55</v>
      </c>
      <c r="E61" s="24">
        <f>1086+1086</f>
        <v>2172</v>
      </c>
      <c r="F61" s="4" t="s">
        <v>212</v>
      </c>
      <c r="G61" s="27">
        <v>1600</v>
      </c>
      <c r="H61" s="24"/>
      <c r="I61" s="4"/>
      <c r="J61" s="24"/>
      <c r="K61" s="20">
        <f t="shared" si="23"/>
        <v>4197</v>
      </c>
      <c r="L61" s="20">
        <f t="shared" si="24"/>
        <v>3361.55</v>
      </c>
      <c r="M61" s="13">
        <f t="shared" si="0"/>
        <v>19.90588515606386</v>
      </c>
      <c r="N61" s="4"/>
      <c r="Q61" s="34"/>
    </row>
    <row r="62" spans="1:17" x14ac:dyDescent="0.25">
      <c r="A62" s="23" t="s">
        <v>98</v>
      </c>
      <c r="B62" s="26">
        <f>1043</f>
        <v>1043</v>
      </c>
      <c r="C62" s="4" t="s">
        <v>238</v>
      </c>
      <c r="D62" s="24">
        <v>975.86</v>
      </c>
      <c r="E62" s="24">
        <f>837+837</f>
        <v>1674</v>
      </c>
      <c r="F62" s="4" t="s">
        <v>212</v>
      </c>
      <c r="G62" s="27">
        <v>954</v>
      </c>
      <c r="H62" s="24"/>
      <c r="I62" s="28"/>
      <c r="J62" s="24"/>
      <c r="K62" s="20">
        <f>B62+E62+H62</f>
        <v>2717</v>
      </c>
      <c r="L62" s="20">
        <f>D62+G62+J62</f>
        <v>1929.8600000000001</v>
      </c>
      <c r="M62" s="13">
        <f t="shared" si="0"/>
        <v>28.970923813029074</v>
      </c>
      <c r="N62" s="4"/>
      <c r="Q62" s="34"/>
    </row>
    <row r="63" spans="1:17" x14ac:dyDescent="0.25">
      <c r="A63" s="23" t="s">
        <v>99</v>
      </c>
      <c r="B63" s="26">
        <f>18416+46040</f>
        <v>64456</v>
      </c>
      <c r="C63" s="4" t="s">
        <v>238</v>
      </c>
      <c r="D63" s="24">
        <f>24952.84+20376+9980.76+6388.69</f>
        <v>61698.29</v>
      </c>
      <c r="E63" s="24">
        <f>25170+25170</f>
        <v>50340</v>
      </c>
      <c r="F63" s="4" t="s">
        <v>212</v>
      </c>
      <c r="G63" s="27">
        <v>46260.44</v>
      </c>
      <c r="H63" s="24">
        <f>11233+7121</f>
        <v>18354</v>
      </c>
      <c r="I63" s="4" t="s">
        <v>305</v>
      </c>
      <c r="J63" s="24">
        <v>21544</v>
      </c>
      <c r="K63" s="20">
        <f t="shared" ref="K63:K67" si="25">B63+E63+H63</f>
        <v>133150</v>
      </c>
      <c r="L63" s="20">
        <f t="shared" ref="L63:L67" si="26">D63+G63+J63</f>
        <v>129502.73000000001</v>
      </c>
      <c r="M63" s="13">
        <f t="shared" si="0"/>
        <v>2.7392189260232698</v>
      </c>
      <c r="N63" s="4"/>
      <c r="Q63" s="34"/>
    </row>
    <row r="64" spans="1:17" x14ac:dyDescent="0.25">
      <c r="A64" s="23" t="s">
        <v>100</v>
      </c>
      <c r="B64" s="26">
        <f>1592+2380+2975+1592</f>
        <v>8539</v>
      </c>
      <c r="C64" s="4" t="s">
        <v>238</v>
      </c>
      <c r="D64" s="24">
        <f>1526.38+2832.15+2265.7+2014.52+24.34</f>
        <v>8663.09</v>
      </c>
      <c r="E64" s="24"/>
      <c r="F64" s="4"/>
      <c r="G64" s="27"/>
      <c r="H64" s="24"/>
      <c r="I64" s="4"/>
      <c r="J64" s="24"/>
      <c r="K64" s="20">
        <f t="shared" si="25"/>
        <v>8539</v>
      </c>
      <c r="L64" s="20">
        <f t="shared" si="26"/>
        <v>8663.09</v>
      </c>
      <c r="M64" s="66">
        <f t="shared" si="0"/>
        <v>-1.4532146621384214</v>
      </c>
      <c r="N64" s="4"/>
      <c r="Q64" s="34"/>
    </row>
    <row r="65" spans="1:17" x14ac:dyDescent="0.25">
      <c r="A65" s="23" t="s">
        <v>102</v>
      </c>
      <c r="B65" s="26">
        <f>2177+2696+3369+1592</f>
        <v>9834</v>
      </c>
      <c r="C65" s="4" t="s">
        <v>238</v>
      </c>
      <c r="D65" s="24">
        <f>2086.83+3209.51+2567.8+2754.2</f>
        <v>10618.34</v>
      </c>
      <c r="E65" s="24"/>
      <c r="F65" s="4"/>
      <c r="G65" s="27"/>
      <c r="H65" s="24"/>
      <c r="I65" s="4"/>
      <c r="J65" s="24"/>
      <c r="K65" s="20">
        <f t="shared" si="25"/>
        <v>9834</v>
      </c>
      <c r="L65" s="20">
        <f t="shared" si="26"/>
        <v>10618.34</v>
      </c>
      <c r="M65" s="66">
        <f t="shared" si="0"/>
        <v>-7.9757982509660366</v>
      </c>
      <c r="N65" s="4"/>
      <c r="Q65" s="34"/>
    </row>
    <row r="66" spans="1:17" x14ac:dyDescent="0.25">
      <c r="A66" s="23" t="s">
        <v>103</v>
      </c>
      <c r="B66" s="26">
        <f>1439+4319</f>
        <v>5758</v>
      </c>
      <c r="C66" s="4" t="s">
        <v>442</v>
      </c>
      <c r="D66" s="24">
        <f>8619.92</f>
        <v>8619.92</v>
      </c>
      <c r="E66" s="24"/>
      <c r="F66" s="4"/>
      <c r="G66" s="27"/>
      <c r="H66" s="24"/>
      <c r="I66" s="4"/>
      <c r="J66" s="24"/>
      <c r="K66" s="20">
        <f t="shared" si="25"/>
        <v>5758</v>
      </c>
      <c r="L66" s="20">
        <f t="shared" si="26"/>
        <v>8619.92</v>
      </c>
      <c r="M66" s="66">
        <f t="shared" ref="M66:M83" si="27">100-L66*100/K66</f>
        <v>-49.70336922542549</v>
      </c>
      <c r="N66" s="4" t="s">
        <v>443</v>
      </c>
      <c r="Q66" s="34"/>
    </row>
    <row r="67" spans="1:17" x14ac:dyDescent="0.25">
      <c r="A67" s="23" t="s">
        <v>104</v>
      </c>
      <c r="B67" s="47"/>
      <c r="C67" s="4"/>
      <c r="D67" s="24"/>
      <c r="E67" s="24"/>
      <c r="F67" s="4"/>
      <c r="G67" s="27"/>
      <c r="H67" s="24"/>
      <c r="I67" s="4"/>
      <c r="J67" s="24"/>
      <c r="K67" s="20">
        <f t="shared" si="25"/>
        <v>0</v>
      </c>
      <c r="L67" s="20">
        <f t="shared" si="26"/>
        <v>0</v>
      </c>
      <c r="M67" s="13" t="e">
        <f t="shared" si="27"/>
        <v>#DIV/0!</v>
      </c>
      <c r="N67" s="4"/>
      <c r="Q67" s="34"/>
    </row>
    <row r="68" spans="1:17" x14ac:dyDescent="0.25">
      <c r="A68" s="23" t="s">
        <v>106</v>
      </c>
      <c r="B68" s="26">
        <f>1587+2421+5810+5177</f>
        <v>14995</v>
      </c>
      <c r="C68" s="4" t="s">
        <v>238</v>
      </c>
      <c r="D68" s="24">
        <v>13988.93</v>
      </c>
      <c r="E68" s="24"/>
      <c r="F68" s="4"/>
      <c r="G68" s="27"/>
      <c r="H68" s="24"/>
      <c r="I68" s="4"/>
      <c r="J68" s="24"/>
      <c r="K68" s="20">
        <f>B68+E68+H68</f>
        <v>14995</v>
      </c>
      <c r="L68" s="20">
        <f>D68+G68+J68</f>
        <v>13988.93</v>
      </c>
      <c r="M68" s="13">
        <f t="shared" si="27"/>
        <v>6.7093697899299798</v>
      </c>
      <c r="N68" s="4"/>
      <c r="Q68" s="34"/>
    </row>
    <row r="69" spans="1:17" x14ac:dyDescent="0.25">
      <c r="A69" s="23" t="s">
        <v>107</v>
      </c>
      <c r="B69" s="26">
        <f>3149+19048+7895</f>
        <v>30092</v>
      </c>
      <c r="C69" s="4" t="s">
        <v>238</v>
      </c>
      <c r="D69" s="24">
        <f>87991.57/3</f>
        <v>29330.523333333334</v>
      </c>
      <c r="E69" s="24"/>
      <c r="F69" s="4"/>
      <c r="G69" s="27"/>
      <c r="H69" s="24"/>
      <c r="I69" s="4"/>
      <c r="J69" s="24"/>
      <c r="K69" s="20">
        <f t="shared" ref="K69:K73" si="28">B69+E69+H69</f>
        <v>30092</v>
      </c>
      <c r="L69" s="20">
        <f t="shared" ref="L69:L73" si="29">D69+G69+J69</f>
        <v>29330.523333333334</v>
      </c>
      <c r="M69" s="13">
        <f t="shared" si="27"/>
        <v>2.5304953697549735</v>
      </c>
      <c r="N69" s="4"/>
      <c r="Q69" s="34"/>
    </row>
    <row r="70" spans="1:17" x14ac:dyDescent="0.25">
      <c r="A70" s="23" t="s">
        <v>108</v>
      </c>
      <c r="B70" s="26">
        <f>3149+19048+7895</f>
        <v>30092</v>
      </c>
      <c r="C70" s="4" t="s">
        <v>238</v>
      </c>
      <c r="D70" s="24">
        <f>87991.57/3</f>
        <v>29330.523333333334</v>
      </c>
      <c r="E70" s="24"/>
      <c r="F70" s="4"/>
      <c r="G70" s="27"/>
      <c r="H70" s="24"/>
      <c r="I70" s="4"/>
      <c r="J70" s="24"/>
      <c r="K70" s="20">
        <f t="shared" si="28"/>
        <v>30092</v>
      </c>
      <c r="L70" s="20">
        <f t="shared" si="29"/>
        <v>29330.523333333334</v>
      </c>
      <c r="M70" s="13">
        <f t="shared" si="27"/>
        <v>2.5304953697549735</v>
      </c>
      <c r="N70" s="41"/>
      <c r="O70" s="40"/>
      <c r="Q70" s="34"/>
    </row>
    <row r="71" spans="1:17" x14ac:dyDescent="0.25">
      <c r="A71" s="23" t="s">
        <v>109</v>
      </c>
      <c r="B71" s="26">
        <f>3149+19048+7895</f>
        <v>30092</v>
      </c>
      <c r="C71" s="4" t="s">
        <v>238</v>
      </c>
      <c r="D71" s="24">
        <f>87991.57/3</f>
        <v>29330.523333333334</v>
      </c>
      <c r="E71" s="24"/>
      <c r="F71" s="4"/>
      <c r="G71" s="27"/>
      <c r="H71" s="24"/>
      <c r="I71" s="4"/>
      <c r="J71" s="24"/>
      <c r="K71" s="20">
        <f t="shared" si="28"/>
        <v>30092</v>
      </c>
      <c r="L71" s="20">
        <f t="shared" si="29"/>
        <v>29330.523333333334</v>
      </c>
      <c r="M71" s="13">
        <f t="shared" si="27"/>
        <v>2.5304953697549735</v>
      </c>
      <c r="N71" s="4"/>
      <c r="Q71" s="34"/>
    </row>
    <row r="72" spans="1:17" x14ac:dyDescent="0.25">
      <c r="A72" s="23" t="s">
        <v>111</v>
      </c>
      <c r="B72" s="26">
        <f>968+1290+7097+2954+1259+1678</f>
        <v>15246</v>
      </c>
      <c r="C72" s="4" t="s">
        <v>238</v>
      </c>
      <c r="D72" s="24">
        <v>14109.73</v>
      </c>
      <c r="E72" s="24"/>
      <c r="F72" s="4"/>
      <c r="G72" s="27"/>
      <c r="H72" s="24"/>
      <c r="I72" s="4"/>
      <c r="J72" s="24"/>
      <c r="K72" s="20">
        <f t="shared" si="28"/>
        <v>15246</v>
      </c>
      <c r="L72" s="20">
        <f t="shared" si="29"/>
        <v>14109.73</v>
      </c>
      <c r="M72" s="13">
        <f t="shared" si="27"/>
        <v>7.4529056801784037</v>
      </c>
      <c r="N72" s="4"/>
      <c r="Q72" s="34"/>
    </row>
    <row r="73" spans="1:17" x14ac:dyDescent="0.25">
      <c r="A73" s="23" t="s">
        <v>117</v>
      </c>
      <c r="B73" s="47"/>
      <c r="C73" s="4"/>
      <c r="D73" s="24"/>
      <c r="E73" s="24"/>
      <c r="F73" s="4"/>
      <c r="G73" s="27"/>
      <c r="H73" s="24"/>
      <c r="I73" s="4"/>
      <c r="J73" s="24"/>
      <c r="K73" s="20">
        <f t="shared" si="28"/>
        <v>0</v>
      </c>
      <c r="L73" s="20">
        <f t="shared" si="29"/>
        <v>0</v>
      </c>
      <c r="M73" s="13" t="e">
        <f t="shared" si="27"/>
        <v>#DIV/0!</v>
      </c>
      <c r="N73" s="4"/>
      <c r="Q73" s="34"/>
    </row>
    <row r="74" spans="1:17" x14ac:dyDescent="0.25">
      <c r="A74" s="23" t="s">
        <v>118</v>
      </c>
      <c r="B74" s="26">
        <f>15443+20338</f>
        <v>35781</v>
      </c>
      <c r="C74" s="4" t="s">
        <v>238</v>
      </c>
      <c r="D74" s="24">
        <f>51673.02/2</f>
        <v>25836.51</v>
      </c>
      <c r="E74" s="26">
        <f>8395+10767</f>
        <v>19162</v>
      </c>
      <c r="F74" s="4" t="s">
        <v>212</v>
      </c>
      <c r="G74" s="27">
        <f>9467.85+11411.44</f>
        <v>20879.29</v>
      </c>
      <c r="H74" s="24"/>
      <c r="I74" s="4"/>
      <c r="J74" s="24"/>
      <c r="K74" s="20">
        <f>B74+E74+H74</f>
        <v>54943</v>
      </c>
      <c r="L74" s="20">
        <f>D74+G74+J74</f>
        <v>46715.8</v>
      </c>
      <c r="M74" s="13">
        <f t="shared" si="27"/>
        <v>14.974064029994722</v>
      </c>
      <c r="N74" s="4"/>
      <c r="Q74" s="34"/>
    </row>
    <row r="75" spans="1:17" x14ac:dyDescent="0.25">
      <c r="A75" s="23" t="s">
        <v>119</v>
      </c>
      <c r="B75" s="26">
        <f>15443+20338</f>
        <v>35781</v>
      </c>
      <c r="C75" s="4" t="s">
        <v>238</v>
      </c>
      <c r="D75" s="24">
        <f>51673.02/2</f>
        <v>25836.51</v>
      </c>
      <c r="E75" s="26">
        <f>8395+10767</f>
        <v>19162</v>
      </c>
      <c r="F75" s="4" t="s">
        <v>212</v>
      </c>
      <c r="G75" s="27">
        <f>9467.85+11411.44</f>
        <v>20879.29</v>
      </c>
      <c r="H75" s="24"/>
      <c r="I75" s="4"/>
      <c r="J75" s="24"/>
      <c r="K75" s="20">
        <f t="shared" ref="K75:K79" si="30">B75+E75+H75</f>
        <v>54943</v>
      </c>
      <c r="L75" s="20">
        <f t="shared" ref="L75:L79" si="31">D75+G75+J75</f>
        <v>46715.8</v>
      </c>
      <c r="M75" s="13">
        <f t="shared" si="27"/>
        <v>14.974064029994722</v>
      </c>
      <c r="N75" s="4"/>
      <c r="Q75" s="34"/>
    </row>
    <row r="76" spans="1:17" x14ac:dyDescent="0.25">
      <c r="A76" s="23" t="s">
        <v>120</v>
      </c>
      <c r="B76" s="26">
        <f>5079+2023</f>
        <v>7102</v>
      </c>
      <c r="C76" s="4" t="s">
        <v>238</v>
      </c>
      <c r="D76" s="24">
        <f>(20177.81+8071.12)/5</f>
        <v>5649.7860000000001</v>
      </c>
      <c r="E76" s="24">
        <f>5435+5435</f>
        <v>10870</v>
      </c>
      <c r="F76" s="4" t="s">
        <v>212</v>
      </c>
      <c r="G76" s="27">
        <f>5743*2</f>
        <v>11486</v>
      </c>
      <c r="H76" s="24"/>
      <c r="I76" s="4"/>
      <c r="J76" s="24"/>
      <c r="K76" s="20">
        <f t="shared" si="30"/>
        <v>17972</v>
      </c>
      <c r="L76" s="20">
        <f t="shared" si="31"/>
        <v>17135.786</v>
      </c>
      <c r="M76" s="13">
        <f t="shared" si="27"/>
        <v>4.6528711328733579</v>
      </c>
      <c r="N76" s="4" t="s">
        <v>444</v>
      </c>
      <c r="Q76" s="34"/>
    </row>
    <row r="77" spans="1:17" x14ac:dyDescent="0.25">
      <c r="A77" s="23" t="s">
        <v>121</v>
      </c>
      <c r="B77" s="26">
        <f>5079+2023</f>
        <v>7102</v>
      </c>
      <c r="C77" s="4" t="s">
        <v>238</v>
      </c>
      <c r="D77" s="24">
        <f>(20177.81+8071.12)/5</f>
        <v>5649.7860000000001</v>
      </c>
      <c r="E77" s="24">
        <f>5435+5435</f>
        <v>10870</v>
      </c>
      <c r="F77" s="4" t="s">
        <v>212</v>
      </c>
      <c r="G77" s="27">
        <f>5743*2</f>
        <v>11486</v>
      </c>
      <c r="H77" s="24"/>
      <c r="I77" s="4"/>
      <c r="J77" s="24"/>
      <c r="K77" s="20">
        <f t="shared" si="30"/>
        <v>17972</v>
      </c>
      <c r="L77" s="20">
        <f t="shared" si="31"/>
        <v>17135.786</v>
      </c>
      <c r="M77" s="13">
        <f t="shared" si="27"/>
        <v>4.6528711328733579</v>
      </c>
      <c r="N77" s="4" t="s">
        <v>444</v>
      </c>
      <c r="Q77" s="34"/>
    </row>
    <row r="78" spans="1:17" x14ac:dyDescent="0.25">
      <c r="A78" s="23" t="s">
        <v>122</v>
      </c>
      <c r="B78" s="26">
        <f>5079+2023</f>
        <v>7102</v>
      </c>
      <c r="C78" s="4" t="s">
        <v>238</v>
      </c>
      <c r="D78" s="24">
        <f>(20177.81+8071.12)/5</f>
        <v>5649.7860000000001</v>
      </c>
      <c r="E78" s="24">
        <f>5435+5435</f>
        <v>10870</v>
      </c>
      <c r="F78" s="4" t="s">
        <v>212</v>
      </c>
      <c r="G78" s="27">
        <f>5743*2</f>
        <v>11486</v>
      </c>
      <c r="H78" s="24"/>
      <c r="I78" s="4"/>
      <c r="J78" s="24"/>
      <c r="K78" s="20">
        <f t="shared" si="30"/>
        <v>17972</v>
      </c>
      <c r="L78" s="20">
        <f t="shared" si="31"/>
        <v>17135.786</v>
      </c>
      <c r="M78" s="13">
        <f t="shared" si="27"/>
        <v>4.6528711328733579</v>
      </c>
      <c r="N78" s="4" t="s">
        <v>444</v>
      </c>
      <c r="Q78" s="34"/>
    </row>
    <row r="79" spans="1:17" x14ac:dyDescent="0.25">
      <c r="A79" s="23" t="s">
        <v>123</v>
      </c>
      <c r="B79" s="26">
        <f>5079+2023</f>
        <v>7102</v>
      </c>
      <c r="C79" s="4" t="s">
        <v>238</v>
      </c>
      <c r="D79" s="24">
        <f>(20177.81+8071.12)/5</f>
        <v>5649.7860000000001</v>
      </c>
      <c r="E79" s="24">
        <f>5435+5435</f>
        <v>10870</v>
      </c>
      <c r="F79" s="4" t="s">
        <v>212</v>
      </c>
      <c r="G79" s="27">
        <f>5743*2</f>
        <v>11486</v>
      </c>
      <c r="H79" s="24"/>
      <c r="I79" s="4"/>
      <c r="J79" s="24"/>
      <c r="K79" s="20">
        <f t="shared" si="30"/>
        <v>17972</v>
      </c>
      <c r="L79" s="20">
        <f t="shared" si="31"/>
        <v>17135.786</v>
      </c>
      <c r="M79" s="13">
        <f t="shared" si="27"/>
        <v>4.6528711328733579</v>
      </c>
      <c r="N79" s="4" t="s">
        <v>444</v>
      </c>
      <c r="Q79" s="34"/>
    </row>
    <row r="80" spans="1:17" x14ac:dyDescent="0.25">
      <c r="A80" s="23" t="s">
        <v>124</v>
      </c>
      <c r="B80" s="26">
        <f>5079+2023</f>
        <v>7102</v>
      </c>
      <c r="C80" s="4" t="s">
        <v>238</v>
      </c>
      <c r="D80" s="24">
        <f>(20177.81+8071.12)/5</f>
        <v>5649.7860000000001</v>
      </c>
      <c r="E80" s="24">
        <f>5435+5435</f>
        <v>10870</v>
      </c>
      <c r="F80" s="4" t="s">
        <v>212</v>
      </c>
      <c r="G80" s="27">
        <f>5743*2</f>
        <v>11486</v>
      </c>
      <c r="H80" s="24"/>
      <c r="I80" s="4"/>
      <c r="J80" s="24"/>
      <c r="K80" s="20">
        <f>B80+E80+H80</f>
        <v>17972</v>
      </c>
      <c r="L80" s="20">
        <f>D80+G80+J80</f>
        <v>17135.786</v>
      </c>
      <c r="M80" s="13">
        <f t="shared" si="27"/>
        <v>4.6528711328733579</v>
      </c>
      <c r="N80" s="4" t="s">
        <v>444</v>
      </c>
      <c r="Q80" s="34"/>
    </row>
    <row r="81" spans="1:17" x14ac:dyDescent="0.25">
      <c r="A81" s="23" t="s">
        <v>125</v>
      </c>
      <c r="B81" s="26">
        <v>2214</v>
      </c>
      <c r="C81" s="4" t="s">
        <v>238</v>
      </c>
      <c r="D81" s="24">
        <v>1716.66</v>
      </c>
      <c r="E81" s="24">
        <f>2897+2897</f>
        <v>5794</v>
      </c>
      <c r="F81" s="4" t="s">
        <v>212</v>
      </c>
      <c r="G81" s="27">
        <f>8652/2</f>
        <v>4326</v>
      </c>
      <c r="H81" s="24"/>
      <c r="I81" s="4"/>
      <c r="J81" s="24"/>
      <c r="K81" s="20">
        <f t="shared" ref="K81:K85" si="32">B81+E81+H81</f>
        <v>8008</v>
      </c>
      <c r="L81" s="20">
        <f t="shared" ref="L81:L85" si="33">D81+G81+J81</f>
        <v>6042.66</v>
      </c>
      <c r="M81" s="13">
        <f t="shared" si="27"/>
        <v>24.54220779220779</v>
      </c>
      <c r="N81" s="4"/>
      <c r="Q81" s="34"/>
    </row>
    <row r="82" spans="1:17" x14ac:dyDescent="0.25">
      <c r="A82" s="23" t="s">
        <v>126</v>
      </c>
      <c r="B82" s="26">
        <v>2822</v>
      </c>
      <c r="C82" s="4" t="s">
        <v>238</v>
      </c>
      <c r="D82" s="24">
        <f>2201.8</f>
        <v>2201.8000000000002</v>
      </c>
      <c r="E82" s="24">
        <f>3404+3404</f>
        <v>6808</v>
      </c>
      <c r="F82" s="4" t="s">
        <v>212</v>
      </c>
      <c r="G82" s="27">
        <f>11912/2</f>
        <v>5956</v>
      </c>
      <c r="H82" s="24"/>
      <c r="I82" s="4"/>
      <c r="J82" s="24"/>
      <c r="K82" s="20">
        <f t="shared" si="32"/>
        <v>9630</v>
      </c>
      <c r="L82" s="20">
        <f t="shared" si="33"/>
        <v>8157.8</v>
      </c>
      <c r="M82" s="13">
        <f t="shared" si="27"/>
        <v>15.287642782969883</v>
      </c>
      <c r="N82" s="4"/>
      <c r="Q82" s="34"/>
    </row>
    <row r="83" spans="1:17" x14ac:dyDescent="0.25">
      <c r="A83" s="23" t="s">
        <v>127</v>
      </c>
      <c r="B83" s="26">
        <v>2822</v>
      </c>
      <c r="C83" s="4" t="s">
        <v>238</v>
      </c>
      <c r="D83" s="24">
        <f>2201.8</f>
        <v>2201.8000000000002</v>
      </c>
      <c r="E83" s="24">
        <f>3404+3404</f>
        <v>6808</v>
      </c>
      <c r="F83" s="4" t="s">
        <v>212</v>
      </c>
      <c r="G83" s="27">
        <f>11912/2</f>
        <v>5956</v>
      </c>
      <c r="H83" s="24"/>
      <c r="I83" s="4"/>
      <c r="J83" s="24"/>
      <c r="K83" s="20">
        <f t="shared" si="32"/>
        <v>9630</v>
      </c>
      <c r="L83" s="20">
        <f t="shared" si="33"/>
        <v>8157.8</v>
      </c>
      <c r="M83" s="13">
        <f t="shared" si="27"/>
        <v>15.287642782969883</v>
      </c>
      <c r="N83" s="4"/>
      <c r="Q83" s="34"/>
    </row>
    <row r="84" spans="1:17" x14ac:dyDescent="0.25">
      <c r="A84" s="23" t="s">
        <v>128</v>
      </c>
      <c r="B84" s="26">
        <v>2214</v>
      </c>
      <c r="C84" s="4" t="s">
        <v>238</v>
      </c>
      <c r="D84" s="24">
        <v>1657.46</v>
      </c>
      <c r="E84" s="24">
        <f>2897+2897</f>
        <v>5794</v>
      </c>
      <c r="F84" s="4" t="s">
        <v>212</v>
      </c>
      <c r="G84" s="27">
        <f>8652/2</f>
        <v>4326</v>
      </c>
      <c r="H84" s="24"/>
      <c r="I84" s="4"/>
      <c r="J84" s="53"/>
      <c r="K84" s="20">
        <f t="shared" si="32"/>
        <v>8008</v>
      </c>
      <c r="L84" s="20">
        <f t="shared" si="33"/>
        <v>5983.46</v>
      </c>
      <c r="M84" s="13">
        <f t="shared" ref="M84:M103" si="34">100-L84*100/K84</f>
        <v>25.281468531468533</v>
      </c>
      <c r="N84" s="4"/>
      <c r="Q84" s="34"/>
    </row>
    <row r="85" spans="1:17" x14ac:dyDescent="0.25">
      <c r="A85" s="23" t="s">
        <v>129</v>
      </c>
      <c r="B85" s="26">
        <v>2214</v>
      </c>
      <c r="C85" s="4" t="s">
        <v>238</v>
      </c>
      <c r="D85" s="24">
        <v>1657.46</v>
      </c>
      <c r="E85" s="24">
        <f>2897+2897</f>
        <v>5794</v>
      </c>
      <c r="F85" s="4" t="s">
        <v>212</v>
      </c>
      <c r="G85" s="27">
        <v>4780</v>
      </c>
      <c r="H85" s="24"/>
      <c r="I85" s="4"/>
      <c r="J85" s="53"/>
      <c r="K85" s="20">
        <f t="shared" si="32"/>
        <v>8008</v>
      </c>
      <c r="L85" s="20">
        <f t="shared" si="33"/>
        <v>6437.46</v>
      </c>
      <c r="M85" s="13">
        <f t="shared" si="34"/>
        <v>19.612137862137857</v>
      </c>
      <c r="N85" s="4"/>
      <c r="Q85" s="34"/>
    </row>
    <row r="86" spans="1:17" x14ac:dyDescent="0.25">
      <c r="A86" s="23" t="s">
        <v>130</v>
      </c>
      <c r="B86" s="24">
        <v>635</v>
      </c>
      <c r="C86" s="4" t="s">
        <v>238</v>
      </c>
      <c r="D86" s="24">
        <v>535.33000000000004</v>
      </c>
      <c r="E86" s="24">
        <f>834+834</f>
        <v>1668</v>
      </c>
      <c r="F86" s="4" t="s">
        <v>212</v>
      </c>
      <c r="G86" s="27">
        <v>1118</v>
      </c>
      <c r="H86" s="24"/>
      <c r="I86" s="4"/>
      <c r="J86" s="24"/>
      <c r="K86" s="20">
        <f>B86+E86+H86</f>
        <v>2303</v>
      </c>
      <c r="L86" s="20">
        <f>D86+G86+J86</f>
        <v>1653.33</v>
      </c>
      <c r="M86" s="13">
        <f t="shared" si="34"/>
        <v>28.209726443769</v>
      </c>
      <c r="N86" s="4"/>
      <c r="Q86" s="34"/>
    </row>
    <row r="87" spans="1:17" x14ac:dyDescent="0.25">
      <c r="A87" s="23" t="s">
        <v>131</v>
      </c>
      <c r="B87" s="24">
        <v>1905</v>
      </c>
      <c r="C87" s="4" t="s">
        <v>238</v>
      </c>
      <c r="D87" s="24">
        <v>1306.115</v>
      </c>
      <c r="E87" s="24">
        <f>3090+3090</f>
        <v>6180</v>
      </c>
      <c r="F87" s="4" t="s">
        <v>212</v>
      </c>
      <c r="G87" s="27">
        <f>3956/2</f>
        <v>1978</v>
      </c>
      <c r="H87" s="24"/>
      <c r="I87" s="4"/>
      <c r="J87" s="24"/>
      <c r="K87" s="20">
        <f t="shared" ref="K87:K91" si="35">B87+E87+H87</f>
        <v>8085</v>
      </c>
      <c r="L87" s="20">
        <f t="shared" ref="L87:L91" si="36">D87+G87+J87</f>
        <v>3284.1149999999998</v>
      </c>
      <c r="M87" s="13">
        <f t="shared" si="34"/>
        <v>59.380148423005565</v>
      </c>
      <c r="N87" s="4"/>
      <c r="Q87" s="34"/>
    </row>
    <row r="88" spans="1:17" x14ac:dyDescent="0.25">
      <c r="A88" s="23" t="s">
        <v>132</v>
      </c>
      <c r="B88" s="26">
        <v>1905</v>
      </c>
      <c r="C88" s="4" t="s">
        <v>238</v>
      </c>
      <c r="D88" s="24">
        <v>1306.115</v>
      </c>
      <c r="E88" s="24">
        <f>3090+3090</f>
        <v>6180</v>
      </c>
      <c r="F88" s="4" t="s">
        <v>212</v>
      </c>
      <c r="G88" s="27">
        <f>3956/2</f>
        <v>1978</v>
      </c>
      <c r="H88" s="24"/>
      <c r="I88" s="4"/>
      <c r="J88" s="24"/>
      <c r="K88" s="20">
        <f t="shared" si="35"/>
        <v>8085</v>
      </c>
      <c r="L88" s="20">
        <f t="shared" si="36"/>
        <v>3284.1149999999998</v>
      </c>
      <c r="M88" s="13">
        <f t="shared" si="34"/>
        <v>59.380148423005565</v>
      </c>
      <c r="N88" s="4"/>
      <c r="Q88" s="34"/>
    </row>
    <row r="89" spans="1:17" x14ac:dyDescent="0.25">
      <c r="A89" s="23" t="s">
        <v>133</v>
      </c>
      <c r="B89" s="24">
        <f>1587+1270</f>
        <v>2857</v>
      </c>
      <c r="C89" s="4" t="s">
        <v>238</v>
      </c>
      <c r="D89" s="24">
        <f>(1024.65+819.72)</f>
        <v>1844.3700000000001</v>
      </c>
      <c r="E89" s="24">
        <f>3177+3177</f>
        <v>6354</v>
      </c>
      <c r="F89" s="4" t="s">
        <v>212</v>
      </c>
      <c r="G89" s="24">
        <v>2316</v>
      </c>
      <c r="H89" s="24"/>
      <c r="I89" s="4"/>
      <c r="J89" s="24"/>
      <c r="K89" s="20">
        <f t="shared" si="35"/>
        <v>9211</v>
      </c>
      <c r="L89" s="20">
        <f t="shared" si="36"/>
        <v>4160.37</v>
      </c>
      <c r="M89" s="13">
        <f t="shared" si="34"/>
        <v>54.832591466724566</v>
      </c>
      <c r="N89" s="4"/>
      <c r="Q89" s="34"/>
    </row>
    <row r="90" spans="1:17" x14ac:dyDescent="0.25">
      <c r="A90" s="23" t="s">
        <v>134</v>
      </c>
      <c r="B90" s="24">
        <f>2849+2279</f>
        <v>5128</v>
      </c>
      <c r="C90" s="4" t="s">
        <v>238</v>
      </c>
      <c r="D90" s="24">
        <f>2833.275+2266.62</f>
        <v>5099.8950000000004</v>
      </c>
      <c r="E90" s="24">
        <f>2153+2153</f>
        <v>4306</v>
      </c>
      <c r="F90" s="4" t="s">
        <v>212</v>
      </c>
      <c r="G90" s="24">
        <f>3943.16/2</f>
        <v>1971.58</v>
      </c>
      <c r="H90" s="24"/>
      <c r="I90" s="4"/>
      <c r="J90" s="24"/>
      <c r="K90" s="20">
        <f t="shared" si="35"/>
        <v>9434</v>
      </c>
      <c r="L90" s="20">
        <f t="shared" si="36"/>
        <v>7071.4750000000004</v>
      </c>
      <c r="M90" s="13">
        <f t="shared" si="34"/>
        <v>25.04266482934068</v>
      </c>
      <c r="N90" s="4"/>
      <c r="Q90" s="34"/>
    </row>
    <row r="91" spans="1:17" x14ac:dyDescent="0.25">
      <c r="A91" s="23" t="s">
        <v>135</v>
      </c>
      <c r="B91" s="24">
        <f>2849+2279</f>
        <v>5128</v>
      </c>
      <c r="C91" s="4" t="s">
        <v>238</v>
      </c>
      <c r="D91" s="24">
        <f>2833.275+2266.62</f>
        <v>5099.8950000000004</v>
      </c>
      <c r="E91" s="24">
        <f>1962+1962</f>
        <v>3924</v>
      </c>
      <c r="F91" s="4" t="s">
        <v>212</v>
      </c>
      <c r="G91" s="24">
        <f>3943.16/2</f>
        <v>1971.58</v>
      </c>
      <c r="H91" s="24"/>
      <c r="I91" s="4"/>
      <c r="J91" s="24"/>
      <c r="K91" s="20">
        <f t="shared" si="35"/>
        <v>9052</v>
      </c>
      <c r="L91" s="20">
        <f t="shared" si="36"/>
        <v>7071.4750000000004</v>
      </c>
      <c r="M91" s="13">
        <f t="shared" si="34"/>
        <v>21.879418912947415</v>
      </c>
      <c r="N91" s="4"/>
      <c r="Q91" s="34"/>
    </row>
    <row r="92" spans="1:17" x14ac:dyDescent="0.25">
      <c r="A92" s="23" t="s">
        <v>140</v>
      </c>
      <c r="B92" s="24">
        <v>19211</v>
      </c>
      <c r="C92" s="4" t="s">
        <v>238</v>
      </c>
      <c r="D92" s="24">
        <v>7836.08</v>
      </c>
      <c r="E92" s="24">
        <f>2489+2489</f>
        <v>4978</v>
      </c>
      <c r="F92" s="4" t="s">
        <v>212</v>
      </c>
      <c r="G92" s="24">
        <v>4538</v>
      </c>
      <c r="H92" s="24"/>
      <c r="I92" s="4"/>
      <c r="J92" s="24"/>
      <c r="K92" s="20">
        <f>B92+E92+H92</f>
        <v>24189</v>
      </c>
      <c r="L92" s="20">
        <f>D92+G92+J92</f>
        <v>12374.08</v>
      </c>
      <c r="M92" s="13">
        <f t="shared" si="34"/>
        <v>48.844185373516886</v>
      </c>
      <c r="N92" s="4"/>
      <c r="Q92" s="34"/>
    </row>
    <row r="93" spans="1:17" x14ac:dyDescent="0.25">
      <c r="A93" s="23" t="s">
        <v>141</v>
      </c>
      <c r="B93" s="26">
        <f>5337</f>
        <v>5337</v>
      </c>
      <c r="C93" s="4" t="s">
        <v>238</v>
      </c>
      <c r="D93" s="24">
        <v>4500.12</v>
      </c>
      <c r="E93" s="24">
        <f>3051+3051</f>
        <v>6102</v>
      </c>
      <c r="F93" s="4" t="s">
        <v>212</v>
      </c>
      <c r="G93" s="24">
        <v>5048</v>
      </c>
      <c r="H93" s="24"/>
      <c r="I93" s="4"/>
      <c r="J93" s="24"/>
      <c r="K93" s="20">
        <f t="shared" ref="K93:K97" si="37">B93+E93+H93</f>
        <v>11439</v>
      </c>
      <c r="L93" s="20">
        <f t="shared" ref="L93:L97" si="38">D93+G93+J93</f>
        <v>9548.119999999999</v>
      </c>
      <c r="M93" s="13">
        <f t="shared" si="34"/>
        <v>16.530116268904635</v>
      </c>
      <c r="N93" s="4"/>
      <c r="Q93" s="34"/>
    </row>
    <row r="94" spans="1:17" x14ac:dyDescent="0.25">
      <c r="A94" s="23" t="s">
        <v>142</v>
      </c>
      <c r="B94" s="47"/>
      <c r="C94" s="4"/>
      <c r="D94" s="24"/>
      <c r="E94" s="24"/>
      <c r="F94" s="4"/>
      <c r="G94" s="24"/>
      <c r="H94" s="24"/>
      <c r="I94" s="4"/>
      <c r="J94" s="24"/>
      <c r="K94" s="20">
        <f t="shared" si="37"/>
        <v>0</v>
      </c>
      <c r="L94" s="20">
        <f t="shared" si="38"/>
        <v>0</v>
      </c>
      <c r="M94" s="13" t="e">
        <f t="shared" si="34"/>
        <v>#DIV/0!</v>
      </c>
      <c r="N94" s="4"/>
      <c r="Q94" s="34"/>
    </row>
    <row r="95" spans="1:17" x14ac:dyDescent="0.25">
      <c r="A95" s="23" t="s">
        <v>143</v>
      </c>
      <c r="B95" s="26">
        <f>1752+2402+1922+1752+2279</f>
        <v>10107</v>
      </c>
      <c r="C95" s="4" t="s">
        <v>238</v>
      </c>
      <c r="D95" s="24">
        <f>1372.64+1372.64+1785.92+1098.11+1098.11+878.49+878.49</f>
        <v>8484.4</v>
      </c>
      <c r="E95" s="24"/>
      <c r="F95" s="4"/>
      <c r="G95" s="24"/>
      <c r="H95" s="24"/>
      <c r="I95" s="4"/>
      <c r="J95" s="24"/>
      <c r="K95" s="20">
        <f t="shared" si="37"/>
        <v>10107</v>
      </c>
      <c r="L95" s="20">
        <f t="shared" si="38"/>
        <v>8484.4</v>
      </c>
      <c r="M95" s="13">
        <f t="shared" si="34"/>
        <v>16.05421984763035</v>
      </c>
      <c r="N95" s="4"/>
      <c r="Q95" s="34"/>
    </row>
    <row r="96" spans="1:17" x14ac:dyDescent="0.25">
      <c r="A96" s="23" t="s">
        <v>149</v>
      </c>
      <c r="B96" s="26">
        <f>901+1201+6006+901+1201+1172+1562</f>
        <v>12944</v>
      </c>
      <c r="C96" s="4" t="s">
        <v>238</v>
      </c>
      <c r="D96" s="24">
        <f>802.88+802.88+1070.68+1070.68+1044.68+1393.08+4914.84</f>
        <v>11099.720000000001</v>
      </c>
      <c r="E96" s="24"/>
      <c r="F96" s="4"/>
      <c r="G96" s="24"/>
      <c r="H96" s="24"/>
      <c r="I96" s="4"/>
      <c r="J96" s="24"/>
      <c r="K96" s="20">
        <f t="shared" si="37"/>
        <v>12944</v>
      </c>
      <c r="L96" s="20">
        <f t="shared" si="38"/>
        <v>11099.720000000001</v>
      </c>
      <c r="M96" s="13">
        <f t="shared" si="34"/>
        <v>14.248145859085284</v>
      </c>
      <c r="N96" s="4"/>
      <c r="Q96" s="34"/>
    </row>
    <row r="97" spans="1:17" x14ac:dyDescent="0.25">
      <c r="A97" s="23" t="s">
        <v>150</v>
      </c>
      <c r="B97" s="26">
        <f>2279+1424+6456+5165+1752+1095+2968+1855</f>
        <v>22994</v>
      </c>
      <c r="C97" s="4" t="s">
        <v>238</v>
      </c>
      <c r="D97" s="24">
        <f>62116.59/3</f>
        <v>20705.53</v>
      </c>
      <c r="E97" s="24"/>
      <c r="F97" s="4"/>
      <c r="G97" s="24"/>
      <c r="H97" s="24"/>
      <c r="I97" s="4"/>
      <c r="J97" s="24"/>
      <c r="K97" s="20">
        <f t="shared" si="37"/>
        <v>22994</v>
      </c>
      <c r="L97" s="20">
        <f t="shared" si="38"/>
        <v>20705.53</v>
      </c>
      <c r="M97" s="13">
        <f t="shared" si="34"/>
        <v>9.9524658606593022</v>
      </c>
      <c r="N97" s="4"/>
      <c r="Q97" s="34"/>
    </row>
    <row r="98" spans="1:17" x14ac:dyDescent="0.25">
      <c r="A98" s="23" t="s">
        <v>151</v>
      </c>
      <c r="B98" s="26">
        <f>901+1201+7207+901+1201+1172+1562</f>
        <v>14145</v>
      </c>
      <c r="C98" s="4" t="s">
        <v>238</v>
      </c>
      <c r="D98" s="24">
        <f>802.88+802.88+1070.68+1070.68+1044.68+1393.08+(1026.03*6)</f>
        <v>12341.060000000001</v>
      </c>
      <c r="E98" s="24"/>
      <c r="F98" s="4"/>
      <c r="G98" s="24"/>
      <c r="H98" s="24"/>
      <c r="I98" s="4"/>
      <c r="J98" s="24"/>
      <c r="K98" s="20">
        <f>B98+E98+H98</f>
        <v>14145</v>
      </c>
      <c r="L98" s="20">
        <f>D98+G98+J98</f>
        <v>12341.060000000001</v>
      </c>
      <c r="M98" s="13">
        <f t="shared" si="34"/>
        <v>12.753199010250952</v>
      </c>
      <c r="N98" s="4"/>
      <c r="Q98" s="34"/>
    </row>
    <row r="99" spans="1:17" x14ac:dyDescent="0.25">
      <c r="A99" s="23" t="s">
        <v>152</v>
      </c>
      <c r="B99" s="26">
        <f>1752+4805+1922+1752+2279</f>
        <v>12510</v>
      </c>
      <c r="C99" s="4" t="s">
        <v>238</v>
      </c>
      <c r="D99" s="24">
        <f>1372.64+1372.64+1785.92+1098.11+1098.11+1098.11+1098.11+878.49+878.49</f>
        <v>10680.619999999999</v>
      </c>
      <c r="E99" s="26"/>
      <c r="F99" s="4"/>
      <c r="G99" s="24"/>
      <c r="H99" s="24"/>
      <c r="I99" s="4"/>
      <c r="J99" s="24"/>
      <c r="K99" s="20">
        <f t="shared" ref="K99:K103" si="39">B99+E99+H99</f>
        <v>12510</v>
      </c>
      <c r="L99" s="20">
        <f t="shared" ref="L99:L103" si="40">D99+G99+J99</f>
        <v>10680.619999999999</v>
      </c>
      <c r="M99" s="13">
        <f t="shared" si="34"/>
        <v>14.623341326938444</v>
      </c>
      <c r="N99" s="4"/>
      <c r="Q99" s="34"/>
    </row>
    <row r="100" spans="1:17" x14ac:dyDescent="0.25">
      <c r="A100" s="23" t="s">
        <v>153</v>
      </c>
      <c r="B100" s="26">
        <f>901+1201+9610+901+1201+1172+1562</f>
        <v>16548</v>
      </c>
      <c r="C100" s="4" t="s">
        <v>238</v>
      </c>
      <c r="D100" s="24">
        <f>802.88+802.88+1070.68+1070.68+1044.68+1393.08+(1026.03*8)</f>
        <v>14393.119999999999</v>
      </c>
      <c r="E100" s="26"/>
      <c r="F100" s="4"/>
      <c r="G100" s="27"/>
      <c r="H100" s="24"/>
      <c r="I100" s="4"/>
      <c r="J100" s="24"/>
      <c r="K100" s="20">
        <f t="shared" si="39"/>
        <v>16548</v>
      </c>
      <c r="L100" s="20">
        <f t="shared" si="40"/>
        <v>14393.119999999999</v>
      </c>
      <c r="M100" s="13">
        <f t="shared" si="34"/>
        <v>13.021996615905252</v>
      </c>
      <c r="N100" s="4"/>
      <c r="Q100" s="34"/>
    </row>
    <row r="101" spans="1:17" x14ac:dyDescent="0.25">
      <c r="A101" s="23" t="s">
        <v>154</v>
      </c>
      <c r="B101" s="26">
        <f>2279+1424+6456+5165+1752+1095+2968+1855</f>
        <v>22994</v>
      </c>
      <c r="C101" s="4" t="s">
        <v>238</v>
      </c>
      <c r="D101" s="24">
        <f>62116.59/3</f>
        <v>20705.53</v>
      </c>
      <c r="E101" s="26"/>
      <c r="F101" s="4"/>
      <c r="G101" s="27"/>
      <c r="H101" s="24"/>
      <c r="I101" s="4"/>
      <c r="J101" s="24"/>
      <c r="K101" s="20">
        <f t="shared" si="39"/>
        <v>22994</v>
      </c>
      <c r="L101" s="20">
        <f t="shared" si="40"/>
        <v>20705.53</v>
      </c>
      <c r="M101" s="13">
        <f t="shared" si="34"/>
        <v>9.9524658606593022</v>
      </c>
      <c r="N101" s="4"/>
      <c r="Q101" s="34"/>
    </row>
    <row r="102" spans="1:17" x14ac:dyDescent="0.25">
      <c r="A102" s="23" t="s">
        <v>158</v>
      </c>
      <c r="B102" s="26">
        <f>2279+1424+6456+5165+1752+1095+2968+1855</f>
        <v>22994</v>
      </c>
      <c r="C102" s="4" t="s">
        <v>238</v>
      </c>
      <c r="D102" s="24">
        <f>62116.59/3</f>
        <v>20705.53</v>
      </c>
      <c r="E102" s="26"/>
      <c r="F102" s="4"/>
      <c r="G102" s="27"/>
      <c r="H102" s="24"/>
      <c r="I102" s="4"/>
      <c r="J102" s="24"/>
      <c r="K102" s="20">
        <f t="shared" si="39"/>
        <v>22994</v>
      </c>
      <c r="L102" s="20">
        <f t="shared" si="40"/>
        <v>20705.53</v>
      </c>
      <c r="M102" s="13">
        <f t="shared" si="34"/>
        <v>9.9524658606593022</v>
      </c>
      <c r="N102" s="4"/>
      <c r="Q102" s="34"/>
    </row>
    <row r="103" spans="1:17" x14ac:dyDescent="0.25">
      <c r="A103" s="23" t="s">
        <v>159</v>
      </c>
      <c r="B103" s="47"/>
      <c r="C103" s="4"/>
      <c r="D103" s="24"/>
      <c r="E103" s="26"/>
      <c r="F103" s="4"/>
      <c r="G103" s="27"/>
      <c r="H103" s="24"/>
      <c r="I103" s="4"/>
      <c r="J103" s="24"/>
      <c r="K103" s="20">
        <f t="shared" si="39"/>
        <v>0</v>
      </c>
      <c r="L103" s="20">
        <f t="shared" si="40"/>
        <v>0</v>
      </c>
      <c r="M103" s="13" t="e">
        <f t="shared" si="34"/>
        <v>#DIV/0!</v>
      </c>
      <c r="N103" s="4"/>
      <c r="Q103" s="34"/>
    </row>
    <row r="104" spans="1:17" x14ac:dyDescent="0.25">
      <c r="A104" s="23"/>
      <c r="B104" s="26"/>
      <c r="C104" s="4"/>
      <c r="D104" s="24"/>
      <c r="E104" s="26"/>
      <c r="F104" s="4"/>
      <c r="G104" s="27"/>
      <c r="H104" s="24"/>
      <c r="I104" s="4"/>
      <c r="J104" s="24"/>
      <c r="K104" s="20"/>
      <c r="L104" s="20"/>
      <c r="M104" s="13"/>
      <c r="N104" s="4"/>
      <c r="Q104" s="34"/>
    </row>
    <row r="105" spans="1:17" x14ac:dyDescent="0.25">
      <c r="A105" s="23"/>
      <c r="B105" s="8"/>
      <c r="C105" s="4"/>
      <c r="D105" s="24"/>
      <c r="E105" s="24"/>
      <c r="F105" s="4"/>
      <c r="G105" s="27"/>
      <c r="H105" s="24"/>
      <c r="I105" s="4"/>
      <c r="J105" s="24"/>
      <c r="K105" s="20"/>
      <c r="L105" s="20"/>
      <c r="M105" s="13"/>
      <c r="N105" s="4"/>
      <c r="Q105" s="34"/>
    </row>
    <row r="106" spans="1:17" x14ac:dyDescent="0.25">
      <c r="A106" s="23"/>
      <c r="B106" s="8"/>
      <c r="C106" s="4"/>
      <c r="D106" s="24"/>
      <c r="E106" s="24"/>
      <c r="F106" s="4"/>
      <c r="G106" s="15"/>
      <c r="H106" s="9"/>
      <c r="I106" s="4"/>
      <c r="J106" s="24"/>
      <c r="K106" s="39">
        <f>SUM(K2:K105)</f>
        <v>2644917</v>
      </c>
      <c r="L106" s="39">
        <f>SUM(L2:L105)</f>
        <v>2425174.9382000002</v>
      </c>
      <c r="M106" s="49">
        <f>100-L106*100/K106</f>
        <v>8.3080891309632676</v>
      </c>
      <c r="N106" s="50">
        <f>K106-L106</f>
        <v>219742.06179999979</v>
      </c>
    </row>
    <row r="110" spans="1:17" ht="30" x14ac:dyDescent="0.25">
      <c r="A110" s="2" t="s">
        <v>0</v>
      </c>
      <c r="B110" s="3" t="s">
        <v>2</v>
      </c>
      <c r="C110" s="3" t="s">
        <v>9</v>
      </c>
      <c r="D110" s="3" t="s">
        <v>3</v>
      </c>
      <c r="E110" s="3" t="s">
        <v>4</v>
      </c>
      <c r="F110" s="7" t="s">
        <v>9</v>
      </c>
      <c r="G110" s="3" t="s">
        <v>5</v>
      </c>
      <c r="H110" s="3" t="s">
        <v>252</v>
      </c>
      <c r="I110" s="7" t="s">
        <v>9</v>
      </c>
      <c r="J110" s="3" t="s">
        <v>253</v>
      </c>
      <c r="K110" s="5" t="s">
        <v>10</v>
      </c>
      <c r="L110" s="5" t="s">
        <v>11</v>
      </c>
      <c r="M110" s="12" t="s">
        <v>61</v>
      </c>
      <c r="N110" s="34"/>
    </row>
    <row r="111" spans="1:17" x14ac:dyDescent="0.25">
      <c r="A111" s="23" t="s">
        <v>143</v>
      </c>
      <c r="B111" s="26">
        <f>1752+2402+1922+1752+2279</f>
        <v>10107</v>
      </c>
      <c r="C111" s="4" t="s">
        <v>238</v>
      </c>
      <c r="D111" s="24">
        <f>1372.64+1372.64+1785.92+1098.11+1098.11+878.49+878.49</f>
        <v>8484.4</v>
      </c>
      <c r="E111" s="24"/>
      <c r="F111" s="4"/>
      <c r="G111" s="24"/>
      <c r="H111" s="24"/>
      <c r="I111" s="4"/>
      <c r="J111" s="24"/>
      <c r="K111" s="20">
        <f t="shared" ref="K111:K113" si="41">B111+E111+H111</f>
        <v>10107</v>
      </c>
      <c r="L111" s="20">
        <f t="shared" ref="L111:L113" si="42">D111+G111+J111</f>
        <v>8484.4</v>
      </c>
      <c r="M111" s="13">
        <f t="shared" ref="M111:M118" si="43">100-L111*100/K111</f>
        <v>16.05421984763035</v>
      </c>
      <c r="N111" s="53">
        <f t="shared" ref="N111:N124" si="44">K111-L111</f>
        <v>1622.6000000000004</v>
      </c>
    </row>
    <row r="112" spans="1:17" x14ac:dyDescent="0.25">
      <c r="A112" s="23" t="s">
        <v>149</v>
      </c>
      <c r="B112" s="26">
        <f>901+1201+6006+901+1201+1172+1562</f>
        <v>12944</v>
      </c>
      <c r="C112" s="4" t="s">
        <v>238</v>
      </c>
      <c r="D112" s="24">
        <f>802.88+802.88+1070.68+1070.68+1044.68+1393.08+4914.84</f>
        <v>11099.720000000001</v>
      </c>
      <c r="E112" s="24"/>
      <c r="F112" s="4"/>
      <c r="G112" s="24"/>
      <c r="H112" s="24"/>
      <c r="I112" s="4"/>
      <c r="J112" s="24"/>
      <c r="K112" s="20">
        <f t="shared" si="41"/>
        <v>12944</v>
      </c>
      <c r="L112" s="20">
        <f t="shared" si="42"/>
        <v>11099.720000000001</v>
      </c>
      <c r="M112" s="13">
        <f t="shared" si="43"/>
        <v>14.248145859085284</v>
      </c>
      <c r="N112" s="53">
        <f t="shared" si="44"/>
        <v>1844.2799999999988</v>
      </c>
    </row>
    <row r="113" spans="1:14" x14ac:dyDescent="0.25">
      <c r="A113" s="23" t="s">
        <v>150</v>
      </c>
      <c r="B113" s="26">
        <f>2279+1424+6456+5165+1752+1095+2968+1855</f>
        <v>22994</v>
      </c>
      <c r="C113" s="4" t="s">
        <v>238</v>
      </c>
      <c r="D113" s="24">
        <f>62116.59/3</f>
        <v>20705.53</v>
      </c>
      <c r="E113" s="24"/>
      <c r="F113" s="4"/>
      <c r="G113" s="24"/>
      <c r="H113" s="24"/>
      <c r="I113" s="4"/>
      <c r="J113" s="24"/>
      <c r="K113" s="20">
        <f t="shared" si="41"/>
        <v>22994</v>
      </c>
      <c r="L113" s="20">
        <f t="shared" si="42"/>
        <v>20705.53</v>
      </c>
      <c r="M113" s="13">
        <f t="shared" si="43"/>
        <v>9.9524658606593022</v>
      </c>
      <c r="N113" s="53">
        <f t="shared" si="44"/>
        <v>2288.4700000000012</v>
      </c>
    </row>
    <row r="114" spans="1:14" x14ac:dyDescent="0.25">
      <c r="A114" s="23" t="s">
        <v>151</v>
      </c>
      <c r="B114" s="26">
        <f>901+1201+7207+901+1201+1172+1562</f>
        <v>14145</v>
      </c>
      <c r="C114" s="4" t="s">
        <v>238</v>
      </c>
      <c r="D114" s="24">
        <f>802.88+802.88+1070.68+1070.68+1044.68+1393.08+(1026.03*6)</f>
        <v>12341.060000000001</v>
      </c>
      <c r="E114" s="24"/>
      <c r="F114" s="4"/>
      <c r="G114" s="24"/>
      <c r="H114" s="24"/>
      <c r="I114" s="4"/>
      <c r="J114" s="24"/>
      <c r="K114" s="20">
        <f>B114+E114+H114</f>
        <v>14145</v>
      </c>
      <c r="L114" s="20">
        <f>D114+G114+J114</f>
        <v>12341.060000000001</v>
      </c>
      <c r="M114" s="13">
        <f t="shared" si="43"/>
        <v>12.753199010250952</v>
      </c>
      <c r="N114" s="53">
        <f t="shared" si="44"/>
        <v>1803.9399999999987</v>
      </c>
    </row>
    <row r="115" spans="1:14" x14ac:dyDescent="0.25">
      <c r="A115" s="23" t="s">
        <v>152</v>
      </c>
      <c r="B115" s="26">
        <f>1752+4805+1922+1752+2279</f>
        <v>12510</v>
      </c>
      <c r="C115" s="4" t="s">
        <v>238</v>
      </c>
      <c r="D115" s="24">
        <f>1372.64+1372.64+1785.92+1098.11+1098.11+1098.11+1098.11+878.49+878.49</f>
        <v>10680.619999999999</v>
      </c>
      <c r="E115" s="26"/>
      <c r="F115" s="4"/>
      <c r="G115" s="24"/>
      <c r="H115" s="24"/>
      <c r="I115" s="4"/>
      <c r="J115" s="24"/>
      <c r="K115" s="20">
        <f t="shared" ref="K115:K118" si="45">B115+E115+H115</f>
        <v>12510</v>
      </c>
      <c r="L115" s="20">
        <f t="shared" ref="L115:L118" si="46">D115+G115+J115</f>
        <v>10680.619999999999</v>
      </c>
      <c r="M115" s="13">
        <f t="shared" si="43"/>
        <v>14.623341326938444</v>
      </c>
      <c r="N115" s="53">
        <f t="shared" si="44"/>
        <v>1829.380000000001</v>
      </c>
    </row>
    <row r="116" spans="1:14" x14ac:dyDescent="0.25">
      <c r="A116" s="23" t="s">
        <v>153</v>
      </c>
      <c r="B116" s="26">
        <f>901+1201+9610+901+1201+1172+1562</f>
        <v>16548</v>
      </c>
      <c r="C116" s="4" t="s">
        <v>238</v>
      </c>
      <c r="D116" s="24">
        <f>802.88+802.88+1070.68+1070.68+1044.68+1393.08+(1026.03*8)</f>
        <v>14393.119999999999</v>
      </c>
      <c r="E116" s="26"/>
      <c r="F116" s="4"/>
      <c r="G116" s="27"/>
      <c r="H116" s="24"/>
      <c r="I116" s="4"/>
      <c r="J116" s="24"/>
      <c r="K116" s="20">
        <f t="shared" si="45"/>
        <v>16548</v>
      </c>
      <c r="L116" s="20">
        <f t="shared" si="46"/>
        <v>14393.119999999999</v>
      </c>
      <c r="M116" s="13">
        <f t="shared" si="43"/>
        <v>13.021996615905252</v>
      </c>
      <c r="N116" s="53">
        <f t="shared" si="44"/>
        <v>2154.880000000001</v>
      </c>
    </row>
    <row r="117" spans="1:14" x14ac:dyDescent="0.25">
      <c r="A117" s="23" t="s">
        <v>154</v>
      </c>
      <c r="B117" s="26">
        <f>2279+1424+6456+5165+1752+1095+2968+1855</f>
        <v>22994</v>
      </c>
      <c r="C117" s="4" t="s">
        <v>238</v>
      </c>
      <c r="D117" s="24">
        <f>62116.59/3</f>
        <v>20705.53</v>
      </c>
      <c r="E117" s="26"/>
      <c r="F117" s="4"/>
      <c r="G117" s="27"/>
      <c r="H117" s="24"/>
      <c r="I117" s="4"/>
      <c r="J117" s="24"/>
      <c r="K117" s="20">
        <f t="shared" si="45"/>
        <v>22994</v>
      </c>
      <c r="L117" s="20">
        <f t="shared" si="46"/>
        <v>20705.53</v>
      </c>
      <c r="M117" s="13">
        <f t="shared" si="43"/>
        <v>9.9524658606593022</v>
      </c>
      <c r="N117" s="53">
        <f t="shared" si="44"/>
        <v>2288.4700000000012</v>
      </c>
    </row>
    <row r="118" spans="1:14" x14ac:dyDescent="0.25">
      <c r="A118" s="23" t="s">
        <v>158</v>
      </c>
      <c r="B118" s="26">
        <f>2279+1424+6456+5165+1752+1095+2968+1855</f>
        <v>22994</v>
      </c>
      <c r="C118" s="4" t="s">
        <v>238</v>
      </c>
      <c r="D118" s="24">
        <f>62116.59/3</f>
        <v>20705.53</v>
      </c>
      <c r="E118" s="26"/>
      <c r="F118" s="4"/>
      <c r="G118" s="27"/>
      <c r="H118" s="24"/>
      <c r="I118" s="4"/>
      <c r="J118" s="24"/>
      <c r="K118" s="20">
        <f t="shared" si="45"/>
        <v>22994</v>
      </c>
      <c r="L118" s="20">
        <f t="shared" si="46"/>
        <v>20705.53</v>
      </c>
      <c r="M118" s="13">
        <f t="shared" si="43"/>
        <v>9.9524658606593022</v>
      </c>
      <c r="N118" s="53">
        <f t="shared" si="44"/>
        <v>2288.4700000000012</v>
      </c>
    </row>
    <row r="119" spans="1:14" x14ac:dyDescent="0.25">
      <c r="A119" s="23"/>
      <c r="B119" s="26"/>
      <c r="C119" s="4"/>
      <c r="D119" s="24"/>
      <c r="E119" s="24"/>
      <c r="F119" s="4"/>
      <c r="G119" s="24"/>
      <c r="H119" s="24"/>
      <c r="I119" s="4"/>
      <c r="J119" s="24"/>
      <c r="K119" s="20"/>
      <c r="L119" s="20"/>
      <c r="M119" s="13"/>
      <c r="N119" s="53">
        <f t="shared" si="44"/>
        <v>0</v>
      </c>
    </row>
    <row r="120" spans="1:14" x14ac:dyDescent="0.25">
      <c r="A120" s="23"/>
      <c r="B120" s="26"/>
      <c r="C120" s="4"/>
      <c r="D120" s="24"/>
      <c r="E120" s="24"/>
      <c r="F120" s="4"/>
      <c r="G120" s="24"/>
      <c r="H120" s="24"/>
      <c r="I120" s="4"/>
      <c r="J120" s="24"/>
      <c r="K120" s="20"/>
      <c r="L120" s="20"/>
      <c r="M120" s="13"/>
      <c r="N120" s="53">
        <f t="shared" si="44"/>
        <v>0</v>
      </c>
    </row>
    <row r="121" spans="1:14" x14ac:dyDescent="0.25">
      <c r="A121" s="23"/>
      <c r="B121" s="26"/>
      <c r="C121" s="4"/>
      <c r="D121" s="24"/>
      <c r="E121" s="24"/>
      <c r="F121" s="4"/>
      <c r="G121" s="27"/>
      <c r="H121" s="24"/>
      <c r="I121" s="4"/>
      <c r="J121" s="24"/>
      <c r="K121" s="20"/>
      <c r="L121" s="20"/>
      <c r="M121" s="13"/>
      <c r="N121" s="53">
        <f t="shared" si="44"/>
        <v>0</v>
      </c>
    </row>
    <row r="122" spans="1:14" x14ac:dyDescent="0.25">
      <c r="A122" s="23"/>
      <c r="B122" s="26"/>
      <c r="C122" s="4"/>
      <c r="D122" s="24"/>
      <c r="E122" s="24"/>
      <c r="F122" s="4"/>
      <c r="G122" s="27"/>
      <c r="H122" s="24"/>
      <c r="I122" s="4"/>
      <c r="J122" s="24"/>
      <c r="K122" s="20"/>
      <c r="L122" s="20"/>
      <c r="M122" s="13"/>
      <c r="N122" s="53">
        <f t="shared" si="44"/>
        <v>0</v>
      </c>
    </row>
    <row r="123" spans="1:14" x14ac:dyDescent="0.25">
      <c r="A123" s="23"/>
      <c r="B123" s="26"/>
      <c r="C123" s="4"/>
      <c r="D123" s="24"/>
      <c r="E123" s="24"/>
      <c r="F123" s="4"/>
      <c r="G123" s="24"/>
      <c r="H123" s="24"/>
      <c r="I123" s="4"/>
      <c r="J123" s="24"/>
      <c r="K123" s="20"/>
      <c r="L123" s="20"/>
      <c r="M123" s="13"/>
      <c r="N123" s="53">
        <f t="shared" si="44"/>
        <v>0</v>
      </c>
    </row>
    <row r="124" spans="1:14" x14ac:dyDescent="0.25">
      <c r="A124" s="23"/>
      <c r="B124" s="26"/>
      <c r="C124" s="4"/>
      <c r="D124" s="24"/>
      <c r="E124" s="24"/>
      <c r="F124" s="4"/>
      <c r="G124" s="27"/>
      <c r="H124" s="24"/>
      <c r="I124" s="4"/>
      <c r="J124" s="24"/>
      <c r="K124" s="20"/>
      <c r="L124" s="20"/>
      <c r="M124" s="13"/>
      <c r="N124" s="53">
        <f t="shared" si="44"/>
        <v>0</v>
      </c>
    </row>
    <row r="125" spans="1:14" x14ac:dyDescent="0.25">
      <c r="A125" s="23"/>
      <c r="B125" s="26"/>
      <c r="C125" s="4"/>
      <c r="D125" s="24"/>
      <c r="E125" s="24"/>
      <c r="F125" s="4"/>
      <c r="G125" s="27"/>
      <c r="H125" s="24"/>
      <c r="I125" s="4"/>
      <c r="J125" s="24"/>
      <c r="K125" s="20"/>
      <c r="L125" s="20"/>
      <c r="M125" s="13"/>
      <c r="N125" s="34"/>
    </row>
    <row r="126" spans="1:14" x14ac:dyDescent="0.25">
      <c r="K126" s="52">
        <f>SUM(K111:K125)</f>
        <v>135236</v>
      </c>
      <c r="L126" s="52">
        <f>SUM(L111:L125)</f>
        <v>119115.51</v>
      </c>
      <c r="M126" s="52"/>
      <c r="N126" s="65">
        <f>SUM(N111:N125)</f>
        <v>16120.490000000003</v>
      </c>
    </row>
    <row r="128" spans="1:14" x14ac:dyDescent="0.25">
      <c r="I128" s="79" t="s">
        <v>414</v>
      </c>
      <c r="J128" s="79"/>
      <c r="K128" s="52">
        <f>K126-L126</f>
        <v>16120.490000000005</v>
      </c>
    </row>
  </sheetData>
  <mergeCells count="1">
    <mergeCell ref="I128:J128"/>
  </mergeCells>
  <pageMargins left="0.25" right="0.25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321B-2375-46C4-8A69-0B642BA633AF}">
  <dimension ref="A1:R100"/>
  <sheetViews>
    <sheetView topLeftCell="A15" workbookViewId="0">
      <selection activeCell="B10" sqref="B10:M16"/>
    </sheetView>
  </sheetViews>
  <sheetFormatPr defaultRowHeight="15" x14ac:dyDescent="0.25"/>
  <cols>
    <col min="14" max="14" width="23.28515625" customWidth="1"/>
  </cols>
  <sheetData>
    <row r="1" spans="1:18" ht="30" x14ac:dyDescent="0.25">
      <c r="A1" s="2" t="s">
        <v>0</v>
      </c>
      <c r="B1" s="3" t="s">
        <v>2</v>
      </c>
      <c r="C1" s="3" t="s">
        <v>9</v>
      </c>
      <c r="D1" s="3" t="s">
        <v>3</v>
      </c>
      <c r="E1" s="3" t="s">
        <v>4</v>
      </c>
      <c r="F1" s="7" t="s">
        <v>9</v>
      </c>
      <c r="G1" s="3" t="s">
        <v>5</v>
      </c>
      <c r="H1" s="3" t="s">
        <v>252</v>
      </c>
      <c r="I1" s="7" t="s">
        <v>9</v>
      </c>
      <c r="J1" s="3" t="s">
        <v>253</v>
      </c>
      <c r="K1" s="5" t="s">
        <v>10</v>
      </c>
      <c r="L1" s="5" t="s">
        <v>11</v>
      </c>
      <c r="M1" s="12" t="s">
        <v>61</v>
      </c>
      <c r="N1" s="7" t="s">
        <v>1</v>
      </c>
      <c r="O1" s="3"/>
      <c r="P1" s="62" t="s">
        <v>445</v>
      </c>
    </row>
    <row r="2" spans="1:18" x14ac:dyDescent="0.25">
      <c r="A2" s="23" t="s">
        <v>19</v>
      </c>
      <c r="B2" s="47"/>
      <c r="C2" s="4"/>
      <c r="D2" s="24"/>
      <c r="E2" s="24"/>
      <c r="F2" s="4"/>
      <c r="G2" s="27"/>
      <c r="H2" s="24"/>
      <c r="I2" s="4"/>
      <c r="J2" s="24"/>
      <c r="K2" s="20">
        <f t="shared" ref="K2" si="0">B2+E2+H2</f>
        <v>0</v>
      </c>
      <c r="L2" s="20">
        <f t="shared" ref="L2" si="1">D2+G2+J2</f>
        <v>0</v>
      </c>
      <c r="M2" s="13" t="e">
        <f t="shared" ref="M2:M65" si="2">100-L2*100/K2</f>
        <v>#DIV/0!</v>
      </c>
      <c r="N2" s="4"/>
      <c r="P2" s="34"/>
    </row>
    <row r="3" spans="1:18" x14ac:dyDescent="0.25">
      <c r="A3" s="23" t="s">
        <v>20</v>
      </c>
      <c r="B3" s="26">
        <f>769+1797+4000</f>
        <v>6566</v>
      </c>
      <c r="C3" s="4" t="s">
        <v>238</v>
      </c>
      <c r="D3" s="27">
        <v>5768</v>
      </c>
      <c r="E3" s="24"/>
      <c r="F3" s="4"/>
      <c r="G3" s="24"/>
      <c r="H3" s="24"/>
      <c r="I3" s="4"/>
      <c r="J3" s="24"/>
      <c r="K3" s="20">
        <f>B3+E3+H3</f>
        <v>6566</v>
      </c>
      <c r="L3" s="20">
        <f>D3+G3+J3</f>
        <v>5768</v>
      </c>
      <c r="M3" s="13">
        <f t="shared" si="2"/>
        <v>12.153518123667382</v>
      </c>
      <c r="N3" s="4"/>
      <c r="P3" s="34"/>
      <c r="R3" s="47"/>
    </row>
    <row r="4" spans="1:18" x14ac:dyDescent="0.25">
      <c r="A4" s="23" t="s">
        <v>21</v>
      </c>
      <c r="B4" s="26">
        <f>14707+2359</f>
        <v>17066</v>
      </c>
      <c r="C4" s="4" t="s">
        <v>238</v>
      </c>
      <c r="D4" s="24">
        <v>15239.57</v>
      </c>
      <c r="E4" s="24">
        <f>6745+6745</f>
        <v>13490</v>
      </c>
      <c r="F4" s="4" t="s">
        <v>212</v>
      </c>
      <c r="G4" s="24">
        <f>5312.13*2</f>
        <v>10624.26</v>
      </c>
      <c r="H4" s="24"/>
      <c r="I4" s="4"/>
      <c r="J4" s="24"/>
      <c r="K4" s="20">
        <f t="shared" ref="K4:K8" si="3">B4+E4+H4</f>
        <v>30556</v>
      </c>
      <c r="L4" s="20">
        <f t="shared" ref="L4:L8" si="4">D4+G4+J4</f>
        <v>25863.83</v>
      </c>
      <c r="M4" s="13">
        <f t="shared" si="2"/>
        <v>15.355969367718288</v>
      </c>
      <c r="N4" s="4"/>
      <c r="P4" s="34"/>
      <c r="R4" s="47"/>
    </row>
    <row r="5" spans="1:18" x14ac:dyDescent="0.25">
      <c r="A5" s="23" t="s">
        <v>22</v>
      </c>
      <c r="B5" s="26">
        <f>15408+1755+5688+18960+51888+15408+4957</f>
        <v>114064</v>
      </c>
      <c r="C5" s="4" t="s">
        <v>238</v>
      </c>
      <c r="D5" s="24">
        <v>100170.28</v>
      </c>
      <c r="E5" s="24"/>
      <c r="F5" s="4"/>
      <c r="G5" s="24"/>
      <c r="H5" s="24"/>
      <c r="I5" s="4"/>
      <c r="J5" s="24"/>
      <c r="K5" s="20">
        <f t="shared" si="3"/>
        <v>114064</v>
      </c>
      <c r="L5" s="20">
        <f t="shared" si="4"/>
        <v>100170.28</v>
      </c>
      <c r="M5" s="13">
        <f t="shared" si="2"/>
        <v>12.180635432739521</v>
      </c>
      <c r="N5" s="4"/>
      <c r="P5" s="34"/>
      <c r="R5" s="47"/>
    </row>
    <row r="6" spans="1:18" x14ac:dyDescent="0.25">
      <c r="A6" s="23" t="s">
        <v>23</v>
      </c>
      <c r="B6" s="26">
        <f>80381+50238</f>
        <v>130619</v>
      </c>
      <c r="C6" s="4" t="s">
        <v>238</v>
      </c>
      <c r="D6" s="24">
        <v>130261.08</v>
      </c>
      <c r="E6" s="24">
        <f>45567+45567</f>
        <v>91134</v>
      </c>
      <c r="F6" s="4" t="s">
        <v>212</v>
      </c>
      <c r="G6" s="24">
        <v>94953.86</v>
      </c>
      <c r="H6" s="24"/>
      <c r="I6" s="4"/>
      <c r="J6" s="24"/>
      <c r="K6" s="20">
        <f t="shared" si="3"/>
        <v>221753</v>
      </c>
      <c r="L6" s="20">
        <f t="shared" si="4"/>
        <v>225214.94</v>
      </c>
      <c r="M6" s="13">
        <f t="shared" si="2"/>
        <v>-1.5611694092075368</v>
      </c>
      <c r="N6" s="4"/>
      <c r="P6" s="34"/>
    </row>
    <row r="7" spans="1:18" x14ac:dyDescent="0.25">
      <c r="A7" s="23" t="s">
        <v>24</v>
      </c>
      <c r="B7" s="26">
        <f>727</f>
        <v>727</v>
      </c>
      <c r="C7" s="4" t="s">
        <v>238</v>
      </c>
      <c r="D7" s="24">
        <v>809.86</v>
      </c>
      <c r="E7" s="24">
        <f>872+872</f>
        <v>1744</v>
      </c>
      <c r="F7" s="4" t="s">
        <v>212</v>
      </c>
      <c r="G7" s="27">
        <v>1230</v>
      </c>
      <c r="H7" s="24"/>
      <c r="I7" s="4"/>
      <c r="J7" s="24"/>
      <c r="K7" s="20">
        <f t="shared" si="3"/>
        <v>2471</v>
      </c>
      <c r="L7" s="20">
        <f t="shared" si="4"/>
        <v>2039.8600000000001</v>
      </c>
      <c r="M7" s="13">
        <f t="shared" si="2"/>
        <v>17.447996762444347</v>
      </c>
      <c r="N7" s="4"/>
      <c r="P7" s="34"/>
    </row>
    <row r="8" spans="1:18" x14ac:dyDescent="0.25">
      <c r="A8" s="23" t="s">
        <v>25</v>
      </c>
      <c r="B8" s="47"/>
      <c r="C8" s="4"/>
      <c r="D8" s="24"/>
      <c r="E8" s="24"/>
      <c r="F8" s="4"/>
      <c r="G8" s="27"/>
      <c r="H8" s="24"/>
      <c r="I8" s="4"/>
      <c r="J8" s="24"/>
      <c r="K8" s="20">
        <f t="shared" si="3"/>
        <v>0</v>
      </c>
      <c r="L8" s="20">
        <f t="shared" si="4"/>
        <v>0</v>
      </c>
      <c r="M8" s="13" t="e">
        <f t="shared" si="2"/>
        <v>#DIV/0!</v>
      </c>
      <c r="N8" s="4"/>
      <c r="P8" s="34"/>
    </row>
    <row r="9" spans="1:18" x14ac:dyDescent="0.25">
      <c r="A9" s="23" t="s">
        <v>26</v>
      </c>
      <c r="B9" s="47"/>
      <c r="C9" s="4"/>
      <c r="D9" s="24"/>
      <c r="E9" s="24"/>
      <c r="F9" s="4"/>
      <c r="G9" s="27"/>
      <c r="H9" s="24"/>
      <c r="I9" s="4"/>
      <c r="J9" s="24"/>
      <c r="K9" s="20">
        <f>B9+E9+H9</f>
        <v>0</v>
      </c>
      <c r="L9" s="20">
        <f>D9+G9+J9</f>
        <v>0</v>
      </c>
      <c r="M9" s="13" t="e">
        <f t="shared" si="2"/>
        <v>#DIV/0!</v>
      </c>
      <c r="N9" s="4"/>
      <c r="P9" s="34"/>
    </row>
    <row r="10" spans="1:18" x14ac:dyDescent="0.25">
      <c r="A10" s="23" t="s">
        <v>27</v>
      </c>
      <c r="B10" s="26"/>
      <c r="C10" s="4" t="s">
        <v>238</v>
      </c>
      <c r="D10" s="24"/>
      <c r="E10" s="24"/>
      <c r="F10" s="4"/>
      <c r="G10" s="27"/>
      <c r="H10" s="24"/>
      <c r="I10" s="4"/>
      <c r="J10" s="24"/>
      <c r="K10" s="20">
        <f t="shared" ref="K10:K14" si="5">B10+E10+H10</f>
        <v>0</v>
      </c>
      <c r="L10" s="20">
        <f t="shared" ref="L10:L14" si="6">D10+G10+J10</f>
        <v>0</v>
      </c>
      <c r="M10" s="13" t="e">
        <f t="shared" si="2"/>
        <v>#DIV/0!</v>
      </c>
      <c r="N10" s="4"/>
      <c r="P10" s="34"/>
    </row>
    <row r="11" spans="1:18" x14ac:dyDescent="0.25">
      <c r="A11" s="23" t="s">
        <v>28</v>
      </c>
      <c r="B11" s="26"/>
      <c r="C11" s="4" t="s">
        <v>238</v>
      </c>
      <c r="D11" s="24"/>
      <c r="E11" s="24"/>
      <c r="F11" s="4"/>
      <c r="G11" s="27"/>
      <c r="H11" s="24"/>
      <c r="I11" s="4"/>
      <c r="J11" s="24"/>
      <c r="K11" s="20">
        <f t="shared" si="5"/>
        <v>0</v>
      </c>
      <c r="L11" s="20">
        <f t="shared" si="6"/>
        <v>0</v>
      </c>
      <c r="M11" s="13" t="e">
        <f t="shared" si="2"/>
        <v>#DIV/0!</v>
      </c>
      <c r="N11" s="4"/>
      <c r="P11" s="34"/>
    </row>
    <row r="12" spans="1:18" x14ac:dyDescent="0.25">
      <c r="A12" s="31" t="s">
        <v>29</v>
      </c>
      <c r="B12" s="26"/>
      <c r="C12" s="4" t="s">
        <v>238</v>
      </c>
      <c r="D12" s="24"/>
      <c r="E12" s="24"/>
      <c r="F12" s="4" t="s">
        <v>212</v>
      </c>
      <c r="G12" s="27"/>
      <c r="H12" s="24"/>
      <c r="I12" s="4"/>
      <c r="J12" s="24"/>
      <c r="K12" s="20">
        <f t="shared" si="5"/>
        <v>0</v>
      </c>
      <c r="L12" s="20">
        <f t="shared" si="6"/>
        <v>0</v>
      </c>
      <c r="M12" s="13" t="e">
        <f t="shared" si="2"/>
        <v>#DIV/0!</v>
      </c>
      <c r="N12" s="4"/>
      <c r="P12" s="34"/>
    </row>
    <row r="13" spans="1:18" x14ac:dyDescent="0.25">
      <c r="A13" s="23" t="s">
        <v>30</v>
      </c>
      <c r="B13" s="26"/>
      <c r="C13" s="4" t="s">
        <v>238</v>
      </c>
      <c r="D13" s="24"/>
      <c r="E13" s="24"/>
      <c r="F13" s="4"/>
      <c r="G13" s="27"/>
      <c r="H13" s="26"/>
      <c r="I13" s="4"/>
      <c r="J13" s="24"/>
      <c r="K13" s="20">
        <f t="shared" si="5"/>
        <v>0</v>
      </c>
      <c r="L13" s="20">
        <f t="shared" si="6"/>
        <v>0</v>
      </c>
      <c r="M13" s="13" t="e">
        <f t="shared" si="2"/>
        <v>#DIV/0!</v>
      </c>
      <c r="N13" s="4"/>
      <c r="P13" s="34"/>
    </row>
    <row r="14" spans="1:18" x14ac:dyDescent="0.25">
      <c r="A14" s="23" t="s">
        <v>35</v>
      </c>
      <c r="B14" s="26"/>
      <c r="C14" s="4" t="s">
        <v>238</v>
      </c>
      <c r="D14" s="24"/>
      <c r="E14" s="24"/>
      <c r="F14" s="4" t="s">
        <v>212</v>
      </c>
      <c r="G14" s="27"/>
      <c r="H14" s="24"/>
      <c r="I14" s="4"/>
      <c r="J14" s="24"/>
      <c r="K14" s="20">
        <f t="shared" si="5"/>
        <v>0</v>
      </c>
      <c r="L14" s="20">
        <f t="shared" si="6"/>
        <v>0</v>
      </c>
      <c r="M14" s="13" t="e">
        <f t="shared" si="2"/>
        <v>#DIV/0!</v>
      </c>
      <c r="N14" s="4"/>
      <c r="P14" s="34"/>
    </row>
    <row r="15" spans="1:18" x14ac:dyDescent="0.25">
      <c r="A15" s="23" t="s">
        <v>36</v>
      </c>
      <c r="B15" s="26"/>
      <c r="C15" s="4" t="s">
        <v>238</v>
      </c>
      <c r="D15" s="24"/>
      <c r="E15" s="24"/>
      <c r="F15" s="4"/>
      <c r="G15" s="27"/>
      <c r="H15" s="24"/>
      <c r="I15" s="4"/>
      <c r="J15" s="24"/>
      <c r="K15" s="20">
        <f>B15+E15+H15</f>
        <v>0</v>
      </c>
      <c r="L15" s="20">
        <f>D15+G15+J15</f>
        <v>0</v>
      </c>
      <c r="M15" s="13" t="e">
        <f t="shared" si="2"/>
        <v>#DIV/0!</v>
      </c>
      <c r="N15" s="4"/>
      <c r="P15" s="34"/>
    </row>
    <row r="16" spans="1:18" x14ac:dyDescent="0.25">
      <c r="A16" s="23" t="s">
        <v>37</v>
      </c>
      <c r="B16" s="26"/>
      <c r="C16" s="4" t="s">
        <v>238</v>
      </c>
      <c r="D16" s="24"/>
      <c r="E16" s="24"/>
      <c r="F16" s="4"/>
      <c r="G16" s="27"/>
      <c r="H16" s="24"/>
      <c r="I16" s="4"/>
      <c r="J16" s="24"/>
      <c r="K16" s="20">
        <f t="shared" ref="K16:K20" si="7">B16+E16+H16</f>
        <v>0</v>
      </c>
      <c r="L16" s="20">
        <f t="shared" ref="L16:L20" si="8">D16+G16+J16</f>
        <v>0</v>
      </c>
      <c r="M16" s="13" t="e">
        <f t="shared" si="2"/>
        <v>#DIV/0!</v>
      </c>
      <c r="N16" s="4"/>
      <c r="P16" s="34"/>
    </row>
    <row r="17" spans="1:16" x14ac:dyDescent="0.25">
      <c r="A17" s="23" t="s">
        <v>38</v>
      </c>
      <c r="B17" s="47"/>
      <c r="C17" s="4"/>
      <c r="D17" s="24"/>
      <c r="E17" s="24"/>
      <c r="F17" s="4"/>
      <c r="G17" s="27"/>
      <c r="H17" s="24"/>
      <c r="I17" s="4"/>
      <c r="J17" s="24"/>
      <c r="K17" s="20">
        <f t="shared" si="7"/>
        <v>0</v>
      </c>
      <c r="L17" s="20">
        <f t="shared" si="8"/>
        <v>0</v>
      </c>
      <c r="M17" s="13" t="e">
        <f t="shared" si="2"/>
        <v>#DIV/0!</v>
      </c>
      <c r="N17" s="4"/>
      <c r="P17" s="34"/>
    </row>
    <row r="18" spans="1:16" x14ac:dyDescent="0.25">
      <c r="A18" s="23" t="s">
        <v>39</v>
      </c>
      <c r="B18" s="26">
        <f>1692+997+23974+11693</f>
        <v>38356</v>
      </c>
      <c r="C18" s="4" t="s">
        <v>238</v>
      </c>
      <c r="D18" s="24">
        <f>96933.92/3</f>
        <v>32311.306666666667</v>
      </c>
      <c r="E18" s="24">
        <f>12250</f>
        <v>12250</v>
      </c>
      <c r="F18" s="4" t="s">
        <v>212</v>
      </c>
      <c r="G18" s="27">
        <f>10060.7</f>
        <v>10060.700000000001</v>
      </c>
      <c r="H18" s="24"/>
      <c r="I18" s="4"/>
      <c r="J18" s="24"/>
      <c r="K18" s="20">
        <f t="shared" si="7"/>
        <v>50606</v>
      </c>
      <c r="L18" s="20">
        <f t="shared" si="8"/>
        <v>42372.006666666668</v>
      </c>
      <c r="M18" s="13">
        <f t="shared" si="2"/>
        <v>16.270784755430839</v>
      </c>
      <c r="N18" s="4"/>
      <c r="P18" s="34"/>
    </row>
    <row r="19" spans="1:16" x14ac:dyDescent="0.25">
      <c r="A19" s="23" t="s">
        <v>40</v>
      </c>
      <c r="B19" s="26">
        <f>1692+997+23974+11693</f>
        <v>38356</v>
      </c>
      <c r="C19" s="4" t="s">
        <v>238</v>
      </c>
      <c r="D19" s="24">
        <f>96933.92/3</f>
        <v>32311.306666666667</v>
      </c>
      <c r="E19" s="24">
        <f>12250</f>
        <v>12250</v>
      </c>
      <c r="F19" s="4" t="s">
        <v>212</v>
      </c>
      <c r="G19" s="27">
        <f>10060.7</f>
        <v>10060.700000000001</v>
      </c>
      <c r="H19" s="24"/>
      <c r="I19" s="4"/>
      <c r="J19" s="24"/>
      <c r="K19" s="20">
        <f t="shared" si="7"/>
        <v>50606</v>
      </c>
      <c r="L19" s="20">
        <f t="shared" si="8"/>
        <v>42372.006666666668</v>
      </c>
      <c r="M19" s="13">
        <f t="shared" si="2"/>
        <v>16.270784755430839</v>
      </c>
      <c r="N19" s="4"/>
      <c r="P19" s="34"/>
    </row>
    <row r="20" spans="1:16" x14ac:dyDescent="0.25">
      <c r="A20" s="23" t="s">
        <v>60</v>
      </c>
      <c r="B20" s="26">
        <f>1692+997+23974+11693</f>
        <v>38356</v>
      </c>
      <c r="C20" s="4" t="s">
        <v>238</v>
      </c>
      <c r="D20" s="24">
        <f>96933.92/3</f>
        <v>32311.306666666667</v>
      </c>
      <c r="E20" s="24">
        <f>12250</f>
        <v>12250</v>
      </c>
      <c r="F20" s="4" t="s">
        <v>212</v>
      </c>
      <c r="G20" s="27">
        <f>10060.7</f>
        <v>10060.700000000001</v>
      </c>
      <c r="H20" s="24"/>
      <c r="I20" s="4"/>
      <c r="J20" s="27"/>
      <c r="K20" s="20">
        <f t="shared" si="7"/>
        <v>50606</v>
      </c>
      <c r="L20" s="20">
        <f t="shared" si="8"/>
        <v>42372.006666666668</v>
      </c>
      <c r="M20" s="13">
        <f t="shared" si="2"/>
        <v>16.270784755430839</v>
      </c>
      <c r="N20" s="4"/>
      <c r="P20" s="34"/>
    </row>
    <row r="21" spans="1:16" x14ac:dyDescent="0.25">
      <c r="A21" s="23" t="s">
        <v>41</v>
      </c>
      <c r="B21" s="47"/>
      <c r="C21" s="4"/>
      <c r="D21" s="24"/>
      <c r="E21" s="24"/>
      <c r="F21" s="4"/>
      <c r="G21" s="27"/>
      <c r="H21" s="24"/>
      <c r="I21" s="4"/>
      <c r="J21" s="24"/>
      <c r="K21" s="20">
        <f>B21+E21+H21</f>
        <v>0</v>
      </c>
      <c r="L21" s="20">
        <f>D21+G21+J21</f>
        <v>0</v>
      </c>
      <c r="M21" s="13" t="e">
        <f t="shared" si="2"/>
        <v>#DIV/0!</v>
      </c>
      <c r="N21" s="4"/>
      <c r="P21" s="34"/>
    </row>
    <row r="22" spans="1:16" x14ac:dyDescent="0.25">
      <c r="A22" s="23" t="s">
        <v>42</v>
      </c>
      <c r="B22" s="47"/>
      <c r="C22" s="4"/>
      <c r="D22" s="24"/>
      <c r="E22" s="26"/>
      <c r="F22" s="4"/>
      <c r="G22" s="27"/>
      <c r="H22" s="24"/>
      <c r="I22" s="4"/>
      <c r="J22" s="24"/>
      <c r="K22" s="20">
        <f t="shared" ref="K22:K26" si="9">B22+E22+H22</f>
        <v>0</v>
      </c>
      <c r="L22" s="20">
        <f t="shared" ref="L22:L26" si="10">D22+G22+J22</f>
        <v>0</v>
      </c>
      <c r="M22" s="13" t="e">
        <f t="shared" si="2"/>
        <v>#DIV/0!</v>
      </c>
      <c r="N22" s="4"/>
      <c r="P22" s="34"/>
    </row>
    <row r="23" spans="1:16" x14ac:dyDescent="0.25">
      <c r="A23" s="23" t="s">
        <v>43</v>
      </c>
      <c r="B23" s="47"/>
      <c r="C23" s="4"/>
      <c r="D23" s="24"/>
      <c r="E23" s="24"/>
      <c r="F23" s="4"/>
      <c r="G23" s="27"/>
      <c r="H23" s="24"/>
      <c r="I23" s="4"/>
      <c r="J23" s="24"/>
      <c r="K23" s="20">
        <f t="shared" si="9"/>
        <v>0</v>
      </c>
      <c r="L23" s="20">
        <f t="shared" si="10"/>
        <v>0</v>
      </c>
      <c r="M23" s="13" t="e">
        <f t="shared" si="2"/>
        <v>#DIV/0!</v>
      </c>
      <c r="N23" s="4"/>
      <c r="P23" s="34"/>
    </row>
    <row r="24" spans="1:16" x14ac:dyDescent="0.25">
      <c r="A24" s="23" t="s">
        <v>44</v>
      </c>
      <c r="B24" s="47"/>
      <c r="C24" s="4"/>
      <c r="D24" s="24"/>
      <c r="E24" s="24"/>
      <c r="F24" s="4"/>
      <c r="G24" s="27"/>
      <c r="H24" s="24"/>
      <c r="I24" s="4"/>
      <c r="J24" s="24"/>
      <c r="K24" s="20">
        <f t="shared" si="9"/>
        <v>0</v>
      </c>
      <c r="L24" s="20">
        <f t="shared" si="10"/>
        <v>0</v>
      </c>
      <c r="M24" s="13" t="e">
        <f t="shared" si="2"/>
        <v>#DIV/0!</v>
      </c>
      <c r="N24" s="4"/>
      <c r="P24" s="34"/>
    </row>
    <row r="25" spans="1:16" x14ac:dyDescent="0.25">
      <c r="A25" s="23" t="s">
        <v>45</v>
      </c>
      <c r="B25" s="26">
        <v>8251</v>
      </c>
      <c r="C25" s="4" t="s">
        <v>238</v>
      </c>
      <c r="D25" s="24">
        <v>10330.5</v>
      </c>
      <c r="E25" s="24"/>
      <c r="F25" s="4"/>
      <c r="G25" s="27"/>
      <c r="H25" s="24"/>
      <c r="I25" s="4"/>
      <c r="J25" s="24"/>
      <c r="K25" s="20">
        <f t="shared" si="9"/>
        <v>8251</v>
      </c>
      <c r="L25" s="20">
        <f t="shared" si="10"/>
        <v>10330.5</v>
      </c>
      <c r="M25" s="13">
        <f t="shared" si="2"/>
        <v>-25.203005696279234</v>
      </c>
      <c r="N25" s="4"/>
      <c r="P25" s="34"/>
    </row>
    <row r="26" spans="1:16" x14ac:dyDescent="0.25">
      <c r="A26" s="23" t="s">
        <v>46</v>
      </c>
      <c r="B26" s="47"/>
      <c r="C26" s="4"/>
      <c r="D26" s="24"/>
      <c r="E26" s="24"/>
      <c r="F26" s="4"/>
      <c r="G26" s="27"/>
      <c r="H26" s="24"/>
      <c r="I26" s="4"/>
      <c r="J26" s="24"/>
      <c r="K26" s="20">
        <f t="shared" si="9"/>
        <v>0</v>
      </c>
      <c r="L26" s="20">
        <f t="shared" si="10"/>
        <v>0</v>
      </c>
      <c r="M26" s="13" t="e">
        <f t="shared" si="2"/>
        <v>#DIV/0!</v>
      </c>
      <c r="N26" s="4"/>
      <c r="P26" s="34"/>
    </row>
    <row r="27" spans="1:16" x14ac:dyDescent="0.25">
      <c r="A27" s="23" t="s">
        <v>47</v>
      </c>
      <c r="B27" s="47"/>
      <c r="C27" s="4"/>
      <c r="D27" s="24"/>
      <c r="E27" s="24"/>
      <c r="F27" s="4"/>
      <c r="G27" s="27"/>
      <c r="H27" s="24"/>
      <c r="I27" s="4"/>
      <c r="J27" s="24"/>
      <c r="K27" s="20">
        <f>B27+E27+H27</f>
        <v>0</v>
      </c>
      <c r="L27" s="20">
        <f>D27+G27+J27</f>
        <v>0</v>
      </c>
      <c r="M27" s="13" t="e">
        <f t="shared" si="2"/>
        <v>#DIV/0!</v>
      </c>
      <c r="N27" s="4"/>
      <c r="P27" s="34"/>
    </row>
    <row r="28" spans="1:16" x14ac:dyDescent="0.25">
      <c r="A28" s="23" t="s">
        <v>48</v>
      </c>
      <c r="B28" s="26">
        <v>3360</v>
      </c>
      <c r="C28" s="4" t="s">
        <v>238</v>
      </c>
      <c r="D28" s="24">
        <v>2220.46</v>
      </c>
      <c r="E28" s="24"/>
      <c r="F28" s="4"/>
      <c r="G28" s="27"/>
      <c r="H28" s="24"/>
      <c r="I28" s="4"/>
      <c r="J28" s="24"/>
      <c r="K28" s="20">
        <f t="shared" ref="K28:K34" si="11">B28+E28+H28</f>
        <v>3360</v>
      </c>
      <c r="L28" s="20">
        <f t="shared" ref="L28:L34" si="12">D28+G28+J28</f>
        <v>2220.46</v>
      </c>
      <c r="M28" s="13">
        <f t="shared" si="2"/>
        <v>33.914880952380955</v>
      </c>
      <c r="N28" s="4"/>
      <c r="P28" s="34"/>
    </row>
    <row r="29" spans="1:16" x14ac:dyDescent="0.25">
      <c r="A29" s="23" t="s">
        <v>49</v>
      </c>
      <c r="B29" s="26">
        <v>3360</v>
      </c>
      <c r="C29" s="4" t="s">
        <v>238</v>
      </c>
      <c r="D29" s="24">
        <v>2220.46</v>
      </c>
      <c r="E29" s="24"/>
      <c r="F29" s="4"/>
      <c r="G29" s="27"/>
      <c r="H29" s="24"/>
      <c r="I29" s="4"/>
      <c r="J29" s="24"/>
      <c r="K29" s="20">
        <f t="shared" si="11"/>
        <v>3360</v>
      </c>
      <c r="L29" s="20">
        <f t="shared" si="12"/>
        <v>2220.46</v>
      </c>
      <c r="M29" s="13">
        <f t="shared" si="2"/>
        <v>33.914880952380955</v>
      </c>
      <c r="N29" s="4"/>
      <c r="P29" s="34"/>
    </row>
    <row r="30" spans="1:16" x14ac:dyDescent="0.25">
      <c r="A30" s="23" t="s">
        <v>50</v>
      </c>
      <c r="B30" s="26">
        <v>3360</v>
      </c>
      <c r="C30" s="4" t="s">
        <v>238</v>
      </c>
      <c r="D30" s="24">
        <v>2220.46</v>
      </c>
      <c r="E30" s="24"/>
      <c r="F30" s="4"/>
      <c r="G30" s="27"/>
      <c r="H30" s="24"/>
      <c r="I30" s="4"/>
      <c r="J30" s="24"/>
      <c r="K30" s="20">
        <f t="shared" si="11"/>
        <v>3360</v>
      </c>
      <c r="L30" s="20">
        <f t="shared" si="12"/>
        <v>2220.46</v>
      </c>
      <c r="M30" s="13">
        <f t="shared" si="2"/>
        <v>33.914880952380955</v>
      </c>
      <c r="N30" s="4"/>
      <c r="P30" s="34"/>
    </row>
    <row r="31" spans="1:16" x14ac:dyDescent="0.25">
      <c r="A31" s="23" t="s">
        <v>51</v>
      </c>
      <c r="B31" s="26">
        <v>3360</v>
      </c>
      <c r="C31" s="4" t="s">
        <v>238</v>
      </c>
      <c r="D31" s="24">
        <v>2220.46</v>
      </c>
      <c r="E31" s="24"/>
      <c r="F31" s="4"/>
      <c r="G31" s="27"/>
      <c r="H31" s="24"/>
      <c r="I31" s="4"/>
      <c r="J31" s="24"/>
      <c r="K31" s="20">
        <f t="shared" si="11"/>
        <v>3360</v>
      </c>
      <c r="L31" s="20">
        <f t="shared" si="12"/>
        <v>2220.46</v>
      </c>
      <c r="M31" s="13">
        <f t="shared" si="2"/>
        <v>33.914880952380955</v>
      </c>
      <c r="N31" s="4"/>
      <c r="P31" s="34"/>
    </row>
    <row r="32" spans="1:16" x14ac:dyDescent="0.25">
      <c r="A32" s="23" t="s">
        <v>52</v>
      </c>
      <c r="B32" s="26">
        <v>3360</v>
      </c>
      <c r="C32" s="4" t="s">
        <v>238</v>
      </c>
      <c r="D32" s="24">
        <v>2220.46</v>
      </c>
      <c r="E32" s="24"/>
      <c r="F32" s="4"/>
      <c r="G32" s="27"/>
      <c r="H32" s="24"/>
      <c r="I32" s="4"/>
      <c r="J32" s="24"/>
      <c r="K32" s="20">
        <f t="shared" si="11"/>
        <v>3360</v>
      </c>
      <c r="L32" s="20">
        <f t="shared" si="12"/>
        <v>2220.46</v>
      </c>
      <c r="M32" s="13">
        <f t="shared" si="2"/>
        <v>33.914880952380955</v>
      </c>
      <c r="N32" s="4"/>
      <c r="P32" s="34"/>
    </row>
    <row r="33" spans="1:18" x14ac:dyDescent="0.25">
      <c r="A33" s="23" t="s">
        <v>53</v>
      </c>
      <c r="B33" s="26">
        <v>3360</v>
      </c>
      <c r="C33" s="4" t="s">
        <v>238</v>
      </c>
      <c r="D33" s="24">
        <v>2220.46</v>
      </c>
      <c r="E33" s="24"/>
      <c r="F33" s="4"/>
      <c r="G33" s="27"/>
      <c r="H33" s="24"/>
      <c r="I33" s="4"/>
      <c r="J33" s="24"/>
      <c r="K33" s="20">
        <f t="shared" si="11"/>
        <v>3360</v>
      </c>
      <c r="L33" s="20">
        <f t="shared" si="12"/>
        <v>2220.46</v>
      </c>
      <c r="M33" s="13">
        <f t="shared" si="2"/>
        <v>33.914880952380955</v>
      </c>
      <c r="N33" s="4"/>
      <c r="P33" s="34"/>
    </row>
    <row r="34" spans="1:18" x14ac:dyDescent="0.25">
      <c r="A34" s="23" t="s">
        <v>54</v>
      </c>
      <c r="B34" s="26">
        <v>7399</v>
      </c>
      <c r="C34" s="4" t="s">
        <v>238</v>
      </c>
      <c r="D34" s="24">
        <v>3853.3874999999998</v>
      </c>
      <c r="E34" s="24"/>
      <c r="F34" s="4"/>
      <c r="G34" s="27"/>
      <c r="H34" s="24"/>
      <c r="I34" s="4"/>
      <c r="J34" s="24"/>
      <c r="K34" s="20">
        <f t="shared" si="11"/>
        <v>7399</v>
      </c>
      <c r="L34" s="20">
        <f t="shared" si="12"/>
        <v>3853.3874999999998</v>
      </c>
      <c r="M34" s="13">
        <f t="shared" si="2"/>
        <v>47.92015812947696</v>
      </c>
      <c r="N34" s="4"/>
      <c r="P34" s="34"/>
    </row>
    <row r="35" spans="1:18" x14ac:dyDescent="0.25">
      <c r="A35" s="23" t="s">
        <v>55</v>
      </c>
      <c r="B35" s="26">
        <v>7399</v>
      </c>
      <c r="C35" s="4" t="s">
        <v>238</v>
      </c>
      <c r="D35" s="24">
        <v>3853.3874999999998</v>
      </c>
      <c r="E35" s="24"/>
      <c r="F35" s="4"/>
      <c r="G35" s="27"/>
      <c r="H35" s="24"/>
      <c r="I35" s="4"/>
      <c r="J35" s="24"/>
      <c r="K35" s="20">
        <f>B35+E35+H35</f>
        <v>7399</v>
      </c>
      <c r="L35" s="20">
        <f>D35+G35+J35</f>
        <v>3853.3874999999998</v>
      </c>
      <c r="M35" s="13">
        <f t="shared" si="2"/>
        <v>47.92015812947696</v>
      </c>
      <c r="N35" s="4"/>
      <c r="P35" s="34"/>
    </row>
    <row r="36" spans="1:18" x14ac:dyDescent="0.25">
      <c r="A36" s="23" t="s">
        <v>56</v>
      </c>
      <c r="B36" s="26">
        <v>7399</v>
      </c>
      <c r="C36" s="4" t="s">
        <v>238</v>
      </c>
      <c r="D36" s="24">
        <v>3853.3874999999998</v>
      </c>
      <c r="E36" s="24"/>
      <c r="F36" s="4"/>
      <c r="G36" s="27"/>
      <c r="H36" s="24"/>
      <c r="I36" s="4"/>
      <c r="J36" s="24"/>
      <c r="K36" s="20">
        <f t="shared" ref="K36:K40" si="13">B36+E36+H36</f>
        <v>7399</v>
      </c>
      <c r="L36" s="20">
        <f t="shared" ref="L36:L40" si="14">D36+G36+J36</f>
        <v>3853.3874999999998</v>
      </c>
      <c r="M36" s="13">
        <f t="shared" si="2"/>
        <v>47.92015812947696</v>
      </c>
      <c r="N36" s="42"/>
      <c r="O36" s="42"/>
      <c r="P36" s="34"/>
    </row>
    <row r="37" spans="1:18" x14ac:dyDescent="0.25">
      <c r="A37" s="23" t="s">
        <v>57</v>
      </c>
      <c r="B37" s="26">
        <v>7399</v>
      </c>
      <c r="C37" s="4" t="s">
        <v>238</v>
      </c>
      <c r="D37" s="24">
        <v>3853.3874999999998</v>
      </c>
      <c r="E37" s="24"/>
      <c r="F37" s="4"/>
      <c r="G37" s="27"/>
      <c r="H37" s="24"/>
      <c r="I37" s="4"/>
      <c r="J37" s="24"/>
      <c r="K37" s="20">
        <f t="shared" si="13"/>
        <v>7399</v>
      </c>
      <c r="L37" s="20">
        <f t="shared" si="14"/>
        <v>3853.3874999999998</v>
      </c>
      <c r="M37" s="13">
        <f t="shared" si="2"/>
        <v>47.92015812947696</v>
      </c>
      <c r="N37" s="4"/>
      <c r="P37" s="34"/>
    </row>
    <row r="38" spans="1:18" x14ac:dyDescent="0.25">
      <c r="A38" s="23" t="s">
        <v>58</v>
      </c>
      <c r="B38" s="47"/>
      <c r="C38" s="4"/>
      <c r="D38" s="24"/>
      <c r="E38" s="24"/>
      <c r="F38" s="4"/>
      <c r="G38" s="27"/>
      <c r="H38" s="24"/>
      <c r="I38" s="4"/>
      <c r="J38" s="24"/>
      <c r="K38" s="20">
        <f t="shared" si="13"/>
        <v>0</v>
      </c>
      <c r="L38" s="20">
        <f t="shared" si="14"/>
        <v>0</v>
      </c>
      <c r="M38" s="13" t="e">
        <f t="shared" si="2"/>
        <v>#DIV/0!</v>
      </c>
      <c r="N38" s="4"/>
      <c r="P38" s="34"/>
    </row>
    <row r="39" spans="1:18" x14ac:dyDescent="0.25">
      <c r="A39" s="23" t="s">
        <v>59</v>
      </c>
      <c r="B39" s="47"/>
      <c r="C39" s="4"/>
      <c r="D39" s="24"/>
      <c r="E39" s="24"/>
      <c r="F39" s="4"/>
      <c r="G39" s="27"/>
      <c r="H39" s="24"/>
      <c r="I39" s="4"/>
      <c r="J39" s="24"/>
      <c r="K39" s="20">
        <f t="shared" si="13"/>
        <v>0</v>
      </c>
      <c r="L39" s="20">
        <f t="shared" si="14"/>
        <v>0</v>
      </c>
      <c r="M39" s="13" t="e">
        <f t="shared" si="2"/>
        <v>#DIV/0!</v>
      </c>
      <c r="N39" s="4"/>
      <c r="P39" s="34"/>
    </row>
    <row r="40" spans="1:18" x14ac:dyDescent="0.25">
      <c r="A40" s="23" t="s">
        <v>64</v>
      </c>
      <c r="B40" s="47"/>
      <c r="C40" s="4"/>
      <c r="D40" s="24"/>
      <c r="E40" s="24"/>
      <c r="F40" s="4"/>
      <c r="G40" s="27"/>
      <c r="H40" s="24"/>
      <c r="I40" s="4"/>
      <c r="J40" s="24"/>
      <c r="K40" s="20">
        <f t="shared" si="13"/>
        <v>0</v>
      </c>
      <c r="L40" s="20">
        <f t="shared" si="14"/>
        <v>0</v>
      </c>
      <c r="M40" s="13" t="e">
        <f t="shared" si="2"/>
        <v>#DIV/0!</v>
      </c>
      <c r="N40" s="4"/>
      <c r="P40" s="34"/>
    </row>
    <row r="41" spans="1:18" x14ac:dyDescent="0.25">
      <c r="A41" s="23" t="s">
        <v>65</v>
      </c>
      <c r="B41" s="47"/>
      <c r="C41" s="4"/>
      <c r="D41" s="24"/>
      <c r="E41" s="24"/>
      <c r="F41" s="4"/>
      <c r="G41" s="27"/>
      <c r="H41" s="24"/>
      <c r="I41" s="4"/>
      <c r="J41" s="24"/>
      <c r="K41" s="20">
        <f>B41+E41+H41</f>
        <v>0</v>
      </c>
      <c r="L41" s="20">
        <f>D41+G41+J41</f>
        <v>0</v>
      </c>
      <c r="M41" s="13" t="e">
        <f t="shared" si="2"/>
        <v>#DIV/0!</v>
      </c>
      <c r="N41" s="4"/>
      <c r="P41" s="34"/>
    </row>
    <row r="42" spans="1:18" x14ac:dyDescent="0.25">
      <c r="A42" s="23" t="s">
        <v>70</v>
      </c>
      <c r="B42" s="26">
        <f>4247+1841</f>
        <v>6088</v>
      </c>
      <c r="C42" s="4" t="s">
        <v>238</v>
      </c>
      <c r="D42" s="24">
        <v>6439.73</v>
      </c>
      <c r="E42" s="24">
        <v>8927</v>
      </c>
      <c r="F42" s="4" t="s">
        <v>212</v>
      </c>
      <c r="G42" s="27">
        <v>7585</v>
      </c>
      <c r="H42" s="24"/>
      <c r="I42" s="4"/>
      <c r="J42" s="24"/>
      <c r="K42" s="20">
        <f t="shared" ref="K42:K46" si="15">B42+E42+H42</f>
        <v>15015</v>
      </c>
      <c r="L42" s="20">
        <f t="shared" ref="L42:L46" si="16">D42+G42+J42</f>
        <v>14024.73</v>
      </c>
      <c r="M42" s="13">
        <f t="shared" si="2"/>
        <v>6.5952047952047934</v>
      </c>
      <c r="N42" s="16" t="s">
        <v>446</v>
      </c>
      <c r="P42" s="34"/>
      <c r="R42" s="47"/>
    </row>
    <row r="43" spans="1:18" x14ac:dyDescent="0.25">
      <c r="A43" s="23" t="s">
        <v>71</v>
      </c>
      <c r="B43" s="26">
        <f>895+160+79+73</f>
        <v>1207</v>
      </c>
      <c r="C43" s="4" t="s">
        <v>238</v>
      </c>
      <c r="D43" s="24">
        <v>1133.82</v>
      </c>
      <c r="E43" s="24"/>
      <c r="F43" s="4"/>
      <c r="G43" s="24"/>
      <c r="H43" s="24"/>
      <c r="I43" s="4"/>
      <c r="J43" s="24"/>
      <c r="K43" s="20">
        <f t="shared" si="15"/>
        <v>1207</v>
      </c>
      <c r="L43" s="20">
        <f t="shared" si="16"/>
        <v>1133.82</v>
      </c>
      <c r="M43" s="13">
        <f t="shared" si="2"/>
        <v>6.0629660314830147</v>
      </c>
      <c r="N43" s="4"/>
      <c r="P43" s="34"/>
      <c r="R43" s="47"/>
    </row>
    <row r="44" spans="1:18" x14ac:dyDescent="0.25">
      <c r="A44" s="23" t="s">
        <v>73</v>
      </c>
      <c r="B44" s="47"/>
      <c r="C44" s="4"/>
      <c r="D44" s="24"/>
      <c r="E44" s="24"/>
      <c r="F44" s="4"/>
      <c r="G44" s="24"/>
      <c r="H44" s="24"/>
      <c r="I44" s="4"/>
      <c r="J44" s="24"/>
      <c r="K44" s="20">
        <f t="shared" si="15"/>
        <v>0</v>
      </c>
      <c r="L44" s="20">
        <f t="shared" si="16"/>
        <v>0</v>
      </c>
      <c r="M44" s="13" t="e">
        <f t="shared" si="2"/>
        <v>#DIV/0!</v>
      </c>
      <c r="N44" s="4"/>
      <c r="P44" s="34"/>
      <c r="R44" s="47"/>
    </row>
    <row r="45" spans="1:18" x14ac:dyDescent="0.25">
      <c r="A45" s="23" t="s">
        <v>74</v>
      </c>
      <c r="B45" s="47"/>
      <c r="C45" s="4"/>
      <c r="D45" s="24"/>
      <c r="E45" s="24"/>
      <c r="F45" s="4"/>
      <c r="G45" s="27"/>
      <c r="H45" s="26"/>
      <c r="I45" s="4"/>
      <c r="J45" s="24"/>
      <c r="K45" s="20">
        <f t="shared" si="15"/>
        <v>0</v>
      </c>
      <c r="L45" s="20">
        <f t="shared" si="16"/>
        <v>0</v>
      </c>
      <c r="M45" s="13" t="e">
        <f t="shared" si="2"/>
        <v>#DIV/0!</v>
      </c>
      <c r="N45" s="4"/>
      <c r="P45" s="34"/>
      <c r="R45" s="47"/>
    </row>
    <row r="46" spans="1:18" ht="25.5" x14ac:dyDescent="0.25">
      <c r="A46" s="67" t="s">
        <v>75</v>
      </c>
      <c r="B46" s="26">
        <f>692+2660+532</f>
        <v>3884</v>
      </c>
      <c r="C46" s="4" t="s">
        <v>238</v>
      </c>
      <c r="D46" s="24">
        <v>3938.2</v>
      </c>
      <c r="E46" s="24"/>
      <c r="F46" s="4"/>
      <c r="G46" s="24"/>
      <c r="H46" s="24"/>
      <c r="I46" s="28"/>
      <c r="J46" s="24"/>
      <c r="K46" s="20">
        <f t="shared" si="15"/>
        <v>3884</v>
      </c>
      <c r="L46" s="20">
        <f t="shared" si="16"/>
        <v>3938.2</v>
      </c>
      <c r="M46" s="13">
        <f t="shared" si="2"/>
        <v>-1.3954685890834213</v>
      </c>
      <c r="N46" s="16" t="s">
        <v>447</v>
      </c>
      <c r="P46" s="34"/>
    </row>
    <row r="47" spans="1:18" x14ac:dyDescent="0.25">
      <c r="A47" s="23" t="s">
        <v>76</v>
      </c>
      <c r="B47" s="26">
        <f>2638+10379+11071+8014</f>
        <v>32102</v>
      </c>
      <c r="C47" s="4" t="s">
        <v>238</v>
      </c>
      <c r="D47" s="24">
        <f>(6630.23+1305.95+15099.73+2974.18)/3+(16073.2794+4661.25)</f>
        <v>29404.559399999998</v>
      </c>
      <c r="E47" s="24"/>
      <c r="F47" s="4"/>
      <c r="G47" s="24"/>
      <c r="H47" s="24"/>
      <c r="I47" s="4"/>
      <c r="J47" s="24"/>
      <c r="K47" s="20">
        <f>B47+E47+H47</f>
        <v>32102</v>
      </c>
      <c r="L47" s="20">
        <f>D47+G47+J47</f>
        <v>29404.559399999998</v>
      </c>
      <c r="M47" s="13">
        <f t="shared" si="2"/>
        <v>8.4027182107033838</v>
      </c>
      <c r="N47" s="4"/>
      <c r="P47" s="34"/>
    </row>
    <row r="48" spans="1:18" x14ac:dyDescent="0.25">
      <c r="A48" s="23" t="s">
        <v>77</v>
      </c>
      <c r="B48" s="26">
        <f>2638+20758+5535+6111</f>
        <v>35042</v>
      </c>
      <c r="C48" s="4" t="s">
        <v>238</v>
      </c>
      <c r="D48" s="24">
        <f>(6630.23+1305.95+15099.73+2974.18)/3+(19287.93528+5143.45)</f>
        <v>33101.415280000001</v>
      </c>
      <c r="E48" s="24"/>
      <c r="F48" s="4"/>
      <c r="G48" s="24"/>
      <c r="H48" s="24"/>
      <c r="I48" s="4"/>
      <c r="J48" s="24"/>
      <c r="K48" s="20">
        <f t="shared" ref="K48:K52" si="17">B48+E48+H48</f>
        <v>35042</v>
      </c>
      <c r="L48" s="20">
        <f t="shared" ref="L48:L52" si="18">D48+G48+J48</f>
        <v>33101.415280000001</v>
      </c>
      <c r="M48" s="13">
        <f t="shared" si="2"/>
        <v>5.5378823126533945</v>
      </c>
      <c r="N48" s="4"/>
      <c r="P48" s="34"/>
    </row>
    <row r="49" spans="1:16" x14ac:dyDescent="0.25">
      <c r="A49" s="23" t="s">
        <v>78</v>
      </c>
      <c r="B49" s="26">
        <f>2638+20758+5535+6111</f>
        <v>35042</v>
      </c>
      <c r="C49" s="4" t="s">
        <v>238</v>
      </c>
      <c r="D49" s="24">
        <f>(6630.23+1305.95+15099.73+2974.18)/3+(19287.93528+5143.45)</f>
        <v>33101.415280000001</v>
      </c>
      <c r="E49" s="24"/>
      <c r="F49" s="4"/>
      <c r="G49" s="24"/>
      <c r="H49" s="24"/>
      <c r="I49" s="4"/>
      <c r="J49" s="24"/>
      <c r="K49" s="20">
        <f t="shared" si="17"/>
        <v>35042</v>
      </c>
      <c r="L49" s="20">
        <f t="shared" si="18"/>
        <v>33101.415280000001</v>
      </c>
      <c r="M49" s="13">
        <f t="shared" si="2"/>
        <v>5.5378823126533945</v>
      </c>
      <c r="N49" s="4"/>
      <c r="P49" s="34"/>
    </row>
    <row r="50" spans="1:16" x14ac:dyDescent="0.25">
      <c r="A50" s="23" t="s">
        <v>225</v>
      </c>
      <c r="B50" s="47"/>
      <c r="C50" s="4"/>
      <c r="D50" s="24"/>
      <c r="E50" s="24"/>
      <c r="F50" s="4"/>
      <c r="G50" s="27"/>
      <c r="H50" s="24"/>
      <c r="I50" s="4"/>
      <c r="J50" s="24"/>
      <c r="K50" s="20">
        <f t="shared" si="17"/>
        <v>0</v>
      </c>
      <c r="L50" s="20">
        <f t="shared" si="18"/>
        <v>0</v>
      </c>
      <c r="M50" s="13" t="e">
        <f t="shared" si="2"/>
        <v>#DIV/0!</v>
      </c>
      <c r="N50" s="4"/>
      <c r="P50" s="34"/>
    </row>
    <row r="51" spans="1:16" x14ac:dyDescent="0.25">
      <c r="A51" s="23" t="s">
        <v>226</v>
      </c>
      <c r="B51" s="47"/>
      <c r="C51" s="4"/>
      <c r="D51" s="24"/>
      <c r="E51" s="24"/>
      <c r="F51" s="4"/>
      <c r="G51" s="27"/>
      <c r="H51" s="24"/>
      <c r="I51" s="4"/>
      <c r="J51" s="24"/>
      <c r="K51" s="20">
        <f t="shared" si="17"/>
        <v>0</v>
      </c>
      <c r="L51" s="20">
        <f t="shared" si="18"/>
        <v>0</v>
      </c>
      <c r="M51" s="13" t="e">
        <f t="shared" si="2"/>
        <v>#DIV/0!</v>
      </c>
      <c r="N51" s="4"/>
      <c r="P51" s="34"/>
    </row>
    <row r="52" spans="1:16" x14ac:dyDescent="0.25">
      <c r="A52" s="23" t="s">
        <v>227</v>
      </c>
      <c r="B52" s="26">
        <f>13722+272</f>
        <v>13994</v>
      </c>
      <c r="C52" s="4" t="s">
        <v>238</v>
      </c>
      <c r="D52" s="24">
        <f>4279.865*3</f>
        <v>12839.594999999999</v>
      </c>
      <c r="E52" s="24">
        <v>13678</v>
      </c>
      <c r="F52" s="4" t="s">
        <v>212</v>
      </c>
      <c r="G52" s="27">
        <v>16710</v>
      </c>
      <c r="H52" s="24"/>
      <c r="I52" s="4"/>
      <c r="J52" s="24"/>
      <c r="K52" s="20">
        <f t="shared" si="17"/>
        <v>27672</v>
      </c>
      <c r="L52" s="20">
        <f t="shared" si="18"/>
        <v>29549.595000000001</v>
      </c>
      <c r="M52" s="13">
        <f t="shared" si="2"/>
        <v>-6.7851799653078899</v>
      </c>
      <c r="N52" s="4"/>
      <c r="P52" s="34"/>
    </row>
    <row r="53" spans="1:16" x14ac:dyDescent="0.25">
      <c r="A53" s="23" t="s">
        <v>176</v>
      </c>
      <c r="B53" s="26">
        <f>300+71+1601+1001+500+10+22+53+63</f>
        <v>3621</v>
      </c>
      <c r="C53" s="4" t="s">
        <v>238</v>
      </c>
      <c r="D53" s="24">
        <f>4279.865+799.18</f>
        <v>5079.0450000000001</v>
      </c>
      <c r="E53" s="24"/>
      <c r="F53" s="4"/>
      <c r="G53" s="24"/>
      <c r="H53" s="24"/>
      <c r="I53" s="4"/>
      <c r="J53" s="24"/>
      <c r="K53" s="20">
        <f>B53+E53+H53</f>
        <v>3621</v>
      </c>
      <c r="L53" s="20">
        <f>D53+G53+J53</f>
        <v>5079.0450000000001</v>
      </c>
      <c r="M53" s="13">
        <f t="shared" si="2"/>
        <v>-40.266362883181444</v>
      </c>
      <c r="N53" s="4"/>
      <c r="P53" s="34"/>
    </row>
    <row r="54" spans="1:16" x14ac:dyDescent="0.25">
      <c r="A54" s="23" t="s">
        <v>177</v>
      </c>
      <c r="B54" s="26">
        <f>15443+20583+46+61+122+321+94</f>
        <v>36670</v>
      </c>
      <c r="C54" s="4" t="s">
        <v>238</v>
      </c>
      <c r="D54" s="24">
        <f>69090/3</f>
        <v>23030</v>
      </c>
      <c r="E54" s="24">
        <f>9954+11907</f>
        <v>21861</v>
      </c>
      <c r="F54" s="4" t="s">
        <v>212</v>
      </c>
      <c r="G54" s="27">
        <f>50638/3</f>
        <v>16879.333333333332</v>
      </c>
      <c r="H54" s="24"/>
      <c r="I54" s="4"/>
      <c r="J54" s="24"/>
      <c r="K54" s="20">
        <f t="shared" ref="K54:K58" si="19">B54+E54+H54</f>
        <v>58531</v>
      </c>
      <c r="L54" s="20">
        <f t="shared" ref="L54:L58" si="20">D54+G54+J54</f>
        <v>39909.333333333328</v>
      </c>
      <c r="M54" s="13">
        <f t="shared" si="2"/>
        <v>31.815049574869164</v>
      </c>
      <c r="N54" s="4"/>
      <c r="P54" s="34"/>
    </row>
    <row r="55" spans="1:16" x14ac:dyDescent="0.25">
      <c r="A55" s="23" t="s">
        <v>86</v>
      </c>
      <c r="B55" s="26">
        <f>15443+20583+46+61+122+321+94</f>
        <v>36670</v>
      </c>
      <c r="C55" s="4" t="s">
        <v>238</v>
      </c>
      <c r="D55" s="24">
        <f>69090/3</f>
        <v>23030</v>
      </c>
      <c r="E55" s="24">
        <f>9954+11907</f>
        <v>21861</v>
      </c>
      <c r="F55" s="4" t="s">
        <v>212</v>
      </c>
      <c r="G55" s="27">
        <f>50638/3</f>
        <v>16879.333333333332</v>
      </c>
      <c r="H55" s="24"/>
      <c r="I55" s="4"/>
      <c r="J55" s="24"/>
      <c r="K55" s="20">
        <f t="shared" si="19"/>
        <v>58531</v>
      </c>
      <c r="L55" s="20">
        <f t="shared" si="20"/>
        <v>39909.333333333328</v>
      </c>
      <c r="M55" s="13">
        <f t="shared" si="2"/>
        <v>31.815049574869164</v>
      </c>
      <c r="N55" s="4"/>
      <c r="P55" s="34"/>
    </row>
    <row r="56" spans="1:16" x14ac:dyDescent="0.25">
      <c r="A56" s="23" t="s">
        <v>87</v>
      </c>
      <c r="B56" s="26">
        <f>15443+20583+46+61+122+321+94</f>
        <v>36670</v>
      </c>
      <c r="C56" s="4" t="s">
        <v>238</v>
      </c>
      <c r="D56" s="24">
        <f>69090/3</f>
        <v>23030</v>
      </c>
      <c r="E56" s="24">
        <f>9954+11907</f>
        <v>21861</v>
      </c>
      <c r="F56" s="4" t="s">
        <v>212</v>
      </c>
      <c r="G56" s="27">
        <f>50638/3</f>
        <v>16879.333333333332</v>
      </c>
      <c r="H56" s="24"/>
      <c r="I56" s="4"/>
      <c r="J56" s="24"/>
      <c r="K56" s="20">
        <f t="shared" si="19"/>
        <v>58531</v>
      </c>
      <c r="L56" s="20">
        <f t="shared" si="20"/>
        <v>39909.333333333328</v>
      </c>
      <c r="M56" s="13">
        <f t="shared" si="2"/>
        <v>31.815049574869164</v>
      </c>
      <c r="N56" s="4"/>
      <c r="P56" s="34"/>
    </row>
    <row r="57" spans="1:16" x14ac:dyDescent="0.25">
      <c r="A57" s="23" t="s">
        <v>88</v>
      </c>
      <c r="B57" s="47"/>
      <c r="C57" s="4"/>
      <c r="D57" s="24"/>
      <c r="E57" s="24"/>
      <c r="F57" s="4"/>
      <c r="G57" s="27"/>
      <c r="H57" s="24"/>
      <c r="I57" s="4"/>
      <c r="J57" s="24"/>
      <c r="K57" s="20">
        <f t="shared" si="19"/>
        <v>0</v>
      </c>
      <c r="L57" s="20">
        <f t="shared" si="20"/>
        <v>0</v>
      </c>
      <c r="M57" s="13" t="e">
        <f t="shared" si="2"/>
        <v>#DIV/0!</v>
      </c>
      <c r="N57" s="4"/>
      <c r="P57" s="34"/>
    </row>
    <row r="58" spans="1:16" x14ac:dyDescent="0.25">
      <c r="A58" s="23" t="s">
        <v>89</v>
      </c>
      <c r="B58" s="47"/>
      <c r="C58" s="4"/>
      <c r="D58" s="24"/>
      <c r="E58" s="24"/>
      <c r="F58" s="4"/>
      <c r="G58" s="27"/>
      <c r="H58" s="24"/>
      <c r="I58" s="4"/>
      <c r="J58" s="24"/>
      <c r="K58" s="20">
        <f t="shared" si="19"/>
        <v>0</v>
      </c>
      <c r="L58" s="20">
        <f t="shared" si="20"/>
        <v>0</v>
      </c>
      <c r="M58" s="13" t="e">
        <f t="shared" si="2"/>
        <v>#DIV/0!</v>
      </c>
      <c r="N58" s="4"/>
      <c r="P58" s="34"/>
    </row>
    <row r="59" spans="1:16" x14ac:dyDescent="0.25">
      <c r="A59" s="23" t="s">
        <v>90</v>
      </c>
      <c r="B59" s="47"/>
      <c r="C59" s="4"/>
      <c r="D59" s="24"/>
      <c r="E59" s="24"/>
      <c r="F59" s="4"/>
      <c r="G59" s="27"/>
      <c r="H59" s="24"/>
      <c r="I59" s="4"/>
      <c r="J59" s="24"/>
      <c r="K59" s="20">
        <f>B59+E59+H59</f>
        <v>0</v>
      </c>
      <c r="L59" s="20">
        <f>D59+G59+J59</f>
        <v>0</v>
      </c>
      <c r="M59" s="13" t="e">
        <f t="shared" si="2"/>
        <v>#DIV/0!</v>
      </c>
      <c r="N59" s="4"/>
      <c r="P59" s="34"/>
    </row>
    <row r="60" spans="1:16" x14ac:dyDescent="0.25">
      <c r="A60" s="23" t="s">
        <v>96</v>
      </c>
      <c r="B60" s="47"/>
      <c r="C60" s="4"/>
      <c r="D60" s="24"/>
      <c r="E60" s="24"/>
      <c r="F60" s="4"/>
      <c r="G60" s="27"/>
      <c r="H60" s="24"/>
      <c r="I60" s="4"/>
      <c r="J60" s="24"/>
      <c r="K60" s="20">
        <f t="shared" ref="K60:K66" si="21">B60+E60+H60</f>
        <v>0</v>
      </c>
      <c r="L60" s="20">
        <f t="shared" ref="L60:L66" si="22">D60+G60+J60</f>
        <v>0</v>
      </c>
      <c r="M60" s="13" t="e">
        <f t="shared" si="2"/>
        <v>#DIV/0!</v>
      </c>
      <c r="N60" s="4"/>
      <c r="P60" s="34"/>
    </row>
    <row r="61" spans="1:16" x14ac:dyDescent="0.25">
      <c r="A61" s="23" t="s">
        <v>97</v>
      </c>
      <c r="B61" s="47"/>
      <c r="C61" s="4"/>
      <c r="D61" s="24"/>
      <c r="E61" s="24"/>
      <c r="F61" s="4"/>
      <c r="G61" s="27"/>
      <c r="H61" s="24"/>
      <c r="I61" s="4"/>
      <c r="J61" s="24"/>
      <c r="K61" s="20">
        <f t="shared" si="21"/>
        <v>0</v>
      </c>
      <c r="L61" s="20">
        <f t="shared" si="22"/>
        <v>0</v>
      </c>
      <c r="M61" s="13" t="e">
        <f t="shared" si="2"/>
        <v>#DIV/0!</v>
      </c>
      <c r="N61" s="4"/>
      <c r="P61" s="34"/>
    </row>
    <row r="62" spans="1:16" x14ac:dyDescent="0.25">
      <c r="A62" s="23" t="s">
        <v>98</v>
      </c>
      <c r="B62" s="47"/>
      <c r="C62" s="4"/>
      <c r="D62" s="24"/>
      <c r="E62" s="24"/>
      <c r="F62" s="4"/>
      <c r="G62" s="27"/>
      <c r="H62" s="24"/>
      <c r="I62" s="28"/>
      <c r="J62" s="24"/>
      <c r="K62" s="20">
        <f t="shared" si="21"/>
        <v>0</v>
      </c>
      <c r="L62" s="20">
        <f t="shared" si="22"/>
        <v>0</v>
      </c>
      <c r="M62" s="13" t="e">
        <f t="shared" si="2"/>
        <v>#DIV/0!</v>
      </c>
      <c r="N62" s="4"/>
      <c r="P62" s="34"/>
    </row>
    <row r="63" spans="1:16" x14ac:dyDescent="0.25">
      <c r="A63" s="23" t="s">
        <v>99</v>
      </c>
      <c r="B63" s="26">
        <f>2083+1302+4014+17754+11919+6357+1552+970</f>
        <v>45951</v>
      </c>
      <c r="C63" s="4" t="s">
        <v>238</v>
      </c>
      <c r="D63" s="24">
        <v>40790.199999999997</v>
      </c>
      <c r="E63" s="24"/>
      <c r="F63" s="4"/>
      <c r="G63" s="27"/>
      <c r="H63" s="24"/>
      <c r="I63" s="4"/>
      <c r="J63" s="24"/>
      <c r="K63" s="20">
        <f t="shared" si="21"/>
        <v>45951</v>
      </c>
      <c r="L63" s="20">
        <f t="shared" si="22"/>
        <v>40790.199999999997</v>
      </c>
      <c r="M63" s="13">
        <f t="shared" si="2"/>
        <v>11.231093991425652</v>
      </c>
      <c r="N63" s="4"/>
      <c r="P63" s="34"/>
    </row>
    <row r="64" spans="1:16" x14ac:dyDescent="0.25">
      <c r="A64" s="23" t="s">
        <v>100</v>
      </c>
      <c r="B64" s="26">
        <f>827+6710+827</f>
        <v>8364</v>
      </c>
      <c r="C64" s="4" t="s">
        <v>238</v>
      </c>
      <c r="D64" s="24">
        <f>(2725.18+10012.74)/2</f>
        <v>6368.96</v>
      </c>
      <c r="E64" s="24"/>
      <c r="F64" s="4"/>
      <c r="G64" s="27"/>
      <c r="H64" s="24"/>
      <c r="I64" s="4"/>
      <c r="J64" s="24"/>
      <c r="K64" s="20">
        <f t="shared" si="21"/>
        <v>8364</v>
      </c>
      <c r="L64" s="20">
        <f t="shared" si="22"/>
        <v>6368.96</v>
      </c>
      <c r="M64" s="13">
        <f t="shared" si="2"/>
        <v>23.852702056432335</v>
      </c>
      <c r="N64" s="4"/>
      <c r="P64" s="34"/>
    </row>
    <row r="65" spans="1:18" x14ac:dyDescent="0.25">
      <c r="A65" s="23" t="s">
        <v>102</v>
      </c>
      <c r="B65" s="26">
        <f>827+6710+827</f>
        <v>8364</v>
      </c>
      <c r="C65" s="4" t="s">
        <v>238</v>
      </c>
      <c r="D65" s="24">
        <f>(2725.18+10012.74)/2</f>
        <v>6368.96</v>
      </c>
      <c r="E65" s="24"/>
      <c r="F65" s="4"/>
      <c r="G65" s="27"/>
      <c r="H65" s="24"/>
      <c r="I65" s="4"/>
      <c r="J65" s="24"/>
      <c r="K65" s="20">
        <f t="shared" si="21"/>
        <v>8364</v>
      </c>
      <c r="L65" s="20">
        <f t="shared" si="22"/>
        <v>6368.96</v>
      </c>
      <c r="M65" s="13">
        <f t="shared" si="2"/>
        <v>23.852702056432335</v>
      </c>
      <c r="N65" s="4"/>
      <c r="P65" s="34"/>
    </row>
    <row r="66" spans="1:18" x14ac:dyDescent="0.25">
      <c r="A66" s="23" t="s">
        <v>103</v>
      </c>
      <c r="B66" s="26">
        <f t="shared" ref="B66:B71" si="23">496+662+7158+1655+496+662</f>
        <v>11129</v>
      </c>
      <c r="C66" s="4" t="s">
        <v>238</v>
      </c>
      <c r="D66" s="24">
        <f>(4905.32+6540.43+30424.03+8175.54)/6</f>
        <v>8340.8866666666672</v>
      </c>
      <c r="E66" s="24"/>
      <c r="F66" s="4"/>
      <c r="G66" s="27"/>
      <c r="H66" s="24"/>
      <c r="I66" s="4"/>
      <c r="J66" s="24"/>
      <c r="K66" s="20">
        <f t="shared" si="21"/>
        <v>11129</v>
      </c>
      <c r="L66" s="20">
        <f t="shared" si="22"/>
        <v>8340.8866666666672</v>
      </c>
      <c r="M66" s="13">
        <f t="shared" ref="M66:M76" si="24">100-L66*100/K66</f>
        <v>25.052685176865239</v>
      </c>
      <c r="N66" s="4"/>
      <c r="P66" s="34"/>
    </row>
    <row r="67" spans="1:18" x14ac:dyDescent="0.25">
      <c r="A67" s="23" t="s">
        <v>104</v>
      </c>
      <c r="B67" s="26">
        <f t="shared" si="23"/>
        <v>11129</v>
      </c>
      <c r="C67" s="4" t="s">
        <v>238</v>
      </c>
      <c r="D67" s="24">
        <f t="shared" ref="D67:D71" si="25">(4905.32+6540.43+30424.03+8175.54)/6</f>
        <v>8340.8866666666672</v>
      </c>
      <c r="E67" s="24"/>
      <c r="F67" s="4"/>
      <c r="G67" s="27"/>
      <c r="H67" s="24"/>
      <c r="I67" s="4"/>
      <c r="J67" s="24"/>
      <c r="K67" s="20">
        <f>B67+E67+H67</f>
        <v>11129</v>
      </c>
      <c r="L67" s="20">
        <f>D67+G67+J67</f>
        <v>8340.8866666666672</v>
      </c>
      <c r="M67" s="13">
        <f t="shared" si="24"/>
        <v>25.052685176865239</v>
      </c>
      <c r="N67" s="4"/>
      <c r="P67" s="34"/>
    </row>
    <row r="68" spans="1:18" x14ac:dyDescent="0.25">
      <c r="A68" s="23" t="s">
        <v>106</v>
      </c>
      <c r="B68" s="26">
        <f t="shared" si="23"/>
        <v>11129</v>
      </c>
      <c r="C68" s="4" t="s">
        <v>238</v>
      </c>
      <c r="D68" s="24">
        <f t="shared" si="25"/>
        <v>8340.8866666666672</v>
      </c>
      <c r="E68" s="24"/>
      <c r="F68" s="4"/>
      <c r="G68" s="27"/>
      <c r="H68" s="24"/>
      <c r="I68" s="4"/>
      <c r="J68" s="24"/>
      <c r="K68" s="20">
        <f t="shared" ref="K68:K72" si="26">B68+E68+H68</f>
        <v>11129</v>
      </c>
      <c r="L68" s="20">
        <f t="shared" ref="L68:L72" si="27">D68+G68+J68</f>
        <v>8340.8866666666672</v>
      </c>
      <c r="M68" s="13">
        <f t="shared" si="24"/>
        <v>25.052685176865239</v>
      </c>
      <c r="N68" s="4"/>
      <c r="P68" s="34"/>
    </row>
    <row r="69" spans="1:18" x14ac:dyDescent="0.25">
      <c r="A69" s="23" t="s">
        <v>107</v>
      </c>
      <c r="B69" s="26">
        <f t="shared" si="23"/>
        <v>11129</v>
      </c>
      <c r="C69" s="4" t="s">
        <v>238</v>
      </c>
      <c r="D69" s="24">
        <f t="shared" si="25"/>
        <v>8340.8866666666672</v>
      </c>
      <c r="E69" s="24"/>
      <c r="F69" s="4"/>
      <c r="G69" s="27"/>
      <c r="H69" s="24"/>
      <c r="I69" s="4"/>
      <c r="J69" s="24"/>
      <c r="K69" s="20">
        <f t="shared" si="26"/>
        <v>11129</v>
      </c>
      <c r="L69" s="20">
        <f t="shared" si="27"/>
        <v>8340.8866666666672</v>
      </c>
      <c r="M69" s="13">
        <f t="shared" si="24"/>
        <v>25.052685176865239</v>
      </c>
      <c r="N69" s="4"/>
      <c r="P69" s="34"/>
    </row>
    <row r="70" spans="1:18" x14ac:dyDescent="0.25">
      <c r="A70" s="23" t="s">
        <v>108</v>
      </c>
      <c r="B70" s="26">
        <f t="shared" si="23"/>
        <v>11129</v>
      </c>
      <c r="C70" s="4" t="s">
        <v>238</v>
      </c>
      <c r="D70" s="24">
        <f t="shared" si="25"/>
        <v>8340.8866666666672</v>
      </c>
      <c r="E70" s="24"/>
      <c r="F70" s="4"/>
      <c r="G70" s="27"/>
      <c r="H70" s="24"/>
      <c r="I70" s="4"/>
      <c r="J70" s="24"/>
      <c r="K70" s="20">
        <f t="shared" si="26"/>
        <v>11129</v>
      </c>
      <c r="L70" s="20">
        <f t="shared" si="27"/>
        <v>8340.8866666666672</v>
      </c>
      <c r="M70" s="13">
        <f t="shared" si="24"/>
        <v>25.052685176865239</v>
      </c>
      <c r="N70" s="41"/>
      <c r="O70" s="40"/>
      <c r="P70" s="34"/>
    </row>
    <row r="71" spans="1:18" x14ac:dyDescent="0.25">
      <c r="A71" s="23" t="s">
        <v>109</v>
      </c>
      <c r="B71" s="26">
        <f t="shared" si="23"/>
        <v>11129</v>
      </c>
      <c r="C71" s="4" t="s">
        <v>238</v>
      </c>
      <c r="D71" s="24">
        <f t="shared" si="25"/>
        <v>8340.8866666666672</v>
      </c>
      <c r="E71" s="24"/>
      <c r="F71" s="4"/>
      <c r="G71" s="27"/>
      <c r="H71" s="24"/>
      <c r="I71" s="4"/>
      <c r="J71" s="24"/>
      <c r="K71" s="20">
        <f t="shared" si="26"/>
        <v>11129</v>
      </c>
      <c r="L71" s="20">
        <f t="shared" si="27"/>
        <v>8340.8866666666672</v>
      </c>
      <c r="M71" s="13">
        <f t="shared" si="24"/>
        <v>25.052685176865239</v>
      </c>
      <c r="N71" s="4"/>
      <c r="P71" s="34"/>
    </row>
    <row r="72" spans="1:18" x14ac:dyDescent="0.25">
      <c r="A72" s="23" t="s">
        <v>111</v>
      </c>
      <c r="B72" s="26"/>
      <c r="C72" s="4"/>
      <c r="D72" s="24"/>
      <c r="E72" s="24"/>
      <c r="F72" s="4"/>
      <c r="G72" s="27"/>
      <c r="H72" s="24"/>
      <c r="I72" s="4"/>
      <c r="J72" s="24"/>
      <c r="K72" s="20">
        <f t="shared" si="26"/>
        <v>0</v>
      </c>
      <c r="L72" s="20">
        <f t="shared" si="27"/>
        <v>0</v>
      </c>
      <c r="M72" s="13" t="e">
        <f t="shared" si="24"/>
        <v>#DIV/0!</v>
      </c>
      <c r="N72" s="4"/>
      <c r="P72" s="34"/>
    </row>
    <row r="73" spans="1:18" x14ac:dyDescent="0.25">
      <c r="A73" s="23" t="s">
        <v>117</v>
      </c>
      <c r="B73" s="26"/>
      <c r="C73" s="4"/>
      <c r="D73" s="24"/>
      <c r="E73" s="24"/>
      <c r="F73" s="4"/>
      <c r="G73" s="27"/>
      <c r="H73" s="24"/>
      <c r="I73" s="4"/>
      <c r="J73" s="24"/>
      <c r="K73" s="20">
        <f>B73+E73+H73</f>
        <v>0</v>
      </c>
      <c r="L73" s="20">
        <f>D73+G73+J73</f>
        <v>0</v>
      </c>
      <c r="M73" s="13" t="e">
        <f t="shared" si="24"/>
        <v>#DIV/0!</v>
      </c>
      <c r="N73" s="4"/>
      <c r="P73" s="34"/>
    </row>
    <row r="74" spans="1:18" x14ac:dyDescent="0.25">
      <c r="A74" s="23" t="s">
        <v>118</v>
      </c>
      <c r="B74" s="26"/>
      <c r="C74" s="4"/>
      <c r="D74" s="24"/>
      <c r="E74" s="26"/>
      <c r="F74" s="4"/>
      <c r="G74" s="27"/>
      <c r="H74" s="24"/>
      <c r="I74" s="4"/>
      <c r="J74" s="24"/>
      <c r="K74" s="20">
        <f t="shared" ref="K74:K76" si="28">B74+E74+H74</f>
        <v>0</v>
      </c>
      <c r="L74" s="20">
        <f t="shared" ref="L74:L76" si="29">D74+G74+J74</f>
        <v>0</v>
      </c>
      <c r="M74" s="13" t="e">
        <f t="shared" si="24"/>
        <v>#DIV/0!</v>
      </c>
      <c r="N74" s="4"/>
      <c r="P74" s="34"/>
    </row>
    <row r="75" spans="1:18" x14ac:dyDescent="0.25">
      <c r="A75" s="23" t="s">
        <v>119</v>
      </c>
      <c r="B75" s="26"/>
      <c r="C75" s="4"/>
      <c r="D75" s="24"/>
      <c r="E75" s="26"/>
      <c r="F75" s="4"/>
      <c r="G75" s="27"/>
      <c r="H75" s="24"/>
      <c r="I75" s="4"/>
      <c r="J75" s="24"/>
      <c r="K75" s="20">
        <f t="shared" si="28"/>
        <v>0</v>
      </c>
      <c r="L75" s="20">
        <f t="shared" si="29"/>
        <v>0</v>
      </c>
      <c r="M75" s="13" t="e">
        <f t="shared" si="24"/>
        <v>#DIV/0!</v>
      </c>
      <c r="N75" s="4"/>
      <c r="P75" s="34"/>
    </row>
    <row r="76" spans="1:18" x14ac:dyDescent="0.25">
      <c r="A76" s="23" t="s">
        <v>120</v>
      </c>
      <c r="B76" s="26"/>
      <c r="C76" s="4"/>
      <c r="D76" s="24"/>
      <c r="E76" s="24"/>
      <c r="F76" s="4"/>
      <c r="G76" s="27"/>
      <c r="H76" s="24"/>
      <c r="I76" s="4"/>
      <c r="J76" s="24"/>
      <c r="K76" s="20">
        <f t="shared" si="28"/>
        <v>0</v>
      </c>
      <c r="L76" s="20">
        <f t="shared" si="29"/>
        <v>0</v>
      </c>
      <c r="M76" s="13" t="e">
        <f t="shared" si="24"/>
        <v>#DIV/0!</v>
      </c>
      <c r="N76" s="4"/>
      <c r="P76" s="34"/>
    </row>
    <row r="77" spans="1:18" x14ac:dyDescent="0.25">
      <c r="A77" s="23"/>
      <c r="B77" s="26"/>
      <c r="C77" s="4"/>
      <c r="D77" s="24"/>
      <c r="E77" s="24"/>
      <c r="F77" s="4"/>
      <c r="G77" s="27"/>
      <c r="H77" s="24"/>
      <c r="I77" s="4"/>
      <c r="J77" s="24"/>
      <c r="K77" s="20"/>
      <c r="L77" s="20"/>
      <c r="M77" s="13"/>
      <c r="N77" s="4"/>
      <c r="P77" s="34"/>
      <c r="R77" s="54"/>
    </row>
    <row r="78" spans="1:18" x14ac:dyDescent="0.25">
      <c r="A78" s="23"/>
      <c r="B78" s="8"/>
      <c r="C78" s="4"/>
      <c r="D78" s="24"/>
      <c r="E78" s="24"/>
      <c r="F78" s="4"/>
      <c r="G78" s="15"/>
      <c r="H78" s="9"/>
      <c r="I78" s="4"/>
      <c r="J78" s="24"/>
      <c r="K78" s="39">
        <f>SUM(K2:K77)</f>
        <v>1043866</v>
      </c>
      <c r="L78" s="39">
        <f>SUM(L2:L77)</f>
        <v>897873.95996000024</v>
      </c>
      <c r="M78" s="49">
        <f>100-L78*100/K78</f>
        <v>13.985706981547423</v>
      </c>
      <c r="N78" s="50">
        <f>K78-L78</f>
        <v>145992.04003999976</v>
      </c>
    </row>
    <row r="79" spans="1:18" x14ac:dyDescent="0.25">
      <c r="N79">
        <f>N78/K78*100</f>
        <v>13.985706981547416</v>
      </c>
    </row>
    <row r="82" spans="1:14" ht="30" x14ac:dyDescent="0.25">
      <c r="A82" s="2" t="s">
        <v>0</v>
      </c>
      <c r="B82" s="3" t="s">
        <v>2</v>
      </c>
      <c r="C82" s="3" t="s">
        <v>9</v>
      </c>
      <c r="D82" s="3" t="s">
        <v>3</v>
      </c>
      <c r="E82" s="3" t="s">
        <v>4</v>
      </c>
      <c r="F82" s="7" t="s">
        <v>9</v>
      </c>
      <c r="G82" s="3" t="s">
        <v>5</v>
      </c>
      <c r="H82" s="3" t="s">
        <v>252</v>
      </c>
      <c r="I82" s="7" t="s">
        <v>9</v>
      </c>
      <c r="J82" s="3" t="s">
        <v>253</v>
      </c>
      <c r="K82" s="5" t="s">
        <v>10</v>
      </c>
      <c r="L82" s="5" t="s">
        <v>11</v>
      </c>
      <c r="M82" s="12" t="s">
        <v>61</v>
      </c>
      <c r="N82" s="34"/>
    </row>
    <row r="83" spans="1:14" x14ac:dyDescent="0.25">
      <c r="A83" s="23" t="s">
        <v>48</v>
      </c>
      <c r="B83" s="26">
        <v>3360</v>
      </c>
      <c r="C83" s="4" t="s">
        <v>238</v>
      </c>
      <c r="D83" s="24">
        <v>2220.46</v>
      </c>
      <c r="E83" s="24"/>
      <c r="F83" s="4"/>
      <c r="G83" s="27"/>
      <c r="H83" s="24"/>
      <c r="I83" s="4"/>
      <c r="J83" s="24"/>
      <c r="K83" s="20">
        <f t="shared" ref="K83:K89" si="30">B83+E83+H83</f>
        <v>3360</v>
      </c>
      <c r="L83" s="20">
        <f t="shared" ref="L83:L89" si="31">D83+G83+J83</f>
        <v>2220.46</v>
      </c>
      <c r="M83" s="13">
        <f t="shared" ref="M83:M92" si="32">100-L83*100/K83</f>
        <v>33.914880952380955</v>
      </c>
      <c r="N83" s="53">
        <f t="shared" ref="N83:N96" si="33">K83-L83</f>
        <v>1139.54</v>
      </c>
    </row>
    <row r="84" spans="1:14" x14ac:dyDescent="0.25">
      <c r="A84" s="23" t="s">
        <v>49</v>
      </c>
      <c r="B84" s="26">
        <v>3360</v>
      </c>
      <c r="C84" s="4" t="s">
        <v>238</v>
      </c>
      <c r="D84" s="24">
        <v>2220.46</v>
      </c>
      <c r="E84" s="24"/>
      <c r="F84" s="4"/>
      <c r="G84" s="27"/>
      <c r="H84" s="24"/>
      <c r="I84" s="4"/>
      <c r="J84" s="24"/>
      <c r="K84" s="20">
        <f t="shared" si="30"/>
        <v>3360</v>
      </c>
      <c r="L84" s="20">
        <f t="shared" si="31"/>
        <v>2220.46</v>
      </c>
      <c r="M84" s="13">
        <f t="shared" si="32"/>
        <v>33.914880952380955</v>
      </c>
      <c r="N84" s="53">
        <f t="shared" si="33"/>
        <v>1139.54</v>
      </c>
    </row>
    <row r="85" spans="1:14" x14ac:dyDescent="0.25">
      <c r="A85" s="23" t="s">
        <v>50</v>
      </c>
      <c r="B85" s="26">
        <v>3360</v>
      </c>
      <c r="C85" s="4" t="s">
        <v>238</v>
      </c>
      <c r="D85" s="24">
        <v>2220.46</v>
      </c>
      <c r="E85" s="24"/>
      <c r="F85" s="4"/>
      <c r="G85" s="27"/>
      <c r="H85" s="24"/>
      <c r="I85" s="4"/>
      <c r="J85" s="24"/>
      <c r="K85" s="20">
        <f t="shared" si="30"/>
        <v>3360</v>
      </c>
      <c r="L85" s="20">
        <f t="shared" si="31"/>
        <v>2220.46</v>
      </c>
      <c r="M85" s="13">
        <f t="shared" si="32"/>
        <v>33.914880952380955</v>
      </c>
      <c r="N85" s="53">
        <f t="shared" si="33"/>
        <v>1139.54</v>
      </c>
    </row>
    <row r="86" spans="1:14" x14ac:dyDescent="0.25">
      <c r="A86" s="23" t="s">
        <v>51</v>
      </c>
      <c r="B86" s="26">
        <v>3360</v>
      </c>
      <c r="C86" s="4" t="s">
        <v>238</v>
      </c>
      <c r="D86" s="24">
        <v>2220.46</v>
      </c>
      <c r="E86" s="24"/>
      <c r="F86" s="4"/>
      <c r="G86" s="27"/>
      <c r="H86" s="24"/>
      <c r="I86" s="4"/>
      <c r="J86" s="24"/>
      <c r="K86" s="20">
        <f t="shared" si="30"/>
        <v>3360</v>
      </c>
      <c r="L86" s="20">
        <f t="shared" si="31"/>
        <v>2220.46</v>
      </c>
      <c r="M86" s="13">
        <f t="shared" si="32"/>
        <v>33.914880952380955</v>
      </c>
      <c r="N86" s="53">
        <f t="shared" si="33"/>
        <v>1139.54</v>
      </c>
    </row>
    <row r="87" spans="1:14" x14ac:dyDescent="0.25">
      <c r="A87" s="23" t="s">
        <v>52</v>
      </c>
      <c r="B87" s="26">
        <v>3360</v>
      </c>
      <c r="C87" s="4" t="s">
        <v>238</v>
      </c>
      <c r="D87" s="24">
        <v>2220.46</v>
      </c>
      <c r="E87" s="24"/>
      <c r="F87" s="4"/>
      <c r="G87" s="27"/>
      <c r="H87" s="24"/>
      <c r="I87" s="4"/>
      <c r="J87" s="24"/>
      <c r="K87" s="20">
        <f t="shared" si="30"/>
        <v>3360</v>
      </c>
      <c r="L87" s="20">
        <f t="shared" si="31"/>
        <v>2220.46</v>
      </c>
      <c r="M87" s="13">
        <f t="shared" si="32"/>
        <v>33.914880952380955</v>
      </c>
      <c r="N87" s="53">
        <f t="shared" si="33"/>
        <v>1139.54</v>
      </c>
    </row>
    <row r="88" spans="1:14" x14ac:dyDescent="0.25">
      <c r="A88" s="23" t="s">
        <v>53</v>
      </c>
      <c r="B88" s="26">
        <v>3360</v>
      </c>
      <c r="C88" s="4" t="s">
        <v>238</v>
      </c>
      <c r="D88" s="24">
        <v>2220.46</v>
      </c>
      <c r="E88" s="24"/>
      <c r="F88" s="4"/>
      <c r="G88" s="27"/>
      <c r="H88" s="24"/>
      <c r="I88" s="4"/>
      <c r="J88" s="24"/>
      <c r="K88" s="20">
        <f t="shared" si="30"/>
        <v>3360</v>
      </c>
      <c r="L88" s="20">
        <f t="shared" si="31"/>
        <v>2220.46</v>
      </c>
      <c r="M88" s="13">
        <f t="shared" si="32"/>
        <v>33.914880952380955</v>
      </c>
      <c r="N88" s="53">
        <f t="shared" si="33"/>
        <v>1139.54</v>
      </c>
    </row>
    <row r="89" spans="1:14" x14ac:dyDescent="0.25">
      <c r="A89" s="23" t="s">
        <v>54</v>
      </c>
      <c r="B89" s="26">
        <v>7399</v>
      </c>
      <c r="C89" s="4" t="s">
        <v>238</v>
      </c>
      <c r="D89" s="24">
        <v>3853.3874999999998</v>
      </c>
      <c r="E89" s="24"/>
      <c r="F89" s="4"/>
      <c r="G89" s="27"/>
      <c r="H89" s="24"/>
      <c r="I89" s="4"/>
      <c r="J89" s="24"/>
      <c r="K89" s="20">
        <f t="shared" si="30"/>
        <v>7399</v>
      </c>
      <c r="L89" s="20">
        <f t="shared" si="31"/>
        <v>3853.3874999999998</v>
      </c>
      <c r="M89" s="13">
        <f t="shared" si="32"/>
        <v>47.92015812947696</v>
      </c>
      <c r="N89" s="53">
        <f t="shared" si="33"/>
        <v>3545.6125000000002</v>
      </c>
    </row>
    <row r="90" spans="1:14" x14ac:dyDescent="0.25">
      <c r="A90" s="23" t="s">
        <v>55</v>
      </c>
      <c r="B90" s="26">
        <v>7399</v>
      </c>
      <c r="C90" s="4" t="s">
        <v>238</v>
      </c>
      <c r="D90" s="24">
        <v>3853.3874999999998</v>
      </c>
      <c r="E90" s="24"/>
      <c r="F90" s="4"/>
      <c r="G90" s="27"/>
      <c r="H90" s="24"/>
      <c r="I90" s="4"/>
      <c r="J90" s="24"/>
      <c r="K90" s="20">
        <f>B90+E90+H90</f>
        <v>7399</v>
      </c>
      <c r="L90" s="20">
        <f>D90+G90+J90</f>
        <v>3853.3874999999998</v>
      </c>
      <c r="M90" s="13">
        <f t="shared" si="32"/>
        <v>47.92015812947696</v>
      </c>
      <c r="N90" s="53">
        <f t="shared" si="33"/>
        <v>3545.6125000000002</v>
      </c>
    </row>
    <row r="91" spans="1:14" x14ac:dyDescent="0.25">
      <c r="A91" s="23" t="s">
        <v>56</v>
      </c>
      <c r="B91" s="26">
        <v>7399</v>
      </c>
      <c r="C91" s="4" t="s">
        <v>238</v>
      </c>
      <c r="D91" s="24">
        <v>3853.3874999999998</v>
      </c>
      <c r="E91" s="24"/>
      <c r="F91" s="4"/>
      <c r="G91" s="27"/>
      <c r="H91" s="24"/>
      <c r="I91" s="4"/>
      <c r="J91" s="24"/>
      <c r="K91" s="20">
        <f t="shared" ref="K91:K92" si="34">B91+E91+H91</f>
        <v>7399</v>
      </c>
      <c r="L91" s="20">
        <f t="shared" ref="L91:L92" si="35">D91+G91+J91</f>
        <v>3853.3874999999998</v>
      </c>
      <c r="M91" s="13">
        <f t="shared" si="32"/>
        <v>47.92015812947696</v>
      </c>
      <c r="N91" s="53">
        <f t="shared" si="33"/>
        <v>3545.6125000000002</v>
      </c>
    </row>
    <row r="92" spans="1:14" x14ac:dyDescent="0.25">
      <c r="A92" s="23" t="s">
        <v>57</v>
      </c>
      <c r="B92" s="26">
        <v>7399</v>
      </c>
      <c r="C92" s="4" t="s">
        <v>238</v>
      </c>
      <c r="D92" s="24">
        <v>3853.3874999999998</v>
      </c>
      <c r="E92" s="24"/>
      <c r="F92" s="4"/>
      <c r="G92" s="27"/>
      <c r="H92" s="24"/>
      <c r="I92" s="4"/>
      <c r="J92" s="24"/>
      <c r="K92" s="20">
        <f t="shared" si="34"/>
        <v>7399</v>
      </c>
      <c r="L92" s="20">
        <f t="shared" si="35"/>
        <v>3853.3874999999998</v>
      </c>
      <c r="M92" s="13">
        <f t="shared" si="32"/>
        <v>47.92015812947696</v>
      </c>
      <c r="N92" s="53">
        <f t="shared" si="33"/>
        <v>3545.6125000000002</v>
      </c>
    </row>
    <row r="93" spans="1:14" x14ac:dyDescent="0.25">
      <c r="A93" s="23"/>
      <c r="B93" s="26"/>
      <c r="C93" s="4"/>
      <c r="D93" s="24"/>
      <c r="E93" s="24"/>
      <c r="F93" s="4"/>
      <c r="G93" s="27"/>
      <c r="H93" s="24"/>
      <c r="I93" s="4"/>
      <c r="J93" s="24"/>
      <c r="K93" s="20"/>
      <c r="L93" s="20"/>
      <c r="M93" s="13"/>
      <c r="N93" s="53">
        <f t="shared" si="33"/>
        <v>0</v>
      </c>
    </row>
    <row r="94" spans="1:14" x14ac:dyDescent="0.25">
      <c r="A94" s="23"/>
      <c r="B94" s="26"/>
      <c r="C94" s="4"/>
      <c r="D94" s="24"/>
      <c r="E94" s="24"/>
      <c r="F94" s="4"/>
      <c r="G94" s="27"/>
      <c r="H94" s="24"/>
      <c r="I94" s="4"/>
      <c r="J94" s="24"/>
      <c r="K94" s="20"/>
      <c r="L94" s="20"/>
      <c r="M94" s="13"/>
      <c r="N94" s="53">
        <f t="shared" si="33"/>
        <v>0</v>
      </c>
    </row>
    <row r="95" spans="1:14" x14ac:dyDescent="0.25">
      <c r="A95" s="23"/>
      <c r="B95" s="26"/>
      <c r="C95" s="4"/>
      <c r="D95" s="24"/>
      <c r="E95" s="24"/>
      <c r="F95" s="4"/>
      <c r="G95" s="24"/>
      <c r="H95" s="24"/>
      <c r="I95" s="4"/>
      <c r="J95" s="24"/>
      <c r="K95" s="20"/>
      <c r="L95" s="20"/>
      <c r="M95" s="13"/>
      <c r="N95" s="53">
        <f t="shared" si="33"/>
        <v>0</v>
      </c>
    </row>
    <row r="96" spans="1:14" x14ac:dyDescent="0.25">
      <c r="A96" s="23"/>
      <c r="B96" s="26"/>
      <c r="C96" s="4"/>
      <c r="D96" s="24"/>
      <c r="E96" s="24"/>
      <c r="F96" s="4"/>
      <c r="G96" s="27"/>
      <c r="H96" s="24"/>
      <c r="I96" s="4"/>
      <c r="J96" s="24"/>
      <c r="K96" s="20"/>
      <c r="L96" s="20"/>
      <c r="M96" s="13"/>
      <c r="N96" s="53">
        <f t="shared" si="33"/>
        <v>0</v>
      </c>
    </row>
    <row r="97" spans="1:14" x14ac:dyDescent="0.25">
      <c r="A97" s="23"/>
      <c r="B97" s="26"/>
      <c r="C97" s="4"/>
      <c r="D97" s="24"/>
      <c r="E97" s="24"/>
      <c r="F97" s="4"/>
      <c r="G97" s="27"/>
      <c r="H97" s="24"/>
      <c r="I97" s="4"/>
      <c r="J97" s="24"/>
      <c r="K97" s="20"/>
      <c r="L97" s="20"/>
      <c r="M97" s="13"/>
      <c r="N97" s="34"/>
    </row>
    <row r="98" spans="1:14" x14ac:dyDescent="0.25">
      <c r="K98" s="52">
        <f>SUM(K83:K97)</f>
        <v>49756</v>
      </c>
      <c r="L98" s="52">
        <f>SUM(L83:L97)</f>
        <v>28736.31</v>
      </c>
      <c r="M98" s="52"/>
      <c r="N98" s="65">
        <f>SUM(N83:N97)</f>
        <v>21019.69</v>
      </c>
    </row>
    <row r="100" spans="1:14" x14ac:dyDescent="0.25">
      <c r="J100" s="60" t="s">
        <v>414</v>
      </c>
      <c r="K100" s="52">
        <f>K98-L98</f>
        <v>21019.69</v>
      </c>
    </row>
  </sheetData>
  <pageMargins left="0.7" right="0.7" top="0.75" bottom="0.75" header="0.3" footer="0.3"/>
  <pageSetup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C833-A054-417A-A15C-68542FF28ECE}">
  <sheetPr>
    <pageSetUpPr fitToPage="1"/>
  </sheetPr>
  <dimension ref="A2:W160"/>
  <sheetViews>
    <sheetView topLeftCell="A81" workbookViewId="0">
      <selection activeCell="U138" sqref="U138"/>
    </sheetView>
  </sheetViews>
  <sheetFormatPr defaultRowHeight="15" x14ac:dyDescent="0.25"/>
  <cols>
    <col min="1" max="1" width="7.7109375" bestFit="1" customWidth="1"/>
    <col min="3" max="3" width="9.28515625" bestFit="1" customWidth="1"/>
    <col min="4" max="4" width="7" bestFit="1" customWidth="1"/>
    <col min="5" max="5" width="6" bestFit="1" customWidth="1"/>
    <col min="6" max="6" width="8" customWidth="1"/>
    <col min="7" max="7" width="6" bestFit="1" customWidth="1"/>
    <col min="8" max="8" width="6.85546875" bestFit="1" customWidth="1"/>
    <col min="9" max="9" width="9.5703125" bestFit="1" customWidth="1"/>
    <col min="10" max="10" width="7.5703125" customWidth="1"/>
    <col min="11" max="11" width="9.140625" customWidth="1"/>
    <col min="13" max="13" width="7.7109375" bestFit="1" customWidth="1"/>
    <col min="14" max="14" width="24.7109375" customWidth="1"/>
    <col min="17" max="17" width="7.28515625" customWidth="1"/>
    <col min="18" max="18" width="2" bestFit="1" customWidth="1"/>
  </cols>
  <sheetData>
    <row r="2" spans="1:23" ht="30" x14ac:dyDescent="0.25">
      <c r="A2" s="2" t="s">
        <v>0</v>
      </c>
      <c r="B2" s="3" t="s">
        <v>2</v>
      </c>
      <c r="C2" s="3" t="s">
        <v>9</v>
      </c>
      <c r="D2" s="3" t="s">
        <v>3</v>
      </c>
      <c r="E2" s="3" t="s">
        <v>4</v>
      </c>
      <c r="F2" s="7" t="s">
        <v>9</v>
      </c>
      <c r="G2" s="3" t="s">
        <v>5</v>
      </c>
      <c r="H2" s="3" t="s">
        <v>252</v>
      </c>
      <c r="I2" s="7" t="s">
        <v>9</v>
      </c>
      <c r="J2" s="73" t="s">
        <v>253</v>
      </c>
      <c r="K2" s="5" t="s">
        <v>10</v>
      </c>
      <c r="L2" s="5" t="s">
        <v>11</v>
      </c>
      <c r="M2" s="12" t="s">
        <v>61</v>
      </c>
      <c r="N2" s="7" t="s">
        <v>1</v>
      </c>
      <c r="O2" s="3"/>
      <c r="P2" s="62" t="s">
        <v>445</v>
      </c>
    </row>
    <row r="3" spans="1:23" x14ac:dyDescent="0.25">
      <c r="A3" s="23" t="s">
        <v>19</v>
      </c>
      <c r="B3" s="47"/>
      <c r="C3" s="4"/>
      <c r="D3" s="68"/>
      <c r="E3" s="24"/>
      <c r="F3" s="4"/>
      <c r="G3" s="27"/>
      <c r="H3" s="24"/>
      <c r="I3" s="4"/>
      <c r="J3" s="24"/>
      <c r="K3" s="20">
        <f t="shared" ref="K3:K8" si="0">B3+E3+H3</f>
        <v>0</v>
      </c>
      <c r="L3" s="20">
        <f t="shared" ref="L3:L8" si="1">D3+G3+J3</f>
        <v>0</v>
      </c>
      <c r="M3" s="13" t="e">
        <f t="shared" ref="M3" si="2">100-L3*100/K3</f>
        <v>#DIV/0!</v>
      </c>
      <c r="N3" s="4"/>
      <c r="P3" s="34"/>
      <c r="W3" t="s">
        <v>451</v>
      </c>
    </row>
    <row r="4" spans="1:23" x14ac:dyDescent="0.25">
      <c r="A4" s="23" t="s">
        <v>20</v>
      </c>
      <c r="B4" s="26">
        <f>1276+1021</f>
        <v>2297</v>
      </c>
      <c r="C4" s="4" t="s">
        <v>238</v>
      </c>
      <c r="D4" s="69">
        <f>1391+626.82</f>
        <v>2017.8200000000002</v>
      </c>
      <c r="E4" s="24"/>
      <c r="F4" s="4"/>
      <c r="G4" s="24"/>
      <c r="H4" s="24"/>
      <c r="I4" s="4"/>
      <c r="J4" s="24"/>
      <c r="K4" s="20">
        <f>B4+E4+H4</f>
        <v>2297</v>
      </c>
      <c r="L4" s="20">
        <f t="shared" si="1"/>
        <v>2017.8200000000002</v>
      </c>
      <c r="M4" s="13">
        <f>100-L4*100/K4</f>
        <v>12.154114061819755</v>
      </c>
      <c r="N4" s="4"/>
      <c r="P4" s="34"/>
      <c r="R4">
        <v>3</v>
      </c>
      <c r="S4">
        <v>3053.38</v>
      </c>
    </row>
    <row r="5" spans="1:23" x14ac:dyDescent="0.25">
      <c r="A5" s="23" t="s">
        <v>21</v>
      </c>
      <c r="B5" s="26">
        <f>5104+1531+510+1531</f>
        <v>8676</v>
      </c>
      <c r="C5" s="4" t="s">
        <v>238</v>
      </c>
      <c r="D5" s="69">
        <f>(13038.44+3338.63)/2</f>
        <v>8188.5349999999999</v>
      </c>
      <c r="E5" s="24"/>
      <c r="F5" s="4"/>
      <c r="G5" s="24"/>
      <c r="H5" s="24"/>
      <c r="I5" s="4"/>
      <c r="J5" s="24"/>
      <c r="K5" s="20">
        <f t="shared" si="0"/>
        <v>8676</v>
      </c>
      <c r="L5" s="20">
        <f t="shared" si="1"/>
        <v>8188.5349999999999</v>
      </c>
      <c r="M5" s="13">
        <f>100-L5*100/K5</f>
        <v>5.6185454126325425</v>
      </c>
      <c r="N5" s="4" t="s">
        <v>448</v>
      </c>
      <c r="P5" s="34"/>
      <c r="R5">
        <v>3</v>
      </c>
      <c r="S5">
        <v>4071.17</v>
      </c>
    </row>
    <row r="6" spans="1:23" x14ac:dyDescent="0.25">
      <c r="A6" s="23" t="s">
        <v>22</v>
      </c>
      <c r="B6" s="26">
        <f>5104+1531+510+1531</f>
        <v>8676</v>
      </c>
      <c r="C6" s="4" t="s">
        <v>238</v>
      </c>
      <c r="D6" s="69">
        <f>(13038.44+3338.63)/2</f>
        <v>8188.5349999999999</v>
      </c>
      <c r="E6" s="24"/>
      <c r="F6" s="4"/>
      <c r="G6" s="24"/>
      <c r="H6" s="24"/>
      <c r="I6" s="4"/>
      <c r="J6" s="24"/>
      <c r="K6" s="20">
        <f t="shared" si="0"/>
        <v>8676</v>
      </c>
      <c r="L6" s="20">
        <f t="shared" si="1"/>
        <v>8188.5349999999999</v>
      </c>
      <c r="M6" s="13">
        <f t="shared" ref="M6" si="3">100-L6*100/K6</f>
        <v>5.6185454126325425</v>
      </c>
      <c r="N6" s="4" t="s">
        <v>448</v>
      </c>
      <c r="P6" s="34"/>
      <c r="R6">
        <v>3</v>
      </c>
      <c r="S6">
        <v>2347.21</v>
      </c>
    </row>
    <row r="7" spans="1:23" x14ac:dyDescent="0.25">
      <c r="A7" s="23" t="s">
        <v>23</v>
      </c>
      <c r="B7" s="26">
        <f>2749+2749</f>
        <v>5498</v>
      </c>
      <c r="C7" s="4" t="s">
        <v>238</v>
      </c>
      <c r="D7" s="69">
        <v>5225</v>
      </c>
      <c r="E7" s="24">
        <f>5362+5362</f>
        <v>10724</v>
      </c>
      <c r="F7" s="4" t="s">
        <v>212</v>
      </c>
      <c r="G7" s="24">
        <v>11168.7</v>
      </c>
      <c r="H7" s="24"/>
      <c r="I7" s="4"/>
      <c r="J7" s="24"/>
      <c r="K7" s="20">
        <f t="shared" si="0"/>
        <v>16222</v>
      </c>
      <c r="L7" s="20">
        <f t="shared" si="1"/>
        <v>16393.7</v>
      </c>
      <c r="M7" s="13">
        <f>100-L7*100/K7</f>
        <v>-1.0584391567007714</v>
      </c>
      <c r="N7" s="4"/>
      <c r="P7" s="34"/>
      <c r="R7">
        <v>3</v>
      </c>
      <c r="S7">
        <v>3129.62</v>
      </c>
    </row>
    <row r="8" spans="1:23" x14ac:dyDescent="0.25">
      <c r="A8" s="23" t="s">
        <v>24</v>
      </c>
      <c r="B8" s="47"/>
      <c r="C8" s="4"/>
      <c r="D8" s="68"/>
      <c r="E8" s="24"/>
      <c r="F8" s="4"/>
      <c r="G8" s="27"/>
      <c r="H8" s="24"/>
      <c r="I8" s="4"/>
      <c r="J8" s="24"/>
      <c r="K8" s="20">
        <f t="shared" si="0"/>
        <v>0</v>
      </c>
      <c r="L8" s="20">
        <f t="shared" si="1"/>
        <v>0</v>
      </c>
      <c r="M8" s="13"/>
      <c r="N8" s="4"/>
      <c r="P8" s="34"/>
      <c r="R8">
        <v>7</v>
      </c>
      <c r="S8">
        <v>7302.44</v>
      </c>
    </row>
    <row r="9" spans="1:23" x14ac:dyDescent="0.25">
      <c r="A9" s="23" t="s">
        <v>25</v>
      </c>
      <c r="B9" s="26">
        <f>1051+1402+7008+2803+808+1078+808+1078</f>
        <v>16036</v>
      </c>
      <c r="C9" s="4" t="s">
        <v>238</v>
      </c>
      <c r="D9" s="68"/>
      <c r="E9" s="24"/>
      <c r="F9" s="4"/>
      <c r="G9" s="27"/>
      <c r="H9" s="24"/>
      <c r="I9" s="4"/>
      <c r="J9" s="24"/>
      <c r="K9" s="20"/>
      <c r="L9" s="20"/>
      <c r="M9" s="13"/>
      <c r="N9" s="4"/>
      <c r="P9" s="34"/>
      <c r="R9">
        <v>1</v>
      </c>
      <c r="S9">
        <v>521.6</v>
      </c>
    </row>
    <row r="10" spans="1:23" x14ac:dyDescent="0.25">
      <c r="A10" s="23" t="s">
        <v>26</v>
      </c>
      <c r="B10" s="26">
        <f>1078+3574+1078+1078</f>
        <v>6808</v>
      </c>
      <c r="C10" s="4" t="s">
        <v>238</v>
      </c>
      <c r="D10" s="68"/>
      <c r="E10" s="24"/>
      <c r="F10" s="4"/>
      <c r="G10" s="27"/>
      <c r="H10" s="24"/>
      <c r="I10" s="4"/>
      <c r="J10" s="24"/>
      <c r="K10" s="20"/>
      <c r="L10" s="20"/>
      <c r="M10" s="13"/>
      <c r="N10" s="4"/>
      <c r="P10" s="34"/>
      <c r="R10">
        <v>3</v>
      </c>
      <c r="S10">
        <v>3423.02</v>
      </c>
    </row>
    <row r="11" spans="1:23" x14ac:dyDescent="0.25">
      <c r="A11" s="23" t="s">
        <v>27</v>
      </c>
      <c r="B11" s="26">
        <f>1078+3574+1078+1078</f>
        <v>6808</v>
      </c>
      <c r="C11" s="4" t="s">
        <v>238</v>
      </c>
      <c r="D11" s="68"/>
      <c r="E11" s="24"/>
      <c r="F11" s="4"/>
      <c r="G11" s="27"/>
      <c r="H11" s="24"/>
      <c r="I11" s="4"/>
      <c r="J11" s="24"/>
      <c r="K11" s="20"/>
      <c r="L11" s="20"/>
      <c r="M11" s="13"/>
      <c r="N11" s="4"/>
      <c r="P11" s="34"/>
      <c r="R11">
        <v>3</v>
      </c>
      <c r="S11">
        <v>3912.02</v>
      </c>
    </row>
    <row r="12" spans="1:23" x14ac:dyDescent="0.25">
      <c r="A12" s="23" t="s">
        <v>28</v>
      </c>
      <c r="B12" s="26">
        <f>431+539+431</f>
        <v>1401</v>
      </c>
      <c r="C12" s="4" t="s">
        <v>238</v>
      </c>
      <c r="D12" s="68"/>
      <c r="E12" s="24"/>
      <c r="F12" s="4"/>
      <c r="G12" s="27"/>
      <c r="H12" s="24"/>
      <c r="I12" s="4"/>
      <c r="J12" s="24"/>
      <c r="K12" s="20"/>
      <c r="L12" s="20"/>
      <c r="M12" s="13"/>
      <c r="N12" s="4"/>
      <c r="P12" s="34"/>
      <c r="R12">
        <v>8</v>
      </c>
      <c r="S12">
        <v>5007.3900000000003</v>
      </c>
    </row>
    <row r="13" spans="1:23" x14ac:dyDescent="0.25">
      <c r="A13" s="31" t="s">
        <v>29</v>
      </c>
      <c r="B13" s="26">
        <f>1179+2021+2526+1402+1179</f>
        <v>8307</v>
      </c>
      <c r="C13" s="4" t="s">
        <v>238</v>
      </c>
      <c r="D13" s="68"/>
      <c r="E13" s="24"/>
      <c r="F13" s="4"/>
      <c r="G13" s="27"/>
      <c r="H13" s="24"/>
      <c r="I13" s="4"/>
      <c r="J13" s="24"/>
      <c r="K13" s="20"/>
      <c r="L13" s="20"/>
      <c r="M13" s="13"/>
      <c r="N13" s="4"/>
      <c r="P13" s="34"/>
      <c r="R13">
        <v>4</v>
      </c>
      <c r="S13">
        <v>4172.83</v>
      </c>
    </row>
    <row r="14" spans="1:23" x14ac:dyDescent="0.25">
      <c r="A14" s="23" t="s">
        <v>30</v>
      </c>
      <c r="B14" s="26">
        <f>1347+3081+1347+1347</f>
        <v>7122</v>
      </c>
      <c r="C14" s="4" t="s">
        <v>238</v>
      </c>
      <c r="D14" s="68"/>
      <c r="E14" s="24"/>
      <c r="F14" s="4"/>
      <c r="G14" s="27"/>
      <c r="H14" s="26"/>
      <c r="I14" s="4"/>
      <c r="J14" s="24"/>
      <c r="K14" s="20"/>
      <c r="L14" s="20"/>
      <c r="M14" s="13"/>
      <c r="N14" s="4"/>
      <c r="P14" s="34"/>
      <c r="R14">
        <v>1</v>
      </c>
      <c r="S14">
        <v>2470.42</v>
      </c>
    </row>
    <row r="15" spans="1:23" x14ac:dyDescent="0.25">
      <c r="A15" s="23" t="s">
        <v>35</v>
      </c>
      <c r="B15" s="26">
        <f>1051+1402+11214+1051+1402+808+1078</f>
        <v>18006</v>
      </c>
      <c r="C15" s="4" t="s">
        <v>238</v>
      </c>
      <c r="D15" s="68"/>
      <c r="E15" s="24"/>
      <c r="F15" s="4"/>
      <c r="G15" s="27"/>
      <c r="H15" s="24"/>
      <c r="I15" s="4"/>
      <c r="J15" s="24"/>
      <c r="K15" s="20"/>
      <c r="L15" s="20"/>
      <c r="M15" s="13"/>
      <c r="N15" s="4"/>
      <c r="P15" s="34"/>
      <c r="R15">
        <v>1</v>
      </c>
      <c r="S15">
        <v>1544.01</v>
      </c>
    </row>
    <row r="16" spans="1:23" x14ac:dyDescent="0.25">
      <c r="A16" s="23" t="s">
        <v>36</v>
      </c>
      <c r="B16" s="26">
        <f>1013+4375+1013+663</f>
        <v>7064</v>
      </c>
      <c r="C16" s="4" t="s">
        <v>238</v>
      </c>
      <c r="D16" s="68"/>
      <c r="E16" s="24"/>
      <c r="F16" s="4"/>
      <c r="G16" s="27"/>
      <c r="H16" s="24"/>
      <c r="I16" s="4"/>
      <c r="J16" s="24"/>
      <c r="K16" s="20"/>
      <c r="L16" s="20"/>
      <c r="M16" s="13"/>
      <c r="N16" s="4"/>
      <c r="P16" s="34"/>
      <c r="R16">
        <v>1</v>
      </c>
      <c r="S16">
        <v>1979.04</v>
      </c>
    </row>
    <row r="17" spans="1:19" x14ac:dyDescent="0.25">
      <c r="A17" s="23" t="s">
        <v>37</v>
      </c>
      <c r="B17" s="26">
        <f>1668+11064+2170+1078</f>
        <v>15980</v>
      </c>
      <c r="C17" s="4" t="s">
        <v>238</v>
      </c>
      <c r="D17" s="68"/>
      <c r="E17" s="24"/>
      <c r="F17" s="4"/>
      <c r="G17" s="27"/>
      <c r="H17" s="24"/>
      <c r="I17" s="4"/>
      <c r="J17" s="24"/>
      <c r="K17" s="20"/>
      <c r="L17" s="20"/>
      <c r="M17" s="13"/>
      <c r="N17" s="4"/>
      <c r="P17" s="34"/>
      <c r="R17">
        <v>1</v>
      </c>
      <c r="S17">
        <v>1236.9000000000001</v>
      </c>
    </row>
    <row r="18" spans="1:19" x14ac:dyDescent="0.25">
      <c r="A18" s="23" t="s">
        <v>38</v>
      </c>
      <c r="B18" s="26">
        <f>647+2803+647+647</f>
        <v>4744</v>
      </c>
      <c r="C18" s="4" t="s">
        <v>238</v>
      </c>
      <c r="D18" s="68"/>
      <c r="E18" s="24"/>
      <c r="F18" s="4"/>
      <c r="G18" s="27"/>
      <c r="H18" s="24"/>
      <c r="I18" s="4"/>
      <c r="J18" s="24"/>
      <c r="K18" s="20"/>
      <c r="L18" s="20"/>
      <c r="M18" s="13"/>
      <c r="N18" s="4"/>
      <c r="P18" s="34"/>
      <c r="R18">
        <v>4</v>
      </c>
      <c r="S18">
        <v>3706.13</v>
      </c>
    </row>
    <row r="19" spans="1:19" x14ac:dyDescent="0.25">
      <c r="A19" s="23" t="s">
        <v>39</v>
      </c>
      <c r="B19" s="26">
        <f>647+2803+647+647</f>
        <v>4744</v>
      </c>
      <c r="C19" s="4" t="s">
        <v>238</v>
      </c>
      <c r="D19" s="68"/>
      <c r="E19" s="24"/>
      <c r="F19" s="4"/>
      <c r="G19" s="27"/>
      <c r="H19" s="24"/>
      <c r="I19" s="4"/>
      <c r="J19" s="24"/>
      <c r="K19" s="20"/>
      <c r="L19" s="20"/>
      <c r="M19" s="13"/>
      <c r="N19" s="4"/>
      <c r="P19" s="34"/>
      <c r="R19">
        <v>1</v>
      </c>
      <c r="S19">
        <v>1544.22</v>
      </c>
    </row>
    <row r="20" spans="1:19" x14ac:dyDescent="0.25">
      <c r="A20" s="23" t="s">
        <v>40</v>
      </c>
      <c r="B20" s="26">
        <f>2712+13344</f>
        <v>16056</v>
      </c>
      <c r="C20" s="4" t="s">
        <v>449</v>
      </c>
      <c r="D20" s="68"/>
      <c r="E20" s="24"/>
      <c r="F20" s="4"/>
      <c r="G20" s="27"/>
      <c r="H20" s="24"/>
      <c r="I20" s="4"/>
      <c r="J20" s="24"/>
      <c r="K20" s="20"/>
      <c r="L20" s="20"/>
      <c r="M20" s="13"/>
      <c r="N20" s="4"/>
      <c r="P20" s="34"/>
      <c r="R20">
        <v>1</v>
      </c>
      <c r="S20">
        <v>2008.8</v>
      </c>
    </row>
    <row r="21" spans="1:19" x14ac:dyDescent="0.25">
      <c r="A21" s="23" t="s">
        <v>60</v>
      </c>
      <c r="B21" s="26">
        <f>1001+4339+1251+647</f>
        <v>7238</v>
      </c>
      <c r="C21" s="4" t="s">
        <v>238</v>
      </c>
      <c r="D21" s="68"/>
      <c r="E21" s="24"/>
      <c r="F21" s="4"/>
      <c r="G21" s="27"/>
      <c r="H21" s="24"/>
      <c r="I21" s="4"/>
      <c r="J21" s="27"/>
      <c r="K21" s="20"/>
      <c r="L21" s="20"/>
      <c r="M21" s="13"/>
      <c r="N21" s="4"/>
      <c r="P21" s="34"/>
      <c r="R21">
        <v>1</v>
      </c>
      <c r="S21">
        <v>2511</v>
      </c>
    </row>
    <row r="22" spans="1:19" ht="38.25" x14ac:dyDescent="0.25">
      <c r="A22" s="23" t="s">
        <v>41</v>
      </c>
      <c r="B22" s="26">
        <f>8821+11198+8821+4311</f>
        <v>33151</v>
      </c>
      <c r="C22" s="4" t="s">
        <v>238</v>
      </c>
      <c r="D22" s="68"/>
      <c r="E22" s="24"/>
      <c r="F22" s="4"/>
      <c r="G22" s="27"/>
      <c r="H22" s="24"/>
      <c r="I22" s="4"/>
      <c r="J22" s="24"/>
      <c r="K22" s="20"/>
      <c r="L22" s="20">
        <f t="shared" ref="L22:L25" si="4">D22+G22+J22</f>
        <v>0</v>
      </c>
      <c r="M22" s="13" t="e">
        <f t="shared" ref="M22:M26" si="5">100-L22*100/K22</f>
        <v>#DIV/0!</v>
      </c>
      <c r="N22" s="16" t="s">
        <v>450</v>
      </c>
      <c r="P22" s="34"/>
      <c r="R22">
        <v>4</v>
      </c>
      <c r="S22">
        <v>9900</v>
      </c>
    </row>
    <row r="23" spans="1:19" x14ac:dyDescent="0.25">
      <c r="A23" s="23" t="s">
        <v>42</v>
      </c>
      <c r="B23" s="26">
        <f>2583+1614+11695+9356+2044+1278</f>
        <v>28570</v>
      </c>
      <c r="C23" s="4" t="s">
        <v>238</v>
      </c>
      <c r="D23" s="24"/>
      <c r="E23" s="26"/>
      <c r="F23" s="4"/>
      <c r="G23" s="27"/>
      <c r="H23" s="24"/>
      <c r="I23" s="4"/>
      <c r="J23" s="24"/>
      <c r="K23" s="20"/>
      <c r="L23" s="20">
        <f>D23+G23+J23</f>
        <v>0</v>
      </c>
      <c r="M23" s="13" t="e">
        <f t="shared" si="5"/>
        <v>#DIV/0!</v>
      </c>
      <c r="N23" s="4"/>
      <c r="P23" s="34"/>
      <c r="R23">
        <v>4</v>
      </c>
      <c r="S23">
        <v>8035.2</v>
      </c>
    </row>
    <row r="24" spans="1:19" x14ac:dyDescent="0.25">
      <c r="A24" s="23"/>
      <c r="B24" s="20">
        <f>SUM(B9:B23)</f>
        <v>182035</v>
      </c>
      <c r="C24" s="70" t="s">
        <v>452</v>
      </c>
      <c r="D24" s="21">
        <f>(67800.5+104017.89)</f>
        <v>171818.39</v>
      </c>
      <c r="E24" s="26"/>
      <c r="F24" s="4"/>
      <c r="G24" s="27"/>
      <c r="H24" s="24"/>
      <c r="I24" s="4"/>
      <c r="J24" s="24"/>
      <c r="K24" s="20">
        <f>B24+E24+H24</f>
        <v>182035</v>
      </c>
      <c r="L24" s="20">
        <f t="shared" ref="L24" si="6">D24+G24+J24</f>
        <v>171818.39</v>
      </c>
      <c r="M24" s="13">
        <f t="shared" ref="M24" si="7">100-L24*100/K24</f>
        <v>5.6124426621254173</v>
      </c>
      <c r="N24" s="4"/>
      <c r="P24" s="34"/>
    </row>
    <row r="25" spans="1:19" x14ac:dyDescent="0.25">
      <c r="A25" s="23" t="s">
        <v>43</v>
      </c>
      <c r="B25" s="47"/>
      <c r="C25" s="4"/>
      <c r="D25" s="24"/>
      <c r="E25" s="24"/>
      <c r="F25" s="4"/>
      <c r="G25" s="27"/>
      <c r="H25" s="24"/>
      <c r="I25" s="4"/>
      <c r="J25" s="24"/>
      <c r="K25" s="20">
        <f t="shared" ref="K25" si="8">B25+E25+H25</f>
        <v>0</v>
      </c>
      <c r="L25" s="20">
        <f t="shared" si="4"/>
        <v>0</v>
      </c>
      <c r="M25" s="13" t="e">
        <f t="shared" si="5"/>
        <v>#DIV/0!</v>
      </c>
      <c r="N25" s="4"/>
      <c r="P25" s="34"/>
      <c r="S25">
        <f>SUM(S4:S23)</f>
        <v>71876.400000000009</v>
      </c>
    </row>
    <row r="26" spans="1:19" x14ac:dyDescent="0.25">
      <c r="A26" s="23" t="s">
        <v>44</v>
      </c>
      <c r="B26" s="26">
        <v>885</v>
      </c>
      <c r="C26" s="4" t="s">
        <v>238</v>
      </c>
      <c r="D26" s="24">
        <f>1876.54/2</f>
        <v>938.27</v>
      </c>
      <c r="E26" s="24">
        <f>748+748</f>
        <v>1496</v>
      </c>
      <c r="F26" s="4" t="s">
        <v>212</v>
      </c>
      <c r="G26" s="27">
        <f>612.69+612.69</f>
        <v>1225.3800000000001</v>
      </c>
      <c r="H26" s="24"/>
      <c r="I26" s="4"/>
      <c r="J26" s="24"/>
      <c r="K26" s="20">
        <f>B26+E26+H26</f>
        <v>2381</v>
      </c>
      <c r="L26" s="20">
        <f>D26+G26+J26</f>
        <v>2163.65</v>
      </c>
      <c r="M26" s="13">
        <f t="shared" si="5"/>
        <v>9.12851742965141</v>
      </c>
      <c r="N26" s="4"/>
      <c r="P26" s="34"/>
    </row>
    <row r="27" spans="1:19" x14ac:dyDescent="0.25">
      <c r="A27" s="23" t="s">
        <v>45</v>
      </c>
      <c r="B27" s="26">
        <v>885</v>
      </c>
      <c r="C27" s="4" t="s">
        <v>238</v>
      </c>
      <c r="D27" s="24">
        <f>1876.54/2</f>
        <v>938.27</v>
      </c>
      <c r="E27" s="24">
        <f>748+748</f>
        <v>1496</v>
      </c>
      <c r="F27" s="4" t="s">
        <v>212</v>
      </c>
      <c r="G27" s="27">
        <f>612.69+612.69</f>
        <v>1225.3800000000001</v>
      </c>
      <c r="H27" s="24"/>
      <c r="I27" s="4"/>
      <c r="J27" s="24"/>
      <c r="K27" s="20">
        <f t="shared" ref="K27" si="9">B27+E27+H27</f>
        <v>2381</v>
      </c>
      <c r="L27" s="20">
        <f t="shared" ref="L27:L28" si="10">D27+G27+J27</f>
        <v>2163.65</v>
      </c>
      <c r="M27" s="13">
        <f t="shared" ref="M27:M67" si="11">100-L27*100/K27</f>
        <v>9.12851742965141</v>
      </c>
      <c r="N27" s="4"/>
      <c r="P27" s="34"/>
    </row>
    <row r="28" spans="1:19" x14ac:dyDescent="0.25">
      <c r="A28" s="23" t="s">
        <v>46</v>
      </c>
      <c r="B28" s="26">
        <f>2839+12854+2193</f>
        <v>17886</v>
      </c>
      <c r="C28" s="4" t="s">
        <v>238</v>
      </c>
      <c r="D28" s="68"/>
      <c r="E28" s="24"/>
      <c r="F28" s="4"/>
      <c r="G28" s="27"/>
      <c r="H28" s="24"/>
      <c r="I28" s="4"/>
      <c r="J28" s="24"/>
      <c r="K28" s="20"/>
      <c r="L28" s="20">
        <f t="shared" si="10"/>
        <v>0</v>
      </c>
      <c r="M28" s="13" t="e">
        <f t="shared" si="11"/>
        <v>#DIV/0!</v>
      </c>
      <c r="N28" s="4"/>
      <c r="P28" s="34"/>
    </row>
    <row r="29" spans="1:19" x14ac:dyDescent="0.25">
      <c r="A29" s="23" t="s">
        <v>47</v>
      </c>
      <c r="B29" s="26">
        <f>2839+12854+2193</f>
        <v>17886</v>
      </c>
      <c r="C29" s="4" t="s">
        <v>238</v>
      </c>
      <c r="D29" s="68"/>
      <c r="E29" s="24"/>
      <c r="F29" s="4"/>
      <c r="G29" s="27"/>
      <c r="H29" s="24"/>
      <c r="I29" s="4"/>
      <c r="J29" s="24"/>
      <c r="K29" s="20"/>
      <c r="L29" s="20">
        <f t="shared" ref="L29" si="12">D29+G29+J29</f>
        <v>0</v>
      </c>
      <c r="M29" s="13" t="e">
        <f t="shared" si="11"/>
        <v>#DIV/0!</v>
      </c>
      <c r="N29" s="4"/>
      <c r="P29" s="34"/>
    </row>
    <row r="30" spans="1:19" x14ac:dyDescent="0.25">
      <c r="A30" s="23" t="s">
        <v>48</v>
      </c>
      <c r="B30" s="26">
        <f>971+1295+4472+4650+731+975</f>
        <v>13094</v>
      </c>
      <c r="C30" s="4" t="s">
        <v>238</v>
      </c>
      <c r="D30" s="68"/>
      <c r="E30" s="24"/>
      <c r="F30" s="4"/>
      <c r="G30" s="27"/>
      <c r="H30" s="24"/>
      <c r="I30" s="4"/>
      <c r="J30" s="24"/>
      <c r="K30" s="20"/>
      <c r="L30" s="20">
        <f t="shared" ref="L30:L40" si="13">D30+G30+J30</f>
        <v>0</v>
      </c>
      <c r="M30" s="13" t="e">
        <f t="shared" si="11"/>
        <v>#DIV/0!</v>
      </c>
      <c r="N30" s="4"/>
      <c r="P30" s="34"/>
    </row>
    <row r="31" spans="1:19" x14ac:dyDescent="0.25">
      <c r="A31" s="23" t="s">
        <v>49</v>
      </c>
      <c r="B31" s="26">
        <f>971+1295+4472+4650+731+975</f>
        <v>13094</v>
      </c>
      <c r="C31" s="4" t="s">
        <v>238</v>
      </c>
      <c r="D31" s="68"/>
      <c r="E31" s="24"/>
      <c r="F31" s="4"/>
      <c r="G31" s="27"/>
      <c r="H31" s="24"/>
      <c r="I31" s="4"/>
      <c r="J31" s="24"/>
      <c r="K31" s="20"/>
      <c r="L31" s="20">
        <f t="shared" si="13"/>
        <v>0</v>
      </c>
      <c r="M31" s="13" t="e">
        <f t="shared" si="11"/>
        <v>#DIV/0!</v>
      </c>
      <c r="N31" s="4"/>
      <c r="P31" s="34"/>
    </row>
    <row r="32" spans="1:19" x14ac:dyDescent="0.25">
      <c r="A32" s="23" t="s">
        <v>50</v>
      </c>
      <c r="B32" s="26">
        <f>971+1295+4472+4650+731+975</f>
        <v>13094</v>
      </c>
      <c r="C32" s="4" t="s">
        <v>238</v>
      </c>
      <c r="D32" s="68"/>
      <c r="E32" s="24"/>
      <c r="F32" s="4"/>
      <c r="G32" s="27"/>
      <c r="H32" s="24"/>
      <c r="I32" s="4"/>
      <c r="J32" s="24"/>
      <c r="K32" s="20"/>
      <c r="L32" s="20">
        <f t="shared" si="13"/>
        <v>0</v>
      </c>
      <c r="M32" s="13" t="e">
        <f t="shared" si="11"/>
        <v>#DIV/0!</v>
      </c>
      <c r="N32" s="4"/>
      <c r="P32" s="34"/>
    </row>
    <row r="33" spans="1:16" x14ac:dyDescent="0.25">
      <c r="A33" s="23" t="s">
        <v>51</v>
      </c>
      <c r="B33" s="26">
        <f>1618+7500+1218</f>
        <v>10336</v>
      </c>
      <c r="C33" s="4" t="s">
        <v>238</v>
      </c>
      <c r="D33" s="68"/>
      <c r="E33" s="24"/>
      <c r="F33" s="4"/>
      <c r="G33" s="27"/>
      <c r="H33" s="24"/>
      <c r="I33" s="4"/>
      <c r="J33" s="24"/>
      <c r="K33" s="20"/>
      <c r="L33" s="20">
        <f t="shared" si="13"/>
        <v>0</v>
      </c>
      <c r="M33" s="13" t="e">
        <f t="shared" si="11"/>
        <v>#DIV/0!</v>
      </c>
      <c r="N33" s="4"/>
      <c r="P33" s="34"/>
    </row>
    <row r="34" spans="1:16" x14ac:dyDescent="0.25">
      <c r="A34" s="23" t="s">
        <v>52</v>
      </c>
      <c r="B34" s="26">
        <f>1420+1893+13950+2790+1097+1462</f>
        <v>22612</v>
      </c>
      <c r="C34" s="4" t="s">
        <v>238</v>
      </c>
      <c r="D34" s="68"/>
      <c r="E34" s="24"/>
      <c r="F34" s="4"/>
      <c r="G34" s="27"/>
      <c r="H34" s="24"/>
      <c r="I34" s="4"/>
      <c r="J34" s="24"/>
      <c r="K34" s="20"/>
      <c r="L34" s="20">
        <f t="shared" si="13"/>
        <v>0</v>
      </c>
      <c r="M34" s="13" t="e">
        <f t="shared" si="11"/>
        <v>#DIV/0!</v>
      </c>
      <c r="N34" s="4"/>
      <c r="P34" s="34"/>
    </row>
    <row r="35" spans="1:16" x14ac:dyDescent="0.25">
      <c r="A35" s="23" t="s">
        <v>53</v>
      </c>
      <c r="B35" s="26">
        <f>1426+1902+13885+2777+1091+1455</f>
        <v>22536</v>
      </c>
      <c r="C35" s="4" t="s">
        <v>238</v>
      </c>
      <c r="D35" s="68"/>
      <c r="E35" s="24"/>
      <c r="F35" s="4"/>
      <c r="G35" s="27"/>
      <c r="H35" s="24"/>
      <c r="I35" s="4"/>
      <c r="J35" s="24"/>
      <c r="K35" s="20"/>
      <c r="L35" s="20">
        <f t="shared" si="13"/>
        <v>0</v>
      </c>
      <c r="M35" s="13" t="e">
        <f t="shared" si="11"/>
        <v>#DIV/0!</v>
      </c>
      <c r="N35" s="4"/>
      <c r="P35" s="34"/>
    </row>
    <row r="36" spans="1:16" x14ac:dyDescent="0.25">
      <c r="A36" s="23" t="s">
        <v>54</v>
      </c>
      <c r="B36" s="26">
        <f>1618+7500+1218</f>
        <v>10336</v>
      </c>
      <c r="C36" s="4" t="s">
        <v>238</v>
      </c>
      <c r="D36" s="68"/>
      <c r="E36" s="24"/>
      <c r="F36" s="4"/>
      <c r="G36" s="27"/>
      <c r="H36" s="24"/>
      <c r="I36" s="4"/>
      <c r="J36" s="24"/>
      <c r="K36" s="20"/>
      <c r="L36" s="20">
        <f t="shared" si="13"/>
        <v>0</v>
      </c>
      <c r="M36" s="13" t="e">
        <f t="shared" si="11"/>
        <v>#DIV/0!</v>
      </c>
      <c r="N36" s="4"/>
      <c r="P36" s="34"/>
    </row>
    <row r="37" spans="1:16" x14ac:dyDescent="0.25">
      <c r="A37" s="23" t="s">
        <v>55</v>
      </c>
      <c r="B37" s="26">
        <v>933</v>
      </c>
      <c r="C37" s="4" t="s">
        <v>238</v>
      </c>
      <c r="D37" s="68"/>
      <c r="E37" s="24"/>
      <c r="F37" s="4"/>
      <c r="G37" s="27"/>
      <c r="H37" s="24"/>
      <c r="I37" s="4"/>
      <c r="J37" s="24"/>
      <c r="K37" s="20"/>
      <c r="L37" s="20">
        <f t="shared" si="13"/>
        <v>0</v>
      </c>
      <c r="M37" s="13" t="e">
        <f t="shared" si="11"/>
        <v>#DIV/0!</v>
      </c>
      <c r="N37" s="4"/>
      <c r="P37" s="34"/>
    </row>
    <row r="38" spans="1:16" x14ac:dyDescent="0.25">
      <c r="A38" s="23" t="s">
        <v>56</v>
      </c>
      <c r="B38" s="26">
        <f>2924+1690</f>
        <v>4614</v>
      </c>
      <c r="C38" s="4" t="s">
        <v>238</v>
      </c>
      <c r="D38" s="68"/>
      <c r="E38" s="24"/>
      <c r="F38" s="4"/>
      <c r="G38" s="27"/>
      <c r="H38" s="24"/>
      <c r="I38" s="4"/>
      <c r="J38" s="24"/>
      <c r="K38" s="20"/>
      <c r="L38" s="20">
        <f t="shared" si="13"/>
        <v>0</v>
      </c>
      <c r="M38" s="13" t="e">
        <f t="shared" si="11"/>
        <v>#DIV/0!</v>
      </c>
      <c r="N38" s="42"/>
      <c r="O38" s="42"/>
      <c r="P38" s="34"/>
    </row>
    <row r="39" spans="1:16" x14ac:dyDescent="0.25">
      <c r="A39" s="23" t="s">
        <v>57</v>
      </c>
      <c r="B39" s="26">
        <f>1949+2339</f>
        <v>4288</v>
      </c>
      <c r="C39" s="4" t="s">
        <v>238</v>
      </c>
      <c r="D39" s="68"/>
      <c r="E39" s="24"/>
      <c r="F39" s="4"/>
      <c r="G39" s="27"/>
      <c r="H39" s="24"/>
      <c r="I39" s="4"/>
      <c r="J39" s="24"/>
      <c r="K39" s="20"/>
      <c r="L39" s="20">
        <f t="shared" si="13"/>
        <v>0</v>
      </c>
      <c r="M39" s="13" t="e">
        <f t="shared" si="11"/>
        <v>#DIV/0!</v>
      </c>
      <c r="N39" s="4"/>
      <c r="P39" s="34"/>
    </row>
    <row r="40" spans="1:16" x14ac:dyDescent="0.25">
      <c r="A40" s="23" t="s">
        <v>58</v>
      </c>
      <c r="B40" s="26">
        <f>2852+8731+4366+2183</f>
        <v>18132</v>
      </c>
      <c r="C40" s="4" t="s">
        <v>238</v>
      </c>
      <c r="D40" s="68"/>
      <c r="E40" s="24"/>
      <c r="F40" s="4"/>
      <c r="G40" s="27"/>
      <c r="H40" s="24"/>
      <c r="I40" s="4"/>
      <c r="J40" s="24"/>
      <c r="K40" s="20"/>
      <c r="L40" s="20">
        <f t="shared" si="13"/>
        <v>0</v>
      </c>
      <c r="M40" s="13" t="e">
        <f t="shared" si="11"/>
        <v>#DIV/0!</v>
      </c>
      <c r="N40" s="4"/>
      <c r="P40" s="34"/>
    </row>
    <row r="41" spans="1:16" x14ac:dyDescent="0.25">
      <c r="A41" s="23" t="s">
        <v>59</v>
      </c>
      <c r="B41" s="47"/>
      <c r="C41" s="4"/>
      <c r="D41" s="24"/>
      <c r="E41" s="24"/>
      <c r="F41" s="4"/>
      <c r="G41" s="27"/>
      <c r="H41" s="24"/>
      <c r="I41" s="4"/>
      <c r="J41" s="24"/>
      <c r="K41" s="20">
        <f t="shared" ref="K41" si="14">B41+E41+H41</f>
        <v>0</v>
      </c>
      <c r="L41" s="20">
        <f t="shared" ref="L41:L42" si="15">D41+G41+J41</f>
        <v>0</v>
      </c>
      <c r="M41" s="13" t="e">
        <f t="shared" si="11"/>
        <v>#DIV/0!</v>
      </c>
      <c r="N41" s="4"/>
      <c r="P41" s="34"/>
    </row>
    <row r="42" spans="1:16" x14ac:dyDescent="0.25">
      <c r="A42" s="23" t="s">
        <v>64</v>
      </c>
      <c r="B42" s="26">
        <v>13077</v>
      </c>
      <c r="C42" s="4" t="s">
        <v>238</v>
      </c>
      <c r="D42" s="24">
        <v>11307.014999999999</v>
      </c>
      <c r="E42" s="24">
        <f>10769+10769</f>
        <v>21538</v>
      </c>
      <c r="F42" s="4" t="s">
        <v>146</v>
      </c>
      <c r="G42" s="27">
        <f>9970.61+9971.61</f>
        <v>19942.22</v>
      </c>
      <c r="H42" s="24"/>
      <c r="I42" s="4"/>
      <c r="J42" s="24"/>
      <c r="K42" s="20">
        <f t="shared" ref="K42" si="16">B42+E42+H42</f>
        <v>34615</v>
      </c>
      <c r="L42" s="20">
        <f t="shared" si="15"/>
        <v>31249.235000000001</v>
      </c>
      <c r="M42" s="13">
        <f t="shared" si="11"/>
        <v>9.7234291492127625</v>
      </c>
      <c r="N42" s="4"/>
      <c r="P42" s="34"/>
    </row>
    <row r="43" spans="1:16" x14ac:dyDescent="0.25">
      <c r="A43" s="23" t="s">
        <v>65</v>
      </c>
      <c r="B43" s="26">
        <f>767756+61634</f>
        <v>829390</v>
      </c>
      <c r="C43" s="4" t="s">
        <v>453</v>
      </c>
      <c r="D43" s="24">
        <v>829388</v>
      </c>
      <c r="E43" s="24"/>
      <c r="F43" s="4"/>
      <c r="G43" s="27"/>
      <c r="H43" s="24"/>
      <c r="I43" s="4"/>
      <c r="J43" s="24"/>
      <c r="K43" s="20">
        <f>B43+E43+H43</f>
        <v>829390</v>
      </c>
      <c r="L43" s="20">
        <f>D43+G43+J43</f>
        <v>829388</v>
      </c>
      <c r="M43" s="13">
        <f t="shared" si="11"/>
        <v>2.411410795843949E-4</v>
      </c>
      <c r="N43" s="4"/>
      <c r="P43" s="34"/>
    </row>
    <row r="44" spans="1:16" x14ac:dyDescent="0.25">
      <c r="A44" s="23" t="s">
        <v>70</v>
      </c>
      <c r="B44" s="47"/>
      <c r="C44" s="4"/>
      <c r="D44" s="24"/>
      <c r="E44" s="24"/>
      <c r="F44" s="4"/>
      <c r="G44" s="27"/>
      <c r="H44" s="24"/>
      <c r="I44" s="4"/>
      <c r="J44" s="24"/>
      <c r="K44" s="20">
        <f t="shared" ref="K44:K48" si="17">B44+E44+H44</f>
        <v>0</v>
      </c>
      <c r="L44" s="20">
        <f t="shared" ref="L44:L48" si="18">D44+G44+J44</f>
        <v>0</v>
      </c>
      <c r="M44" s="13" t="e">
        <f t="shared" si="11"/>
        <v>#DIV/0!</v>
      </c>
      <c r="N44" s="16"/>
      <c r="P44" s="34"/>
    </row>
    <row r="45" spans="1:16" x14ac:dyDescent="0.25">
      <c r="A45" s="23" t="s">
        <v>71</v>
      </c>
      <c r="B45" s="26">
        <v>393</v>
      </c>
      <c r="C45" s="4" t="s">
        <v>238</v>
      </c>
      <c r="D45" s="24">
        <v>463.95</v>
      </c>
      <c r="E45" s="24">
        <f>700+700</f>
        <v>1400</v>
      </c>
      <c r="F45" s="4" t="s">
        <v>146</v>
      </c>
      <c r="G45" s="24">
        <v>920</v>
      </c>
      <c r="H45" s="24"/>
      <c r="I45" s="4"/>
      <c r="J45" s="24"/>
      <c r="K45" s="20">
        <f t="shared" si="17"/>
        <v>1793</v>
      </c>
      <c r="L45" s="20">
        <f t="shared" si="18"/>
        <v>1383.95</v>
      </c>
      <c r="M45" s="13">
        <f t="shared" si="11"/>
        <v>22.813720022308985</v>
      </c>
      <c r="N45" s="4"/>
      <c r="P45" s="34"/>
    </row>
    <row r="46" spans="1:16" x14ac:dyDescent="0.25">
      <c r="A46" s="23" t="s">
        <v>73</v>
      </c>
      <c r="B46" s="47"/>
      <c r="C46" s="4"/>
      <c r="D46" s="24"/>
      <c r="E46" s="24"/>
      <c r="F46" s="4"/>
      <c r="G46" s="24"/>
      <c r="H46" s="24"/>
      <c r="I46" s="4"/>
      <c r="J46" s="24"/>
      <c r="K46" s="20">
        <f t="shared" si="17"/>
        <v>0</v>
      </c>
      <c r="L46" s="20">
        <f t="shared" si="18"/>
        <v>0</v>
      </c>
      <c r="M46" s="13" t="e">
        <f t="shared" si="11"/>
        <v>#DIV/0!</v>
      </c>
      <c r="N46" s="4"/>
      <c r="P46" s="34"/>
    </row>
    <row r="47" spans="1:16" x14ac:dyDescent="0.25">
      <c r="A47" s="23" t="s">
        <v>74</v>
      </c>
      <c r="B47" s="26">
        <f>12890+4669+11672+12890</f>
        <v>42121</v>
      </c>
      <c r="C47" s="4" t="s">
        <v>238</v>
      </c>
      <c r="D47" s="24">
        <v>40067.31</v>
      </c>
      <c r="E47" s="24"/>
      <c r="F47" s="4"/>
      <c r="G47" s="27"/>
      <c r="H47" s="26"/>
      <c r="I47" s="4"/>
      <c r="J47" s="24"/>
      <c r="K47" s="20">
        <f t="shared" si="17"/>
        <v>42121</v>
      </c>
      <c r="L47" s="20">
        <f t="shared" si="18"/>
        <v>40067.31</v>
      </c>
      <c r="M47" s="13">
        <f t="shared" si="11"/>
        <v>4.8756914603167019</v>
      </c>
      <c r="N47" s="4"/>
      <c r="P47" s="34"/>
    </row>
    <row r="48" spans="1:16" x14ac:dyDescent="0.25">
      <c r="A48" s="67" t="s">
        <v>75</v>
      </c>
      <c r="B48" s="47"/>
      <c r="C48" s="4"/>
      <c r="D48" s="24"/>
      <c r="E48" s="24"/>
      <c r="F48" s="4"/>
      <c r="G48" s="24"/>
      <c r="H48" s="24"/>
      <c r="I48" s="28"/>
      <c r="J48" s="24"/>
      <c r="K48" s="20">
        <f t="shared" si="17"/>
        <v>0</v>
      </c>
      <c r="L48" s="20">
        <f t="shared" si="18"/>
        <v>0</v>
      </c>
      <c r="M48" s="13" t="e">
        <f t="shared" si="11"/>
        <v>#DIV/0!</v>
      </c>
      <c r="N48" s="16"/>
      <c r="P48" s="34"/>
    </row>
    <row r="49" spans="1:16" x14ac:dyDescent="0.25">
      <c r="A49" s="23" t="s">
        <v>76</v>
      </c>
      <c r="B49" s="47"/>
      <c r="C49" s="4"/>
      <c r="D49" s="24"/>
      <c r="E49" s="24"/>
      <c r="F49" s="4"/>
      <c r="G49" s="24"/>
      <c r="H49" s="24"/>
      <c r="I49" s="4"/>
      <c r="J49" s="24"/>
      <c r="K49" s="20">
        <f>B49+E49+H49</f>
        <v>0</v>
      </c>
      <c r="L49" s="20">
        <f>D49+G49+J49</f>
        <v>0</v>
      </c>
      <c r="M49" s="13" t="e">
        <f t="shared" si="11"/>
        <v>#DIV/0!</v>
      </c>
      <c r="N49" s="4"/>
      <c r="P49" s="34"/>
    </row>
    <row r="50" spans="1:16" x14ac:dyDescent="0.25">
      <c r="A50" s="23" t="s">
        <v>77</v>
      </c>
      <c r="B50" s="47"/>
      <c r="C50" s="4"/>
      <c r="D50" s="24"/>
      <c r="E50" s="24"/>
      <c r="F50" s="4"/>
      <c r="G50" s="24"/>
      <c r="H50" s="24"/>
      <c r="I50" s="4"/>
      <c r="J50" s="24"/>
      <c r="K50" s="20">
        <f t="shared" ref="K50:K54" si="19">B50+E50+H50</f>
        <v>0</v>
      </c>
      <c r="L50" s="20">
        <f t="shared" ref="L50:L54" si="20">D50+G50+J50</f>
        <v>0</v>
      </c>
      <c r="M50" s="13" t="e">
        <f t="shared" si="11"/>
        <v>#DIV/0!</v>
      </c>
      <c r="N50" s="4"/>
      <c r="P50" s="34"/>
    </row>
    <row r="51" spans="1:16" x14ac:dyDescent="0.25">
      <c r="A51" s="23" t="s">
        <v>78</v>
      </c>
      <c r="B51" s="47"/>
      <c r="C51" s="4"/>
      <c r="D51" s="24"/>
      <c r="E51" s="24"/>
      <c r="F51" s="4"/>
      <c r="G51" s="24"/>
      <c r="H51" s="24"/>
      <c r="I51" s="4"/>
      <c r="J51" s="24"/>
      <c r="K51" s="20">
        <f t="shared" si="19"/>
        <v>0</v>
      </c>
      <c r="L51" s="20">
        <f t="shared" si="20"/>
        <v>0</v>
      </c>
      <c r="M51" s="13" t="e">
        <f t="shared" si="11"/>
        <v>#DIV/0!</v>
      </c>
      <c r="N51" s="4"/>
      <c r="P51" s="34"/>
    </row>
    <row r="52" spans="1:16" x14ac:dyDescent="0.25">
      <c r="A52" s="23" t="s">
        <v>225</v>
      </c>
      <c r="B52" s="47"/>
      <c r="C52" s="4"/>
      <c r="D52" s="24"/>
      <c r="E52" s="24"/>
      <c r="F52" s="4"/>
      <c r="G52" s="27"/>
      <c r="H52" s="24"/>
      <c r="I52" s="4"/>
      <c r="J52" s="24"/>
      <c r="K52" s="20">
        <f>B41+E52+H52</f>
        <v>0</v>
      </c>
      <c r="L52" s="20">
        <f t="shared" si="20"/>
        <v>0</v>
      </c>
      <c r="M52" s="13" t="e">
        <f t="shared" si="11"/>
        <v>#DIV/0!</v>
      </c>
      <c r="N52" s="4"/>
      <c r="P52" s="34"/>
    </row>
    <row r="53" spans="1:16" x14ac:dyDescent="0.25">
      <c r="A53" s="23" t="s">
        <v>226</v>
      </c>
      <c r="B53" s="47"/>
      <c r="C53" s="4"/>
      <c r="D53" s="24"/>
      <c r="E53" s="24"/>
      <c r="F53" s="4"/>
      <c r="G53" s="27"/>
      <c r="H53" s="24"/>
      <c r="I53" s="4"/>
      <c r="J53" s="24"/>
      <c r="K53" s="20">
        <f t="shared" si="19"/>
        <v>0</v>
      </c>
      <c r="L53" s="20">
        <f t="shared" si="20"/>
        <v>0</v>
      </c>
      <c r="M53" s="13" t="e">
        <f t="shared" si="11"/>
        <v>#DIV/0!</v>
      </c>
      <c r="N53" s="4"/>
      <c r="P53" s="34"/>
    </row>
    <row r="54" spans="1:16" x14ac:dyDescent="0.25">
      <c r="A54" s="23" t="s">
        <v>227</v>
      </c>
      <c r="B54" s="47"/>
      <c r="C54" s="4"/>
      <c r="D54" s="24"/>
      <c r="E54" s="24"/>
      <c r="F54" s="4"/>
      <c r="G54" s="27"/>
      <c r="H54" s="24"/>
      <c r="I54" s="4"/>
      <c r="J54" s="24"/>
      <c r="K54" s="20">
        <f t="shared" si="19"/>
        <v>0</v>
      </c>
      <c r="L54" s="20">
        <f t="shared" si="20"/>
        <v>0</v>
      </c>
      <c r="M54" s="13" t="e">
        <f t="shared" si="11"/>
        <v>#DIV/0!</v>
      </c>
      <c r="N54" s="4"/>
      <c r="P54" s="34"/>
    </row>
    <row r="55" spans="1:16" x14ac:dyDescent="0.25">
      <c r="A55" s="23" t="s">
        <v>176</v>
      </c>
      <c r="B55" s="26">
        <f>8677</f>
        <v>8677</v>
      </c>
      <c r="C55" s="4" t="s">
        <v>238</v>
      </c>
      <c r="D55" s="24">
        <v>7952.03</v>
      </c>
      <c r="E55" s="24">
        <f>4487+3904</f>
        <v>8391</v>
      </c>
      <c r="F55" s="4" t="s">
        <v>146</v>
      </c>
      <c r="G55" s="24">
        <v>7894.64</v>
      </c>
      <c r="H55" s="24"/>
      <c r="I55" s="4"/>
      <c r="J55" s="24"/>
      <c r="K55" s="20">
        <f>B55+E55+H55</f>
        <v>17068</v>
      </c>
      <c r="L55" s="20">
        <f>D55+G55+J55</f>
        <v>15846.67</v>
      </c>
      <c r="M55" s="13">
        <f t="shared" si="11"/>
        <v>7.1556714319193873</v>
      </c>
      <c r="N55" s="4"/>
      <c r="P55" s="34"/>
    </row>
    <row r="56" spans="1:16" x14ac:dyDescent="0.25">
      <c r="A56" s="23" t="s">
        <v>177</v>
      </c>
      <c r="B56" s="26">
        <f>5775+1925+5134</f>
        <v>12834</v>
      </c>
      <c r="C56" s="4" t="s">
        <v>238</v>
      </c>
      <c r="D56" s="24">
        <v>9619.74</v>
      </c>
      <c r="E56" s="24"/>
      <c r="F56" s="4"/>
      <c r="G56" s="27"/>
      <c r="H56" s="24"/>
      <c r="I56" s="4"/>
      <c r="J56" s="24"/>
      <c r="K56" s="20">
        <f t="shared" ref="K56:K60" si="21">B56+E56+H56</f>
        <v>12834</v>
      </c>
      <c r="L56" s="20">
        <f t="shared" ref="L56:L60" si="22">D56+G56+J56</f>
        <v>9619.74</v>
      </c>
      <c r="M56" s="13">
        <f t="shared" si="11"/>
        <v>25.044880785413739</v>
      </c>
      <c r="N56" s="4"/>
      <c r="P56" s="34"/>
    </row>
    <row r="57" spans="1:16" x14ac:dyDescent="0.25">
      <c r="A57" s="23" t="s">
        <v>86</v>
      </c>
      <c r="B57" s="26">
        <f>14483+9275</f>
        <v>23758</v>
      </c>
      <c r="C57" s="4" t="s">
        <v>238</v>
      </c>
      <c r="D57" s="24">
        <v>24532.13</v>
      </c>
      <c r="E57" s="24">
        <f>18620</f>
        <v>18620</v>
      </c>
      <c r="F57" s="4" t="s">
        <v>146</v>
      </c>
      <c r="G57" s="24">
        <v>19186.62</v>
      </c>
      <c r="H57" s="24"/>
      <c r="I57" s="4"/>
      <c r="J57" s="24"/>
      <c r="K57" s="20">
        <f t="shared" si="21"/>
        <v>42378</v>
      </c>
      <c r="L57" s="20">
        <f t="shared" si="22"/>
        <v>43718.75</v>
      </c>
      <c r="M57" s="13">
        <f t="shared" si="11"/>
        <v>-3.1637878144320126</v>
      </c>
      <c r="N57" s="4"/>
      <c r="P57" s="34"/>
    </row>
    <row r="58" spans="1:16" x14ac:dyDescent="0.25">
      <c r="A58" s="23" t="s">
        <v>87</v>
      </c>
      <c r="B58" s="26"/>
      <c r="C58" s="4" t="s">
        <v>238</v>
      </c>
      <c r="D58" s="24"/>
      <c r="E58" s="24"/>
      <c r="F58" s="4" t="s">
        <v>212</v>
      </c>
      <c r="G58" s="27"/>
      <c r="H58" s="24"/>
      <c r="I58" s="4"/>
      <c r="J58" s="24"/>
      <c r="K58" s="20">
        <f t="shared" si="21"/>
        <v>0</v>
      </c>
      <c r="L58" s="20">
        <f t="shared" si="22"/>
        <v>0</v>
      </c>
      <c r="M58" s="13" t="e">
        <f t="shared" si="11"/>
        <v>#DIV/0!</v>
      </c>
      <c r="N58" s="4"/>
      <c r="P58" s="34"/>
    </row>
    <row r="59" spans="1:16" x14ac:dyDescent="0.25">
      <c r="A59" s="23" t="s">
        <v>88</v>
      </c>
      <c r="B59" s="47"/>
      <c r="C59" s="4"/>
      <c r="D59" s="24"/>
      <c r="E59" s="24"/>
      <c r="F59" s="4"/>
      <c r="G59" s="27"/>
      <c r="H59" s="24"/>
      <c r="I59" s="4"/>
      <c r="J59" s="24"/>
      <c r="K59" s="20">
        <f t="shared" si="21"/>
        <v>0</v>
      </c>
      <c r="L59" s="20">
        <f t="shared" si="22"/>
        <v>0</v>
      </c>
      <c r="M59" s="13" t="e">
        <f t="shared" si="11"/>
        <v>#DIV/0!</v>
      </c>
      <c r="N59" s="4"/>
      <c r="P59" s="34"/>
    </row>
    <row r="60" spans="1:16" x14ac:dyDescent="0.25">
      <c r="A60" s="23" t="s">
        <v>89</v>
      </c>
      <c r="B60" s="47"/>
      <c r="C60" s="4"/>
      <c r="D60" s="24"/>
      <c r="E60" s="24"/>
      <c r="F60" s="4"/>
      <c r="G60" s="27"/>
      <c r="H60" s="24"/>
      <c r="I60" s="4"/>
      <c r="J60" s="24"/>
      <c r="K60" s="20">
        <f t="shared" si="21"/>
        <v>0</v>
      </c>
      <c r="L60" s="20">
        <f t="shared" si="22"/>
        <v>0</v>
      </c>
      <c r="M60" s="13" t="e">
        <f t="shared" si="11"/>
        <v>#DIV/0!</v>
      </c>
      <c r="N60" s="4"/>
      <c r="P60" s="34"/>
    </row>
    <row r="61" spans="1:16" x14ac:dyDescent="0.25">
      <c r="A61" s="23" t="s">
        <v>90</v>
      </c>
      <c r="B61" s="47"/>
      <c r="C61" s="4"/>
      <c r="D61" s="24"/>
      <c r="E61" s="24"/>
      <c r="F61" s="4"/>
      <c r="G61" s="27"/>
      <c r="H61" s="24"/>
      <c r="I61" s="4"/>
      <c r="J61" s="24"/>
      <c r="K61" s="20">
        <f>B61+E61+H61</f>
        <v>0</v>
      </c>
      <c r="L61" s="20">
        <f>D61+G61+J61</f>
        <v>0</v>
      </c>
      <c r="M61" s="13" t="e">
        <f t="shared" si="11"/>
        <v>#DIV/0!</v>
      </c>
      <c r="N61" s="4"/>
      <c r="P61" s="34"/>
    </row>
    <row r="62" spans="1:16" x14ac:dyDescent="0.25">
      <c r="A62" s="23" t="s">
        <v>96</v>
      </c>
      <c r="B62" s="47"/>
      <c r="C62" s="4"/>
      <c r="D62" s="24"/>
      <c r="E62" s="24"/>
      <c r="F62" s="4"/>
      <c r="G62" s="27"/>
      <c r="H62" s="24"/>
      <c r="I62" s="4"/>
      <c r="J62" s="24"/>
      <c r="K62" s="20">
        <f t="shared" ref="K62:K68" si="23">B62+E62+H62</f>
        <v>0</v>
      </c>
      <c r="L62" s="20">
        <f t="shared" ref="L62:L68" si="24">D62+G62+J62</f>
        <v>0</v>
      </c>
      <c r="M62" s="13" t="e">
        <f t="shared" si="11"/>
        <v>#DIV/0!</v>
      </c>
      <c r="N62" s="4"/>
      <c r="P62" s="34"/>
    </row>
    <row r="63" spans="1:16" x14ac:dyDescent="0.25">
      <c r="A63" s="23" t="s">
        <v>97</v>
      </c>
      <c r="B63" s="47"/>
      <c r="C63" s="4"/>
      <c r="D63" s="24"/>
      <c r="E63" s="24"/>
      <c r="F63" s="4"/>
      <c r="G63" s="27"/>
      <c r="H63" s="24"/>
      <c r="I63" s="4"/>
      <c r="J63" s="24"/>
      <c r="K63" s="20">
        <f t="shared" si="23"/>
        <v>0</v>
      </c>
      <c r="L63" s="20">
        <f t="shared" si="24"/>
        <v>0</v>
      </c>
      <c r="M63" s="13" t="e">
        <f t="shared" si="11"/>
        <v>#DIV/0!</v>
      </c>
      <c r="N63" s="4"/>
      <c r="P63" s="34"/>
    </row>
    <row r="64" spans="1:16" x14ac:dyDescent="0.25">
      <c r="A64" s="23" t="s">
        <v>98</v>
      </c>
      <c r="B64" s="47"/>
      <c r="C64" s="4"/>
      <c r="D64" s="24"/>
      <c r="E64" s="24"/>
      <c r="F64" s="4"/>
      <c r="G64" s="27"/>
      <c r="H64" s="24"/>
      <c r="I64" s="28"/>
      <c r="J64" s="24"/>
      <c r="K64" s="20">
        <f t="shared" si="23"/>
        <v>0</v>
      </c>
      <c r="L64" s="20">
        <f t="shared" si="24"/>
        <v>0</v>
      </c>
      <c r="M64" s="13" t="e">
        <f t="shared" si="11"/>
        <v>#DIV/0!</v>
      </c>
      <c r="N64" s="4"/>
      <c r="P64" s="34"/>
    </row>
    <row r="65" spans="1:16" x14ac:dyDescent="0.25">
      <c r="A65" s="23" t="s">
        <v>99</v>
      </c>
      <c r="B65" s="47"/>
      <c r="C65" s="4"/>
      <c r="D65" s="24"/>
      <c r="E65" s="24"/>
      <c r="F65" s="4"/>
      <c r="G65" s="27"/>
      <c r="H65" s="24"/>
      <c r="I65" s="4"/>
      <c r="J65" s="24"/>
      <c r="K65" s="20">
        <f t="shared" si="23"/>
        <v>0</v>
      </c>
      <c r="L65" s="20">
        <f t="shared" si="24"/>
        <v>0</v>
      </c>
      <c r="M65" s="13" t="e">
        <f t="shared" si="11"/>
        <v>#DIV/0!</v>
      </c>
      <c r="N65" s="4"/>
      <c r="P65" s="34"/>
    </row>
    <row r="66" spans="1:16" x14ac:dyDescent="0.25">
      <c r="A66" s="23" t="s">
        <v>100</v>
      </c>
      <c r="B66" s="47"/>
      <c r="C66" s="4"/>
      <c r="D66" s="24"/>
      <c r="E66" s="24"/>
      <c r="F66" s="4"/>
      <c r="G66" s="27"/>
      <c r="H66" s="24"/>
      <c r="I66" s="4"/>
      <c r="J66" s="24"/>
      <c r="K66" s="20">
        <f t="shared" si="23"/>
        <v>0</v>
      </c>
      <c r="L66" s="20">
        <f t="shared" si="24"/>
        <v>0</v>
      </c>
      <c r="M66" s="13" t="e">
        <f t="shared" si="11"/>
        <v>#DIV/0!</v>
      </c>
      <c r="N66" s="4"/>
      <c r="P66" s="34"/>
    </row>
    <row r="67" spans="1:16" x14ac:dyDescent="0.25">
      <c r="A67" s="23" t="s">
        <v>102</v>
      </c>
      <c r="B67" s="47"/>
      <c r="C67" s="4"/>
      <c r="D67" s="24"/>
      <c r="E67" s="24"/>
      <c r="F67" s="4"/>
      <c r="G67" s="27"/>
      <c r="H67" s="24"/>
      <c r="I67" s="4"/>
      <c r="J67" s="24"/>
      <c r="K67" s="20">
        <f t="shared" si="23"/>
        <v>0</v>
      </c>
      <c r="L67" s="20">
        <f t="shared" si="24"/>
        <v>0</v>
      </c>
      <c r="M67" s="13" t="e">
        <f t="shared" si="11"/>
        <v>#DIV/0!</v>
      </c>
      <c r="N67" s="4"/>
      <c r="P67" s="34"/>
    </row>
    <row r="68" spans="1:16" x14ac:dyDescent="0.25">
      <c r="A68" s="23" t="s">
        <v>103</v>
      </c>
      <c r="B68" s="47"/>
      <c r="C68" s="4"/>
      <c r="D68" s="24"/>
      <c r="E68" s="24"/>
      <c r="F68" s="4"/>
      <c r="G68" s="27"/>
      <c r="H68" s="24"/>
      <c r="I68" s="4"/>
      <c r="J68" s="24"/>
      <c r="K68" s="20">
        <f t="shared" si="23"/>
        <v>0</v>
      </c>
      <c r="L68" s="20">
        <f t="shared" si="24"/>
        <v>0</v>
      </c>
      <c r="M68" s="13" t="e">
        <f t="shared" ref="M68:M82" si="25">100-L68*100/K68</f>
        <v>#DIV/0!</v>
      </c>
      <c r="N68" s="4"/>
      <c r="P68" s="34"/>
    </row>
    <row r="69" spans="1:16" x14ac:dyDescent="0.25">
      <c r="A69" s="23" t="s">
        <v>104</v>
      </c>
      <c r="B69" s="47"/>
      <c r="C69" s="4"/>
      <c r="D69" s="24"/>
      <c r="E69" s="24"/>
      <c r="F69" s="4"/>
      <c r="G69" s="27"/>
      <c r="H69" s="24"/>
      <c r="I69" s="4"/>
      <c r="J69" s="24"/>
      <c r="K69" s="20">
        <f>B69+E69+H69</f>
        <v>0</v>
      </c>
      <c r="L69" s="20">
        <f>D69+G69+J69</f>
        <v>0</v>
      </c>
      <c r="M69" s="13" t="e">
        <f t="shared" si="25"/>
        <v>#DIV/0!</v>
      </c>
      <c r="N69" s="4"/>
      <c r="P69" s="34"/>
    </row>
    <row r="70" spans="1:16" x14ac:dyDescent="0.25">
      <c r="A70" s="23" t="s">
        <v>106</v>
      </c>
      <c r="B70" s="47"/>
      <c r="C70" s="4"/>
      <c r="D70" s="24"/>
      <c r="E70" s="24"/>
      <c r="F70" s="4"/>
      <c r="G70" s="27"/>
      <c r="H70" s="24"/>
      <c r="I70" s="4"/>
      <c r="J70" s="24"/>
      <c r="K70" s="20">
        <f t="shared" ref="K70:K74" si="26">B70+E70+H70</f>
        <v>0</v>
      </c>
      <c r="L70" s="20">
        <f t="shared" ref="L70:L74" si="27">D70+G70+J70</f>
        <v>0</v>
      </c>
      <c r="M70" s="13" t="e">
        <f t="shared" si="25"/>
        <v>#DIV/0!</v>
      </c>
      <c r="N70" s="4"/>
      <c r="P70" s="34"/>
    </row>
    <row r="71" spans="1:16" x14ac:dyDescent="0.25">
      <c r="A71" s="23" t="s">
        <v>107</v>
      </c>
      <c r="B71" s="47"/>
      <c r="C71" s="4"/>
      <c r="D71" s="24"/>
      <c r="E71" s="24"/>
      <c r="F71" s="4"/>
      <c r="G71" s="27"/>
      <c r="H71" s="24"/>
      <c r="I71" s="4"/>
      <c r="J71" s="24"/>
      <c r="K71" s="20">
        <f t="shared" si="26"/>
        <v>0</v>
      </c>
      <c r="L71" s="20">
        <f t="shared" si="27"/>
        <v>0</v>
      </c>
      <c r="M71" s="13" t="e">
        <f t="shared" si="25"/>
        <v>#DIV/0!</v>
      </c>
      <c r="N71" s="4"/>
      <c r="P71" s="34"/>
    </row>
    <row r="72" spans="1:16" x14ac:dyDescent="0.25">
      <c r="A72" s="23" t="s">
        <v>108</v>
      </c>
      <c r="B72" s="47"/>
      <c r="C72" s="4"/>
      <c r="D72" s="24"/>
      <c r="E72" s="24"/>
      <c r="F72" s="4"/>
      <c r="G72" s="27"/>
      <c r="H72" s="24"/>
      <c r="I72" s="4"/>
      <c r="J72" s="24"/>
      <c r="K72" s="20">
        <f t="shared" si="26"/>
        <v>0</v>
      </c>
      <c r="L72" s="20">
        <f t="shared" si="27"/>
        <v>0</v>
      </c>
      <c r="M72" s="13" t="e">
        <f t="shared" si="25"/>
        <v>#DIV/0!</v>
      </c>
      <c r="N72" s="41"/>
      <c r="O72" s="40"/>
      <c r="P72" s="34"/>
    </row>
    <row r="73" spans="1:16" x14ac:dyDescent="0.25">
      <c r="A73" s="23" t="s">
        <v>109</v>
      </c>
      <c r="B73" s="47"/>
      <c r="C73" s="4"/>
      <c r="D73" s="24"/>
      <c r="E73" s="24"/>
      <c r="F73" s="4"/>
      <c r="G73" s="27"/>
      <c r="H73" s="24"/>
      <c r="I73" s="4"/>
      <c r="J73" s="24"/>
      <c r="K73" s="20">
        <f t="shared" si="26"/>
        <v>0</v>
      </c>
      <c r="L73" s="20">
        <f t="shared" si="27"/>
        <v>0</v>
      </c>
      <c r="M73" s="13" t="e">
        <f t="shared" si="25"/>
        <v>#DIV/0!</v>
      </c>
      <c r="N73" s="4"/>
      <c r="P73" s="34"/>
    </row>
    <row r="74" spans="1:16" x14ac:dyDescent="0.25">
      <c r="A74" s="23" t="s">
        <v>111</v>
      </c>
      <c r="B74" s="47"/>
      <c r="C74" s="4"/>
      <c r="D74" s="24"/>
      <c r="E74" s="24"/>
      <c r="F74" s="4"/>
      <c r="G74" s="27"/>
      <c r="H74" s="24"/>
      <c r="I74" s="4"/>
      <c r="J74" s="24"/>
      <c r="K74" s="20">
        <f t="shared" si="26"/>
        <v>0</v>
      </c>
      <c r="L74" s="20">
        <f t="shared" si="27"/>
        <v>0</v>
      </c>
      <c r="M74" s="13" t="e">
        <f t="shared" si="25"/>
        <v>#DIV/0!</v>
      </c>
      <c r="N74" s="4"/>
      <c r="P74" s="34"/>
    </row>
    <row r="75" spans="1:16" x14ac:dyDescent="0.25">
      <c r="A75" s="23" t="s">
        <v>117</v>
      </c>
      <c r="B75" s="26">
        <f>1953+1221+4895+26073+2980+1502+938</f>
        <v>39562</v>
      </c>
      <c r="C75" s="4" t="s">
        <v>238</v>
      </c>
      <c r="D75" s="24">
        <f>79934.85/2</f>
        <v>39967.425000000003</v>
      </c>
      <c r="E75" s="24"/>
      <c r="F75" s="4"/>
      <c r="G75" s="27"/>
      <c r="H75" s="24"/>
      <c r="I75" s="4"/>
      <c r="J75" s="24"/>
      <c r="K75" s="20">
        <f>B75+E75+H75</f>
        <v>39562</v>
      </c>
      <c r="L75" s="20">
        <f>D75+G75+J75</f>
        <v>39967.425000000003</v>
      </c>
      <c r="M75" s="13">
        <f t="shared" si="25"/>
        <v>-1.0247838835246057</v>
      </c>
      <c r="N75" s="4"/>
      <c r="P75" s="34"/>
    </row>
    <row r="76" spans="1:16" x14ac:dyDescent="0.25">
      <c r="A76" s="23" t="s">
        <v>118</v>
      </c>
      <c r="B76" s="26">
        <f>1953+1221+4895+26073+2980+1502+938</f>
        <v>39562</v>
      </c>
      <c r="C76" s="4" t="s">
        <v>238</v>
      </c>
      <c r="D76" s="24">
        <f>79934.85/2</f>
        <v>39967.425000000003</v>
      </c>
      <c r="E76" s="26"/>
      <c r="F76" s="4"/>
      <c r="G76" s="27"/>
      <c r="H76" s="24"/>
      <c r="I76" s="4"/>
      <c r="J76" s="24"/>
      <c r="K76" s="20">
        <f t="shared" ref="K76:K80" si="28">B76+E76+H76</f>
        <v>39562</v>
      </c>
      <c r="L76" s="20">
        <f t="shared" ref="L76:L80" si="29">D76+G76+J76</f>
        <v>39967.425000000003</v>
      </c>
      <c r="M76" s="13">
        <f t="shared" si="25"/>
        <v>-1.0247838835246057</v>
      </c>
      <c r="N76" s="4"/>
      <c r="P76" s="34"/>
    </row>
    <row r="77" spans="1:16" ht="15.75" customHeight="1" x14ac:dyDescent="0.25">
      <c r="A77" s="23" t="s">
        <v>119</v>
      </c>
      <c r="B77" s="26">
        <f>3103+3879+15133+6213</f>
        <v>28328</v>
      </c>
      <c r="C77" s="4" t="s">
        <v>238</v>
      </c>
      <c r="D77" s="24">
        <v>30849.35</v>
      </c>
      <c r="E77" s="26">
        <f>11107+17087</f>
        <v>28194</v>
      </c>
      <c r="F77" s="4" t="s">
        <v>212</v>
      </c>
      <c r="G77" s="27">
        <v>28335.439999999999</v>
      </c>
      <c r="H77" s="24"/>
      <c r="I77" s="4"/>
      <c r="J77" s="24"/>
      <c r="K77" s="20">
        <f t="shared" si="28"/>
        <v>56522</v>
      </c>
      <c r="L77" s="20">
        <f t="shared" si="29"/>
        <v>59184.789999999994</v>
      </c>
      <c r="M77" s="13">
        <f t="shared" si="25"/>
        <v>-4.71106825660803</v>
      </c>
      <c r="N77" s="4" t="s">
        <v>454</v>
      </c>
      <c r="P77" s="34"/>
    </row>
    <row r="78" spans="1:16" x14ac:dyDescent="0.25">
      <c r="A78" s="23" t="s">
        <v>120</v>
      </c>
      <c r="B78" s="26">
        <f>662+882+3334+5635+662+882</f>
        <v>12057</v>
      </c>
      <c r="C78" s="4" t="s">
        <v>238</v>
      </c>
      <c r="D78" s="24">
        <v>10499.32</v>
      </c>
      <c r="E78" s="24"/>
      <c r="F78" s="4"/>
      <c r="G78" s="27"/>
      <c r="H78" s="24"/>
      <c r="I78" s="4"/>
      <c r="J78" s="24"/>
      <c r="K78" s="20">
        <f t="shared" si="28"/>
        <v>12057</v>
      </c>
      <c r="L78" s="20">
        <f t="shared" si="29"/>
        <v>10499.32</v>
      </c>
      <c r="M78" s="13">
        <f t="shared" si="25"/>
        <v>12.919299991706069</v>
      </c>
      <c r="N78" s="4"/>
      <c r="P78" s="34"/>
    </row>
    <row r="79" spans="1:16" x14ac:dyDescent="0.25">
      <c r="A79" s="23" t="s">
        <v>121</v>
      </c>
      <c r="B79" s="47"/>
      <c r="C79" s="4"/>
      <c r="D79" s="24"/>
      <c r="E79" s="24"/>
      <c r="F79" s="4"/>
      <c r="G79" s="27"/>
      <c r="H79" s="24"/>
      <c r="I79" s="4"/>
      <c r="J79" s="24"/>
      <c r="K79" s="20">
        <f t="shared" si="28"/>
        <v>0</v>
      </c>
      <c r="L79" s="20">
        <f t="shared" si="29"/>
        <v>0</v>
      </c>
      <c r="M79" s="13" t="e">
        <f t="shared" si="25"/>
        <v>#DIV/0!</v>
      </c>
      <c r="N79" s="4"/>
      <c r="P79" s="34"/>
    </row>
    <row r="80" spans="1:16" x14ac:dyDescent="0.25">
      <c r="A80" s="23" t="s">
        <v>122</v>
      </c>
      <c r="B80" s="47"/>
      <c r="C80" s="4"/>
      <c r="D80" s="24"/>
      <c r="E80" s="24"/>
      <c r="F80" s="4"/>
      <c r="G80" s="27"/>
      <c r="H80" s="24"/>
      <c r="I80" s="4"/>
      <c r="J80" s="24"/>
      <c r="K80" s="20">
        <f t="shared" si="28"/>
        <v>0</v>
      </c>
      <c r="L80" s="20">
        <f t="shared" si="29"/>
        <v>0</v>
      </c>
      <c r="M80" s="13" t="e">
        <f t="shared" si="25"/>
        <v>#DIV/0!</v>
      </c>
      <c r="N80" s="4"/>
      <c r="P80" s="34"/>
    </row>
    <row r="81" spans="1:16" x14ac:dyDescent="0.25">
      <c r="A81" s="23" t="s">
        <v>123</v>
      </c>
      <c r="B81" s="47"/>
      <c r="C81" s="4"/>
      <c r="D81" s="24"/>
      <c r="E81" s="24"/>
      <c r="F81" s="4"/>
      <c r="G81" s="27"/>
      <c r="H81" s="24"/>
      <c r="I81" s="4"/>
      <c r="J81" s="24"/>
      <c r="K81" s="20">
        <f>B81+E81+H81</f>
        <v>0</v>
      </c>
      <c r="L81" s="20">
        <f>D81+G81+J81</f>
        <v>0</v>
      </c>
      <c r="M81" s="13" t="e">
        <f t="shared" si="25"/>
        <v>#DIV/0!</v>
      </c>
      <c r="N81" s="4"/>
      <c r="P81" s="34"/>
    </row>
    <row r="82" spans="1:16" x14ac:dyDescent="0.25">
      <c r="A82" s="23" t="s">
        <v>124</v>
      </c>
      <c r="B82" s="47"/>
      <c r="C82" s="4"/>
      <c r="D82" s="24"/>
      <c r="E82" s="24"/>
      <c r="F82" s="4"/>
      <c r="G82" s="27"/>
      <c r="H82" s="24"/>
      <c r="I82" s="4"/>
      <c r="J82" s="24"/>
      <c r="K82" s="20">
        <f t="shared" ref="K82:K87" si="30">B82+E82+H82</f>
        <v>0</v>
      </c>
      <c r="L82" s="20">
        <f t="shared" ref="L82:L87" si="31">D82+G82+J82</f>
        <v>0</v>
      </c>
      <c r="M82" s="13" t="e">
        <f t="shared" si="25"/>
        <v>#DIV/0!</v>
      </c>
      <c r="N82" s="4"/>
      <c r="P82" s="34"/>
    </row>
    <row r="83" spans="1:16" x14ac:dyDescent="0.25">
      <c r="A83" s="23" t="s">
        <v>125</v>
      </c>
      <c r="B83" s="26">
        <f>337+449+2124+898+421+561</f>
        <v>4790</v>
      </c>
      <c r="C83" s="4" t="s">
        <v>238</v>
      </c>
      <c r="D83" s="24">
        <v>5012.17</v>
      </c>
      <c r="E83" s="24"/>
      <c r="F83" s="4"/>
      <c r="G83" s="27"/>
      <c r="H83" s="24"/>
      <c r="I83" s="4"/>
      <c r="J83" s="24"/>
      <c r="K83" s="20">
        <f t="shared" si="30"/>
        <v>4790</v>
      </c>
      <c r="L83" s="20">
        <f t="shared" si="31"/>
        <v>5012.17</v>
      </c>
      <c r="M83" s="13">
        <f t="shared" ref="M83:M95" si="32">100-L83*100/K83</f>
        <v>-4.6382045929018858</v>
      </c>
      <c r="N83" s="4"/>
      <c r="P83" s="34"/>
    </row>
    <row r="84" spans="1:16" x14ac:dyDescent="0.25">
      <c r="A84" s="23" t="s">
        <v>126</v>
      </c>
      <c r="B84" s="47"/>
      <c r="C84" s="4"/>
      <c r="D84" s="24"/>
      <c r="E84" s="24"/>
      <c r="F84" s="4"/>
      <c r="G84" s="27"/>
      <c r="H84" s="24"/>
      <c r="I84" s="4"/>
      <c r="J84" s="24"/>
      <c r="K84" s="20">
        <f t="shared" si="30"/>
        <v>0</v>
      </c>
      <c r="L84" s="20">
        <f t="shared" si="31"/>
        <v>0</v>
      </c>
      <c r="M84" s="13" t="e">
        <f t="shared" si="32"/>
        <v>#DIV/0!</v>
      </c>
      <c r="N84" s="4"/>
      <c r="P84" s="34"/>
    </row>
    <row r="85" spans="1:16" x14ac:dyDescent="0.25">
      <c r="A85" s="23" t="s">
        <v>127</v>
      </c>
      <c r="B85" s="47"/>
      <c r="C85" s="4"/>
      <c r="D85" s="24"/>
      <c r="E85" s="24"/>
      <c r="F85" s="4"/>
      <c r="G85" s="27"/>
      <c r="H85" s="24"/>
      <c r="I85" s="4"/>
      <c r="J85" s="24"/>
      <c r="K85" s="20">
        <f t="shared" si="30"/>
        <v>0</v>
      </c>
      <c r="L85" s="20">
        <f t="shared" si="31"/>
        <v>0</v>
      </c>
      <c r="M85" s="13" t="e">
        <f t="shared" si="32"/>
        <v>#DIV/0!</v>
      </c>
      <c r="N85" s="4"/>
      <c r="P85" s="34"/>
    </row>
    <row r="86" spans="1:16" x14ac:dyDescent="0.25">
      <c r="A86" s="23" t="s">
        <v>128</v>
      </c>
      <c r="B86" s="26">
        <f>4950+4950</f>
        <v>9900</v>
      </c>
      <c r="C86" s="4" t="s">
        <v>238</v>
      </c>
      <c r="D86" s="24">
        <v>6430</v>
      </c>
      <c r="E86" s="26">
        <v>13687</v>
      </c>
      <c r="F86" s="4" t="s">
        <v>212</v>
      </c>
      <c r="G86" s="27">
        <v>15178.76</v>
      </c>
      <c r="H86" s="24">
        <f>4938+2938+2000</f>
        <v>9876</v>
      </c>
      <c r="I86" s="4" t="s">
        <v>305</v>
      </c>
      <c r="J86" s="24">
        <v>9989</v>
      </c>
      <c r="K86" s="20">
        <f t="shared" si="30"/>
        <v>33463</v>
      </c>
      <c r="L86" s="20">
        <f t="shared" si="31"/>
        <v>31597.760000000002</v>
      </c>
      <c r="M86" s="13">
        <f t="shared" si="32"/>
        <v>5.5740369960852263</v>
      </c>
      <c r="N86" s="4" t="s">
        <v>455</v>
      </c>
      <c r="P86" s="34"/>
    </row>
    <row r="87" spans="1:16" x14ac:dyDescent="0.25">
      <c r="A87" s="23" t="s">
        <v>129</v>
      </c>
      <c r="B87" s="26">
        <f>4574+2114</f>
        <v>6688</v>
      </c>
      <c r="C87" s="4" t="s">
        <v>238</v>
      </c>
      <c r="D87" s="24">
        <v>6159.31</v>
      </c>
      <c r="E87" s="26">
        <v>4628</v>
      </c>
      <c r="F87" s="4" t="s">
        <v>212</v>
      </c>
      <c r="G87" s="27">
        <v>7904.04</v>
      </c>
      <c r="H87" s="24"/>
      <c r="I87" s="4"/>
      <c r="J87" s="24"/>
      <c r="K87" s="20">
        <f t="shared" si="30"/>
        <v>11316</v>
      </c>
      <c r="L87" s="20">
        <f t="shared" si="31"/>
        <v>14063.35</v>
      </c>
      <c r="M87" s="13">
        <f t="shared" si="32"/>
        <v>-24.278455284552848</v>
      </c>
      <c r="N87" s="4" t="s">
        <v>456</v>
      </c>
      <c r="P87" s="34"/>
    </row>
    <row r="88" spans="1:16" x14ac:dyDescent="0.25">
      <c r="A88" s="23" t="s">
        <v>130</v>
      </c>
      <c r="B88" s="26">
        <f>3307+1949+23433+18746+3307+2067</f>
        <v>52809</v>
      </c>
      <c r="C88" s="4" t="s">
        <v>238</v>
      </c>
      <c r="D88" s="24">
        <v>48560.26</v>
      </c>
      <c r="E88" s="24"/>
      <c r="F88" s="4"/>
      <c r="G88" s="27"/>
      <c r="H88" s="24"/>
      <c r="I88" s="4"/>
      <c r="J88" s="24"/>
      <c r="K88" s="20">
        <f>B88+E88+H88</f>
        <v>52809</v>
      </c>
      <c r="L88" s="20">
        <f>D88+G88+J88</f>
        <v>48560.26</v>
      </c>
      <c r="M88" s="13">
        <f t="shared" si="32"/>
        <v>8.0454846711734689</v>
      </c>
      <c r="N88" s="4"/>
      <c r="P88" s="34"/>
    </row>
    <row r="89" spans="1:16" x14ac:dyDescent="0.25">
      <c r="A89" s="23" t="s">
        <v>131</v>
      </c>
      <c r="B89" s="47"/>
      <c r="C89" s="4"/>
      <c r="D89" s="24"/>
      <c r="E89" s="24"/>
      <c r="F89" s="4"/>
      <c r="G89" s="27"/>
      <c r="H89" s="24"/>
      <c r="I89" s="4"/>
      <c r="J89" s="24"/>
      <c r="K89" s="20">
        <f t="shared" ref="K89:K95" si="33">B89+E89+H89</f>
        <v>0</v>
      </c>
      <c r="L89" s="20">
        <f t="shared" ref="L89:L95" si="34">D89+G89+J89</f>
        <v>0</v>
      </c>
      <c r="M89" s="13" t="e">
        <f t="shared" si="32"/>
        <v>#DIV/0!</v>
      </c>
      <c r="N89" s="4"/>
      <c r="P89" s="34"/>
    </row>
    <row r="90" spans="1:16" x14ac:dyDescent="0.25">
      <c r="A90" s="23" t="s">
        <v>132</v>
      </c>
      <c r="B90" s="24">
        <v>2656</v>
      </c>
      <c r="C90" s="4" t="s">
        <v>238</v>
      </c>
      <c r="D90" s="24">
        <v>2011.25</v>
      </c>
      <c r="E90" s="24">
        <f>1603+1603</f>
        <v>3206</v>
      </c>
      <c r="F90" s="4" t="s">
        <v>212</v>
      </c>
      <c r="G90" s="27">
        <v>3078</v>
      </c>
      <c r="H90" s="24"/>
      <c r="I90" s="4"/>
      <c r="J90" s="24"/>
      <c r="K90" s="20">
        <f t="shared" si="33"/>
        <v>5862</v>
      </c>
      <c r="L90" s="20">
        <f t="shared" si="34"/>
        <v>5089.25</v>
      </c>
      <c r="M90" s="13">
        <f>100-L90*100/K90</f>
        <v>13.18236096895258</v>
      </c>
      <c r="N90" s="4"/>
      <c r="P90" s="34"/>
    </row>
    <row r="91" spans="1:16" x14ac:dyDescent="0.25">
      <c r="A91" s="23" t="s">
        <v>133</v>
      </c>
      <c r="B91" s="47"/>
      <c r="C91" s="4"/>
      <c r="D91" s="24"/>
      <c r="E91" s="24"/>
      <c r="F91" s="4"/>
      <c r="G91" s="27"/>
      <c r="H91" s="24"/>
      <c r="I91" s="4"/>
      <c r="J91" s="24"/>
      <c r="K91" s="20">
        <f t="shared" si="33"/>
        <v>0</v>
      </c>
      <c r="L91" s="20">
        <f t="shared" si="34"/>
        <v>0</v>
      </c>
      <c r="M91" s="13" t="e">
        <f t="shared" si="32"/>
        <v>#DIV/0!</v>
      </c>
      <c r="N91" s="4"/>
      <c r="P91" s="34"/>
    </row>
    <row r="92" spans="1:16" x14ac:dyDescent="0.25">
      <c r="A92" s="23" t="s">
        <v>134</v>
      </c>
      <c r="B92" s="24">
        <f>8630+43145+115050+118640+17980+7190+8990</f>
        <v>319625</v>
      </c>
      <c r="C92" s="4" t="s">
        <v>238</v>
      </c>
      <c r="D92" s="24">
        <v>320683.03000000003</v>
      </c>
      <c r="E92" s="24"/>
      <c r="F92" s="4"/>
      <c r="G92" s="27"/>
      <c r="H92" s="24"/>
      <c r="I92" s="4"/>
      <c r="J92" s="24"/>
      <c r="K92" s="20">
        <f t="shared" si="33"/>
        <v>319625</v>
      </c>
      <c r="L92" s="20">
        <f t="shared" si="34"/>
        <v>320683.03000000003</v>
      </c>
      <c r="M92" s="13">
        <f t="shared" si="32"/>
        <v>-0.33102229174815534</v>
      </c>
      <c r="N92" s="4"/>
      <c r="P92" s="34"/>
    </row>
    <row r="93" spans="1:16" x14ac:dyDescent="0.25">
      <c r="A93" s="23" t="s">
        <v>135</v>
      </c>
      <c r="B93" s="47"/>
      <c r="C93" s="4"/>
      <c r="D93" s="24"/>
      <c r="E93" s="24"/>
      <c r="F93" s="4"/>
      <c r="G93" s="27"/>
      <c r="H93" s="24"/>
      <c r="I93" s="4"/>
      <c r="J93" s="24"/>
      <c r="K93" s="20">
        <f t="shared" si="33"/>
        <v>0</v>
      </c>
      <c r="L93" s="20">
        <f t="shared" si="34"/>
        <v>0</v>
      </c>
      <c r="M93" s="13" t="e">
        <f t="shared" si="32"/>
        <v>#DIV/0!</v>
      </c>
      <c r="N93" s="4"/>
      <c r="P93" s="34"/>
    </row>
    <row r="94" spans="1:16" x14ac:dyDescent="0.25">
      <c r="A94" s="23" t="s">
        <v>140</v>
      </c>
      <c r="B94" s="47"/>
      <c r="C94" s="4"/>
      <c r="D94" s="24"/>
      <c r="E94" s="24"/>
      <c r="F94" s="4"/>
      <c r="G94" s="27"/>
      <c r="H94" s="24"/>
      <c r="I94" s="4"/>
      <c r="J94" s="24"/>
      <c r="K94" s="20">
        <f t="shared" si="33"/>
        <v>0</v>
      </c>
      <c r="L94" s="20">
        <f t="shared" si="34"/>
        <v>0</v>
      </c>
      <c r="M94" s="13" t="e">
        <f t="shared" si="32"/>
        <v>#DIV/0!</v>
      </c>
      <c r="N94" s="4"/>
      <c r="P94" s="34"/>
    </row>
    <row r="95" spans="1:16" x14ac:dyDescent="0.25">
      <c r="A95" s="23" t="s">
        <v>141</v>
      </c>
      <c r="B95" s="24">
        <v>11369</v>
      </c>
      <c r="C95" s="4" t="s">
        <v>238</v>
      </c>
      <c r="D95" s="24">
        <f>21789.57/2</f>
        <v>10894.785</v>
      </c>
      <c r="E95" s="24">
        <v>4300</v>
      </c>
      <c r="F95" s="4" t="s">
        <v>212</v>
      </c>
      <c r="G95" s="27">
        <f>6520/2</f>
        <v>3260</v>
      </c>
      <c r="H95" s="24"/>
      <c r="I95" s="4"/>
      <c r="J95" s="24"/>
      <c r="K95" s="20">
        <f t="shared" si="33"/>
        <v>15669</v>
      </c>
      <c r="L95" s="20">
        <f t="shared" si="34"/>
        <v>14154.785</v>
      </c>
      <c r="M95" s="13">
        <f t="shared" si="32"/>
        <v>9.6637628438317762</v>
      </c>
      <c r="N95" s="4"/>
      <c r="P95" s="34"/>
    </row>
    <row r="96" spans="1:16" x14ac:dyDescent="0.25">
      <c r="A96" s="23" t="s">
        <v>142</v>
      </c>
      <c r="B96" s="24">
        <v>11369</v>
      </c>
      <c r="C96" s="4" t="s">
        <v>238</v>
      </c>
      <c r="D96" s="24">
        <f>21789.57/2</f>
        <v>10894.785</v>
      </c>
      <c r="E96" s="24">
        <v>4300</v>
      </c>
      <c r="F96" s="4" t="s">
        <v>212</v>
      </c>
      <c r="G96" s="27">
        <f>6520/2</f>
        <v>3260</v>
      </c>
      <c r="H96" s="24"/>
      <c r="I96" s="4"/>
      <c r="J96" s="24"/>
      <c r="K96" s="20">
        <f t="shared" ref="K96:K132" si="35">B96+E96+H96</f>
        <v>15669</v>
      </c>
      <c r="L96" s="20">
        <f t="shared" ref="L96:L132" si="36">D96+G96+J96</f>
        <v>14154.785</v>
      </c>
      <c r="M96" s="13">
        <f t="shared" ref="M96:M132" si="37">100-L96*100/K96</f>
        <v>9.6637628438317762</v>
      </c>
      <c r="N96" s="4"/>
      <c r="P96" s="34"/>
    </row>
    <row r="97" spans="1:16" x14ac:dyDescent="0.25">
      <c r="A97" s="23" t="s">
        <v>143</v>
      </c>
      <c r="B97" s="47"/>
      <c r="C97" s="4"/>
      <c r="D97" s="24"/>
      <c r="E97" s="24"/>
      <c r="F97" s="4"/>
      <c r="G97" s="27"/>
      <c r="H97" s="24"/>
      <c r="I97" s="4"/>
      <c r="J97" s="24"/>
      <c r="K97" s="20">
        <f>B103+E97+H97</f>
        <v>0</v>
      </c>
      <c r="L97" s="20">
        <f t="shared" si="36"/>
        <v>0</v>
      </c>
      <c r="M97" s="13" t="e">
        <f t="shared" si="37"/>
        <v>#DIV/0!</v>
      </c>
      <c r="N97" s="4"/>
      <c r="P97" s="34"/>
    </row>
    <row r="98" spans="1:16" x14ac:dyDescent="0.25">
      <c r="A98" s="23" t="s">
        <v>149</v>
      </c>
      <c r="C98" s="4"/>
      <c r="D98" s="24"/>
      <c r="E98" s="24"/>
      <c r="F98" s="4"/>
      <c r="G98" s="27"/>
      <c r="H98" s="24"/>
      <c r="I98" s="4"/>
      <c r="J98" s="24"/>
      <c r="K98" s="20">
        <f>B104+E98+H98</f>
        <v>28520</v>
      </c>
      <c r="L98" s="20">
        <f t="shared" ref="L98" si="38">D98+G98+J98</f>
        <v>0</v>
      </c>
      <c r="M98" s="13">
        <f t="shared" si="37"/>
        <v>100</v>
      </c>
      <c r="N98" s="4"/>
      <c r="P98" s="34"/>
    </row>
    <row r="99" spans="1:16" x14ac:dyDescent="0.25">
      <c r="A99" s="23" t="s">
        <v>150</v>
      </c>
      <c r="B99" s="24">
        <v>1395</v>
      </c>
      <c r="C99" s="4" t="s">
        <v>238</v>
      </c>
      <c r="D99" s="24">
        <f>2628.14/2</f>
        <v>1314.07</v>
      </c>
      <c r="E99" s="24">
        <v>1800</v>
      </c>
      <c r="F99" s="4" t="s">
        <v>212</v>
      </c>
      <c r="G99" s="27">
        <f>3216.6/2</f>
        <v>1608.3</v>
      </c>
      <c r="H99" s="24"/>
      <c r="I99" s="4"/>
      <c r="J99" s="24"/>
      <c r="K99" s="20">
        <f t="shared" si="35"/>
        <v>3195</v>
      </c>
      <c r="L99" s="20">
        <f t="shared" si="36"/>
        <v>2922.37</v>
      </c>
      <c r="M99" s="13">
        <f>100-L99*100/K99</f>
        <v>8.533020344287948</v>
      </c>
      <c r="N99" s="4"/>
      <c r="P99" s="34"/>
    </row>
    <row r="100" spans="1:16" x14ac:dyDescent="0.25">
      <c r="A100" s="23" t="s">
        <v>151</v>
      </c>
      <c r="B100" s="24">
        <v>1395</v>
      </c>
      <c r="C100" s="4" t="s">
        <v>238</v>
      </c>
      <c r="D100" s="24">
        <f>2628.14/2</f>
        <v>1314.07</v>
      </c>
      <c r="E100" s="24">
        <v>1800</v>
      </c>
      <c r="F100" s="4" t="s">
        <v>212</v>
      </c>
      <c r="G100" s="27">
        <f>3216.6/2</f>
        <v>1608.3</v>
      </c>
      <c r="H100" s="24"/>
      <c r="I100" s="4"/>
      <c r="J100" s="24"/>
      <c r="K100" s="20">
        <f t="shared" si="35"/>
        <v>3195</v>
      </c>
      <c r="L100" s="20">
        <f t="shared" si="36"/>
        <v>2922.37</v>
      </c>
      <c r="M100" s="13">
        <f t="shared" si="37"/>
        <v>8.533020344287948</v>
      </c>
      <c r="N100" s="4"/>
      <c r="P100" s="34"/>
    </row>
    <row r="101" spans="1:16" x14ac:dyDescent="0.25">
      <c r="A101" s="23" t="s">
        <v>152</v>
      </c>
      <c r="B101" s="24">
        <f>6171+2836</f>
        <v>9007</v>
      </c>
      <c r="C101" s="4" t="s">
        <v>238</v>
      </c>
      <c r="D101" s="24">
        <f>3164+7266.52</f>
        <v>10430.52</v>
      </c>
      <c r="E101" s="24"/>
      <c r="F101" s="4"/>
      <c r="G101" s="27"/>
      <c r="H101" s="24"/>
      <c r="I101" s="4"/>
      <c r="J101" s="24"/>
      <c r="K101" s="20">
        <f t="shared" si="35"/>
        <v>9007</v>
      </c>
      <c r="L101" s="20">
        <f t="shared" si="36"/>
        <v>10430.52</v>
      </c>
      <c r="M101" s="13">
        <f t="shared" si="37"/>
        <v>-15.804596425002771</v>
      </c>
      <c r="N101" s="4"/>
      <c r="P101" s="34"/>
    </row>
    <row r="102" spans="1:16" x14ac:dyDescent="0.25">
      <c r="A102" s="23" t="s">
        <v>153</v>
      </c>
      <c r="B102" s="24">
        <f>4848</f>
        <v>4848</v>
      </c>
      <c r="C102" s="4" t="s">
        <v>238</v>
      </c>
      <c r="D102" s="24">
        <v>5207.2</v>
      </c>
      <c r="E102" s="24"/>
      <c r="F102" s="4"/>
      <c r="G102" s="27"/>
      <c r="H102" s="24"/>
      <c r="I102" s="4"/>
      <c r="J102" s="24"/>
      <c r="K102" s="20">
        <f t="shared" si="35"/>
        <v>4848</v>
      </c>
      <c r="L102" s="20">
        <f t="shared" si="36"/>
        <v>5207.2</v>
      </c>
      <c r="M102" s="13">
        <f t="shared" si="37"/>
        <v>-7.4092409240924155</v>
      </c>
      <c r="N102" s="4"/>
      <c r="P102" s="34"/>
    </row>
    <row r="103" spans="1:16" x14ac:dyDescent="0.25">
      <c r="A103" s="23" t="s">
        <v>154</v>
      </c>
      <c r="B103" s="47"/>
      <c r="C103" s="4"/>
      <c r="D103" s="24"/>
      <c r="E103" s="24"/>
      <c r="F103" s="4"/>
      <c r="G103" s="27"/>
      <c r="H103" s="24"/>
      <c r="I103" s="4"/>
      <c r="J103" s="24"/>
      <c r="K103" s="20">
        <f>B124+E103+H103</f>
        <v>35962</v>
      </c>
      <c r="L103" s="20">
        <f t="shared" ref="L103" si="39">D103+G103+J103</f>
        <v>0</v>
      </c>
      <c r="M103" s="13">
        <f t="shared" si="37"/>
        <v>100</v>
      </c>
      <c r="N103" s="4"/>
      <c r="P103" s="34"/>
    </row>
    <row r="104" spans="1:16" x14ac:dyDescent="0.25">
      <c r="A104" s="23" t="s">
        <v>158</v>
      </c>
      <c r="B104" s="24">
        <f>6338+6338+15844</f>
        <v>28520</v>
      </c>
      <c r="C104" s="4" t="s">
        <v>238</v>
      </c>
      <c r="D104" s="24">
        <v>35769.72</v>
      </c>
      <c r="E104" s="24">
        <f>23582+26334</f>
        <v>49916</v>
      </c>
      <c r="F104" s="4" t="s">
        <v>212</v>
      </c>
      <c r="G104" s="27">
        <f>23921.63+27011.71</f>
        <v>50933.34</v>
      </c>
      <c r="H104" s="24">
        <f>11506+17495</f>
        <v>29001</v>
      </c>
      <c r="I104" s="24" t="s">
        <v>457</v>
      </c>
      <c r="J104" s="24">
        <v>13253</v>
      </c>
      <c r="K104" s="20">
        <f t="shared" ref="K104:K108" si="40">B104+E104+H104</f>
        <v>107437</v>
      </c>
      <c r="L104" s="20">
        <f t="shared" ref="L104:L108" si="41">D104+G104+J104</f>
        <v>99956.06</v>
      </c>
      <c r="M104" s="13">
        <f t="shared" ref="M104:M117" si="42">100-L104*100/K104</f>
        <v>6.9630946508186184</v>
      </c>
      <c r="N104" s="4"/>
      <c r="P104" s="34"/>
    </row>
    <row r="105" spans="1:16" x14ac:dyDescent="0.25">
      <c r="A105" s="23" t="s">
        <v>159</v>
      </c>
      <c r="B105" s="24">
        <f>1675+5359+2094</f>
        <v>9128</v>
      </c>
      <c r="C105" s="4" t="s">
        <v>238</v>
      </c>
      <c r="D105" s="24">
        <f>2033.46+6502.44+5205.04</f>
        <v>13740.939999999999</v>
      </c>
      <c r="E105" s="24">
        <v>7800</v>
      </c>
      <c r="F105" s="4" t="s">
        <v>212</v>
      </c>
      <c r="G105" s="27">
        <v>7533.6</v>
      </c>
      <c r="H105" s="24"/>
      <c r="I105" s="4"/>
      <c r="J105" s="24"/>
      <c r="K105" s="20">
        <f t="shared" si="40"/>
        <v>16928</v>
      </c>
      <c r="L105" s="20">
        <f t="shared" si="41"/>
        <v>21274.54</v>
      </c>
      <c r="M105" s="13">
        <f t="shared" si="42"/>
        <v>-25.676630434782609</v>
      </c>
      <c r="N105" s="4"/>
      <c r="P105" s="34"/>
    </row>
    <row r="106" spans="1:16" x14ac:dyDescent="0.25">
      <c r="A106" s="23" t="s">
        <v>160</v>
      </c>
      <c r="B106" s="24">
        <f>1675+5359+2094</f>
        <v>9128</v>
      </c>
      <c r="C106" s="4" t="s">
        <v>238</v>
      </c>
      <c r="D106" s="24">
        <f t="shared" ref="D106:D108" si="43">2033.46+6502.44+5205.04</f>
        <v>13740.939999999999</v>
      </c>
      <c r="E106" s="24">
        <v>7800</v>
      </c>
      <c r="F106" s="4" t="s">
        <v>212</v>
      </c>
      <c r="G106" s="27">
        <v>7533.6</v>
      </c>
      <c r="H106" s="24"/>
      <c r="I106" s="4"/>
      <c r="J106" s="24"/>
      <c r="K106" s="20">
        <f t="shared" si="40"/>
        <v>16928</v>
      </c>
      <c r="L106" s="20">
        <f t="shared" si="41"/>
        <v>21274.54</v>
      </c>
      <c r="M106" s="13">
        <f t="shared" si="42"/>
        <v>-25.676630434782609</v>
      </c>
      <c r="N106" s="4"/>
      <c r="P106" s="34"/>
    </row>
    <row r="107" spans="1:16" x14ac:dyDescent="0.25">
      <c r="A107" s="23" t="s">
        <v>161</v>
      </c>
      <c r="B107" s="24">
        <f>1675+5359+2094</f>
        <v>9128</v>
      </c>
      <c r="C107" s="4" t="s">
        <v>238</v>
      </c>
      <c r="D107" s="24">
        <f t="shared" si="43"/>
        <v>13740.939999999999</v>
      </c>
      <c r="E107" s="24">
        <v>7800</v>
      </c>
      <c r="F107" s="4" t="s">
        <v>212</v>
      </c>
      <c r="G107" s="27">
        <v>7533.6</v>
      </c>
      <c r="H107" s="24"/>
      <c r="I107" s="4"/>
      <c r="J107" s="24"/>
      <c r="K107" s="20">
        <f t="shared" si="40"/>
        <v>16928</v>
      </c>
      <c r="L107" s="20">
        <f t="shared" si="41"/>
        <v>21274.54</v>
      </c>
      <c r="M107" s="13">
        <f t="shared" si="42"/>
        <v>-25.676630434782609</v>
      </c>
      <c r="N107" s="4"/>
      <c r="P107" s="34"/>
    </row>
    <row r="108" spans="1:16" x14ac:dyDescent="0.25">
      <c r="A108" s="23" t="s">
        <v>162</v>
      </c>
      <c r="B108" s="24">
        <f>1675+5359+2094</f>
        <v>9128</v>
      </c>
      <c r="C108" s="4" t="s">
        <v>238</v>
      </c>
      <c r="D108" s="24">
        <f t="shared" si="43"/>
        <v>13740.939999999999</v>
      </c>
      <c r="E108" s="24">
        <v>7800</v>
      </c>
      <c r="F108" s="4" t="s">
        <v>212</v>
      </c>
      <c r="G108" s="27">
        <v>7533.6</v>
      </c>
      <c r="H108" s="24"/>
      <c r="I108" s="4"/>
      <c r="J108" s="24"/>
      <c r="K108" s="20">
        <f t="shared" si="40"/>
        <v>16928</v>
      </c>
      <c r="L108" s="20">
        <f t="shared" si="41"/>
        <v>21274.54</v>
      </c>
      <c r="M108" s="13">
        <f t="shared" si="42"/>
        <v>-25.676630434782609</v>
      </c>
      <c r="N108" s="4"/>
      <c r="P108" s="34"/>
    </row>
    <row r="109" spans="1:16" x14ac:dyDescent="0.25">
      <c r="A109" s="23" t="s">
        <v>163</v>
      </c>
      <c r="B109" s="24">
        <v>4564</v>
      </c>
      <c r="C109" s="4" t="s">
        <v>238</v>
      </c>
      <c r="D109" s="24">
        <f>2033.46+3253.22+2602.52</f>
        <v>7889.2000000000007</v>
      </c>
      <c r="E109" s="24">
        <v>7800</v>
      </c>
      <c r="F109" s="4" t="s">
        <v>212</v>
      </c>
      <c r="G109" s="27">
        <v>7533.6</v>
      </c>
      <c r="H109" s="24"/>
      <c r="I109" s="4"/>
      <c r="J109" s="24"/>
      <c r="K109" s="20">
        <f t="shared" ref="K109:K117" si="44">B109+E109+H109</f>
        <v>12364</v>
      </c>
      <c r="L109" s="20">
        <f t="shared" ref="L109:L117" si="45">D109+G109+J109</f>
        <v>15422.800000000001</v>
      </c>
      <c r="M109" s="13">
        <f t="shared" si="42"/>
        <v>-24.73956648333872</v>
      </c>
      <c r="N109" s="4"/>
      <c r="P109" s="34"/>
    </row>
    <row r="110" spans="1:16" x14ac:dyDescent="0.25">
      <c r="A110" s="23" t="s">
        <v>164</v>
      </c>
      <c r="B110" s="24">
        <v>4200</v>
      </c>
      <c r="C110" s="4" t="s">
        <v>238</v>
      </c>
      <c r="D110" s="24">
        <v>2350</v>
      </c>
      <c r="E110" s="24">
        <f>847+847</f>
        <v>1694</v>
      </c>
      <c r="F110" s="4" t="s">
        <v>212</v>
      </c>
      <c r="G110" s="27">
        <f>444.7*2</f>
        <v>889.4</v>
      </c>
      <c r="H110" s="24"/>
      <c r="I110" s="4"/>
      <c r="J110" s="24"/>
      <c r="K110" s="20">
        <f t="shared" si="44"/>
        <v>5894</v>
      </c>
      <c r="L110" s="20">
        <f t="shared" si="45"/>
        <v>3239.4</v>
      </c>
      <c r="M110" s="13">
        <f t="shared" si="42"/>
        <v>45.039022734984734</v>
      </c>
      <c r="N110" s="4"/>
      <c r="P110" s="34"/>
    </row>
    <row r="111" spans="1:16" x14ac:dyDescent="0.25">
      <c r="A111" s="23" t="s">
        <v>172</v>
      </c>
      <c r="B111" s="24">
        <v>4200</v>
      </c>
      <c r="C111" s="4" t="s">
        <v>238</v>
      </c>
      <c r="D111" s="24">
        <v>2350</v>
      </c>
      <c r="E111" s="24">
        <f>847+847</f>
        <v>1694</v>
      </c>
      <c r="F111" s="4" t="s">
        <v>212</v>
      </c>
      <c r="G111" s="27">
        <f>444.7*2</f>
        <v>889.4</v>
      </c>
      <c r="H111" s="24"/>
      <c r="I111" s="4"/>
      <c r="J111" s="24"/>
      <c r="K111" s="20">
        <f t="shared" si="44"/>
        <v>5894</v>
      </c>
      <c r="L111" s="20">
        <f t="shared" si="45"/>
        <v>3239.4</v>
      </c>
      <c r="M111" s="13">
        <f t="shared" si="42"/>
        <v>45.039022734984734</v>
      </c>
      <c r="N111" s="4"/>
      <c r="P111" s="34"/>
    </row>
    <row r="112" spans="1:16" x14ac:dyDescent="0.25">
      <c r="A112" s="23" t="s">
        <v>173</v>
      </c>
      <c r="B112" s="24">
        <v>4200</v>
      </c>
      <c r="C112" s="4" t="s">
        <v>238</v>
      </c>
      <c r="D112" s="24">
        <v>2350</v>
      </c>
      <c r="E112" s="24">
        <f>847+847</f>
        <v>1694</v>
      </c>
      <c r="F112" s="4" t="s">
        <v>212</v>
      </c>
      <c r="G112" s="27">
        <f>444.7*2</f>
        <v>889.4</v>
      </c>
      <c r="H112" s="24"/>
      <c r="I112" s="4"/>
      <c r="J112" s="24"/>
      <c r="K112" s="20">
        <f t="shared" si="44"/>
        <v>5894</v>
      </c>
      <c r="L112" s="20">
        <f t="shared" si="45"/>
        <v>3239.4</v>
      </c>
      <c r="M112" s="13">
        <f t="shared" si="42"/>
        <v>45.039022734984734</v>
      </c>
      <c r="N112" s="4"/>
      <c r="P112" s="34"/>
    </row>
    <row r="113" spans="1:16" x14ac:dyDescent="0.25">
      <c r="A113" s="23" t="s">
        <v>174</v>
      </c>
      <c r="B113" s="24">
        <v>1574</v>
      </c>
      <c r="C113" s="4" t="s">
        <v>238</v>
      </c>
      <c r="D113" s="24">
        <v>1579.3</v>
      </c>
      <c r="E113" s="24">
        <f>1168+1168</f>
        <v>2336</v>
      </c>
      <c r="F113" s="4" t="s">
        <v>212</v>
      </c>
      <c r="G113" s="27">
        <v>2212.64</v>
      </c>
      <c r="H113" s="24">
        <f>14470</f>
        <v>14470</v>
      </c>
      <c r="I113" s="24" t="s">
        <v>458</v>
      </c>
      <c r="J113" s="24">
        <v>16429.5</v>
      </c>
      <c r="K113" s="20">
        <f t="shared" si="44"/>
        <v>18380</v>
      </c>
      <c r="L113" s="20">
        <f t="shared" si="45"/>
        <v>20221.439999999999</v>
      </c>
      <c r="M113" s="13">
        <f t="shared" si="42"/>
        <v>-10.018715995647426</v>
      </c>
      <c r="N113" s="4"/>
      <c r="P113" s="34"/>
    </row>
    <row r="114" spans="1:16" x14ac:dyDescent="0.25">
      <c r="A114" s="23" t="s">
        <v>183</v>
      </c>
      <c r="B114" s="24">
        <v>5786</v>
      </c>
      <c r="C114" s="4" t="s">
        <v>238</v>
      </c>
      <c r="D114" s="24">
        <v>5837.13</v>
      </c>
      <c r="E114" s="24">
        <f>1935+1935</f>
        <v>3870</v>
      </c>
      <c r="F114" s="4" t="s">
        <v>212</v>
      </c>
      <c r="G114" s="27">
        <f>1800.7+1800.7</f>
        <v>3601.4</v>
      </c>
      <c r="H114" s="24">
        <f>992+750</f>
        <v>1742</v>
      </c>
      <c r="I114" s="24" t="s">
        <v>236</v>
      </c>
      <c r="J114" s="24">
        <f>1866/2</f>
        <v>933</v>
      </c>
      <c r="K114" s="20">
        <f t="shared" si="44"/>
        <v>11398</v>
      </c>
      <c r="L114" s="20">
        <f t="shared" si="45"/>
        <v>10371.530000000001</v>
      </c>
      <c r="M114" s="13">
        <f t="shared" si="42"/>
        <v>9.0057027548692616</v>
      </c>
      <c r="N114" s="4"/>
      <c r="P114" s="34"/>
    </row>
    <row r="115" spans="1:16" x14ac:dyDescent="0.25">
      <c r="A115" s="23" t="s">
        <v>184</v>
      </c>
      <c r="B115" s="24">
        <v>5786</v>
      </c>
      <c r="C115" s="4" t="s">
        <v>238</v>
      </c>
      <c r="D115" s="24">
        <v>5837.13</v>
      </c>
      <c r="E115" s="24">
        <f>1935+1935</f>
        <v>3870</v>
      </c>
      <c r="F115" s="4" t="s">
        <v>212</v>
      </c>
      <c r="G115" s="27">
        <f>1800.7+1800.7</f>
        <v>3601.4</v>
      </c>
      <c r="H115" s="24">
        <f>992+750</f>
        <v>1742</v>
      </c>
      <c r="I115" s="24" t="s">
        <v>236</v>
      </c>
      <c r="J115" s="24">
        <f>1866/2</f>
        <v>933</v>
      </c>
      <c r="K115" s="20">
        <f t="shared" si="44"/>
        <v>11398</v>
      </c>
      <c r="L115" s="20">
        <f t="shared" si="45"/>
        <v>10371.530000000001</v>
      </c>
      <c r="M115" s="13">
        <f t="shared" si="42"/>
        <v>9.0057027548692616</v>
      </c>
      <c r="N115" s="4"/>
      <c r="P115" s="34"/>
    </row>
    <row r="116" spans="1:16" x14ac:dyDescent="0.25">
      <c r="A116" s="23" t="s">
        <v>185</v>
      </c>
      <c r="B116" s="24">
        <v>6214</v>
      </c>
      <c r="C116" s="4" t="s">
        <v>238</v>
      </c>
      <c r="D116" s="24">
        <v>9456.39</v>
      </c>
      <c r="E116" s="24">
        <f>2749+4161</f>
        <v>6910</v>
      </c>
      <c r="F116" s="4" t="s">
        <v>212</v>
      </c>
      <c r="G116" s="27">
        <v>6922.5</v>
      </c>
      <c r="H116" s="24"/>
      <c r="I116" s="4"/>
      <c r="J116" s="24"/>
      <c r="K116" s="20">
        <f t="shared" si="44"/>
        <v>13124</v>
      </c>
      <c r="L116" s="20">
        <f t="shared" si="45"/>
        <v>16378.89</v>
      </c>
      <c r="M116" s="13">
        <f t="shared" si="42"/>
        <v>-24.801051508686371</v>
      </c>
      <c r="N116" s="4"/>
      <c r="P116" s="34"/>
    </row>
    <row r="117" spans="1:16" x14ac:dyDescent="0.25">
      <c r="A117" s="23" t="s">
        <v>288</v>
      </c>
      <c r="B117" s="24">
        <v>534</v>
      </c>
      <c r="C117" s="4" t="s">
        <v>238</v>
      </c>
      <c r="D117" s="24">
        <v>2005</v>
      </c>
      <c r="E117" s="24">
        <f>2240+2240</f>
        <v>4480</v>
      </c>
      <c r="F117" s="4" t="s">
        <v>212</v>
      </c>
      <c r="G117" s="27">
        <f>444.7*2</f>
        <v>889.4</v>
      </c>
      <c r="H117" s="24"/>
      <c r="I117" s="4"/>
      <c r="J117" s="24"/>
      <c r="K117" s="20">
        <f t="shared" si="44"/>
        <v>5014</v>
      </c>
      <c r="L117" s="20">
        <f t="shared" si="45"/>
        <v>2894.4</v>
      </c>
      <c r="M117" s="13">
        <f t="shared" si="42"/>
        <v>42.273633825289188</v>
      </c>
      <c r="N117" s="4"/>
      <c r="P117" s="34"/>
    </row>
    <row r="118" spans="1:16" x14ac:dyDescent="0.25">
      <c r="A118" s="23" t="s">
        <v>289</v>
      </c>
      <c r="B118" s="24">
        <v>534</v>
      </c>
      <c r="C118" s="4" t="s">
        <v>238</v>
      </c>
      <c r="D118" s="24">
        <v>2350</v>
      </c>
      <c r="E118" s="24">
        <f>2240+2240</f>
        <v>4480</v>
      </c>
      <c r="F118" s="4" t="s">
        <v>212</v>
      </c>
      <c r="G118" s="27">
        <f>444.7*2</f>
        <v>889.4</v>
      </c>
      <c r="H118" s="24"/>
      <c r="I118" s="4"/>
      <c r="J118" s="24"/>
      <c r="K118" s="20">
        <f t="shared" ref="K118:K123" si="46">B118+E118+H118</f>
        <v>5014</v>
      </c>
      <c r="L118" s="20">
        <f t="shared" ref="L118:L123" si="47">D118+G118+J118</f>
        <v>3239.4</v>
      </c>
      <c r="M118" s="13">
        <f t="shared" ref="M118:M123" si="48">100-L118*100/K118</f>
        <v>35.392899880335065</v>
      </c>
      <c r="N118" s="4"/>
      <c r="P118" s="34"/>
    </row>
    <row r="119" spans="1:16" x14ac:dyDescent="0.25">
      <c r="A119" s="23" t="s">
        <v>290</v>
      </c>
      <c r="B119" s="24">
        <f>5192+19313</f>
        <v>24505</v>
      </c>
      <c r="C119" s="4" t="s">
        <v>238</v>
      </c>
      <c r="D119" s="24">
        <v>24658.79</v>
      </c>
      <c r="E119" s="24">
        <f>15668</f>
        <v>15668</v>
      </c>
      <c r="F119" s="4" t="s">
        <v>212</v>
      </c>
      <c r="G119" s="27">
        <v>15395.74</v>
      </c>
      <c r="H119" s="24"/>
      <c r="I119" s="4"/>
      <c r="J119" s="24"/>
      <c r="K119" s="20">
        <f t="shared" si="46"/>
        <v>40173</v>
      </c>
      <c r="L119" s="20">
        <f t="shared" si="47"/>
        <v>40054.53</v>
      </c>
      <c r="M119" s="13">
        <f t="shared" si="48"/>
        <v>0.29489955940556456</v>
      </c>
      <c r="N119" s="4"/>
      <c r="P119" s="34"/>
    </row>
    <row r="120" spans="1:16" x14ac:dyDescent="0.25">
      <c r="A120" s="23" t="s">
        <v>291</v>
      </c>
      <c r="B120" s="24">
        <f>3971+940+1985+1655+2482</f>
        <v>11033</v>
      </c>
      <c r="C120" s="4" t="s">
        <v>238</v>
      </c>
      <c r="D120" s="24">
        <f>19187.25/2</f>
        <v>9593.625</v>
      </c>
      <c r="E120" s="24"/>
      <c r="F120" s="4"/>
      <c r="G120" s="27"/>
      <c r="H120" s="24"/>
      <c r="I120" s="4"/>
      <c r="J120" s="24"/>
      <c r="K120" s="20">
        <f t="shared" si="46"/>
        <v>11033</v>
      </c>
      <c r="L120" s="20">
        <f t="shared" si="47"/>
        <v>9593.625</v>
      </c>
      <c r="M120" s="13">
        <f t="shared" si="48"/>
        <v>13.046089005710144</v>
      </c>
      <c r="N120" s="4"/>
      <c r="P120" s="34"/>
    </row>
    <row r="121" spans="1:16" x14ac:dyDescent="0.25">
      <c r="A121" s="23" t="s">
        <v>292</v>
      </c>
      <c r="B121" s="24">
        <f>3971+940+1985+1655+2482</f>
        <v>11033</v>
      </c>
      <c r="C121" s="4" t="s">
        <v>238</v>
      </c>
      <c r="D121" s="24">
        <f>19187.25/2</f>
        <v>9593.625</v>
      </c>
      <c r="E121" s="24"/>
      <c r="F121" s="4"/>
      <c r="G121" s="27"/>
      <c r="H121" s="24"/>
      <c r="I121" s="4"/>
      <c r="J121" s="24"/>
      <c r="K121" s="20">
        <f t="shared" si="46"/>
        <v>11033</v>
      </c>
      <c r="L121" s="20">
        <f t="shared" si="47"/>
        <v>9593.625</v>
      </c>
      <c r="M121" s="13">
        <f t="shared" si="48"/>
        <v>13.046089005710144</v>
      </c>
      <c r="N121" s="4"/>
      <c r="P121" s="34"/>
    </row>
    <row r="122" spans="1:16" x14ac:dyDescent="0.25">
      <c r="A122" s="23" t="s">
        <v>293</v>
      </c>
      <c r="B122" s="47"/>
      <c r="C122" s="4"/>
      <c r="D122" s="24"/>
      <c r="E122" s="24"/>
      <c r="F122" s="4"/>
      <c r="G122" s="27"/>
      <c r="H122" s="24"/>
      <c r="I122" s="4"/>
      <c r="J122" s="24"/>
      <c r="K122" s="20">
        <f t="shared" si="46"/>
        <v>0</v>
      </c>
      <c r="L122" s="20">
        <f t="shared" si="47"/>
        <v>0</v>
      </c>
      <c r="M122" s="13" t="e">
        <f t="shared" si="48"/>
        <v>#DIV/0!</v>
      </c>
      <c r="N122" s="4"/>
      <c r="P122" s="34"/>
    </row>
    <row r="123" spans="1:16" x14ac:dyDescent="0.25">
      <c r="A123" s="23" t="s">
        <v>317</v>
      </c>
      <c r="B123" s="26"/>
      <c r="C123" s="4"/>
      <c r="D123" s="24"/>
      <c r="E123" s="24"/>
      <c r="F123" s="4"/>
      <c r="G123" s="27"/>
      <c r="H123" s="24"/>
      <c r="I123" s="4"/>
      <c r="J123" s="24"/>
      <c r="K123" s="20">
        <f t="shared" si="46"/>
        <v>0</v>
      </c>
      <c r="L123" s="20">
        <f t="shared" si="47"/>
        <v>0</v>
      </c>
      <c r="M123" s="13" t="e">
        <f t="shared" si="48"/>
        <v>#DIV/0!</v>
      </c>
      <c r="N123" s="4"/>
      <c r="P123" s="34"/>
    </row>
    <row r="124" spans="1:16" x14ac:dyDescent="0.25">
      <c r="A124" s="23" t="s">
        <v>318</v>
      </c>
      <c r="B124" s="24">
        <f>13762+11010+6562+2625+2003</f>
        <v>35962</v>
      </c>
      <c r="C124" s="4" t="s">
        <v>238</v>
      </c>
      <c r="D124" s="24">
        <f>13501.8+10755+6346.86+2538.27+846.09</f>
        <v>33988.019999999997</v>
      </c>
      <c r="E124" s="24"/>
      <c r="F124" s="4"/>
      <c r="G124" s="27"/>
      <c r="H124" s="24">
        <v>4650</v>
      </c>
      <c r="I124" s="24" t="s">
        <v>459</v>
      </c>
      <c r="J124" s="24">
        <v>4637</v>
      </c>
      <c r="K124" s="20">
        <f t="shared" ref="K124:K126" si="49">B124+E124+H124</f>
        <v>40612</v>
      </c>
      <c r="L124" s="20">
        <f t="shared" ref="L124:L126" si="50">D124+G124+J124</f>
        <v>38625.019999999997</v>
      </c>
      <c r="M124" s="13">
        <f t="shared" ref="M124:M126" si="51">100-L124*100/K124</f>
        <v>4.8925933221707965</v>
      </c>
      <c r="N124" s="4"/>
      <c r="P124" s="34"/>
    </row>
    <row r="125" spans="1:16" x14ac:dyDescent="0.25">
      <c r="A125" s="23" t="s">
        <v>319</v>
      </c>
      <c r="B125" s="24">
        <f>12030+9624+4739+2003</f>
        <v>28396</v>
      </c>
      <c r="C125" s="4" t="s">
        <v>238</v>
      </c>
      <c r="D125" s="24">
        <f>11769.4+9416+4583.58+846.09</f>
        <v>26615.070000000003</v>
      </c>
      <c r="E125" s="24"/>
      <c r="F125" s="4"/>
      <c r="G125" s="27"/>
      <c r="H125" s="24">
        <v>4650</v>
      </c>
      <c r="I125" s="24" t="s">
        <v>459</v>
      </c>
      <c r="J125" s="24">
        <v>4637</v>
      </c>
      <c r="K125" s="20">
        <f t="shared" si="49"/>
        <v>33046</v>
      </c>
      <c r="L125" s="20">
        <f t="shared" si="50"/>
        <v>31252.070000000003</v>
      </c>
      <c r="M125" s="13">
        <f t="shared" si="51"/>
        <v>5.4285843975064978</v>
      </c>
      <c r="N125" s="4"/>
      <c r="P125" s="34"/>
    </row>
    <row r="126" spans="1:16" x14ac:dyDescent="0.25">
      <c r="A126" s="23" t="s">
        <v>320</v>
      </c>
      <c r="B126" s="24">
        <f>8613+1356+2102</f>
        <v>12071</v>
      </c>
      <c r="C126" s="4" t="s">
        <v>238</v>
      </c>
      <c r="D126" s="24">
        <f>8375.6+2033.46+1520</f>
        <v>11929.060000000001</v>
      </c>
      <c r="E126" s="24"/>
      <c r="F126" s="4"/>
      <c r="G126" s="27"/>
      <c r="H126" s="24">
        <v>4650</v>
      </c>
      <c r="I126" s="24" t="s">
        <v>459</v>
      </c>
      <c r="J126" s="24">
        <v>4637</v>
      </c>
      <c r="K126" s="20">
        <f t="shared" si="49"/>
        <v>16721</v>
      </c>
      <c r="L126" s="20">
        <f t="shared" si="50"/>
        <v>16566.060000000001</v>
      </c>
      <c r="M126" s="13">
        <f t="shared" si="51"/>
        <v>0.92661922133842722</v>
      </c>
      <c r="N126" s="4"/>
      <c r="P126" s="34"/>
    </row>
    <row r="127" spans="1:16" x14ac:dyDescent="0.25">
      <c r="A127" s="23" t="s">
        <v>460</v>
      </c>
      <c r="B127" s="24">
        <f>(1220*224)</f>
        <v>273280</v>
      </c>
      <c r="C127" s="4" t="s">
        <v>238</v>
      </c>
      <c r="D127" s="24">
        <v>245465.77</v>
      </c>
      <c r="E127" s="24"/>
      <c r="F127" s="4"/>
      <c r="G127" s="27"/>
      <c r="H127" s="24">
        <f>(2474*224)</f>
        <v>554176</v>
      </c>
      <c r="I127" s="4" t="s">
        <v>212</v>
      </c>
      <c r="J127" s="24">
        <v>515594.23999999999</v>
      </c>
      <c r="K127" s="20">
        <f>B127+E127+H127</f>
        <v>827456</v>
      </c>
      <c r="L127" s="20">
        <f>D127+G127+J127</f>
        <v>761060.01</v>
      </c>
      <c r="M127" s="13">
        <f>100-L127*100/K127</f>
        <v>8.0241112518369562</v>
      </c>
      <c r="N127" s="4"/>
      <c r="P127" s="34"/>
    </row>
    <row r="128" spans="1:16" x14ac:dyDescent="0.25">
      <c r="A128" s="23" t="s">
        <v>461</v>
      </c>
      <c r="B128" s="47"/>
      <c r="C128" s="4"/>
      <c r="D128" s="24"/>
      <c r="E128" s="24"/>
      <c r="F128" s="4"/>
      <c r="G128" s="27"/>
      <c r="H128" s="24"/>
      <c r="I128" s="4"/>
      <c r="J128" s="24"/>
      <c r="K128" s="20">
        <f t="shared" si="35"/>
        <v>0</v>
      </c>
      <c r="L128" s="20">
        <f t="shared" si="36"/>
        <v>0</v>
      </c>
      <c r="M128" s="13" t="e">
        <f t="shared" si="37"/>
        <v>#DIV/0!</v>
      </c>
      <c r="N128" s="4"/>
      <c r="P128" s="34"/>
    </row>
    <row r="129" spans="1:16" x14ac:dyDescent="0.25">
      <c r="A129" s="23" t="s">
        <v>462</v>
      </c>
      <c r="B129" s="24">
        <v>12151</v>
      </c>
      <c r="C129" s="4" t="s">
        <v>238</v>
      </c>
      <c r="D129" s="24">
        <f>10250+2833.13</f>
        <v>13083.130000000001</v>
      </c>
      <c r="E129" s="24"/>
      <c r="F129" s="4"/>
      <c r="G129" s="27"/>
      <c r="H129" s="24">
        <f>18985+18985</f>
        <v>37970</v>
      </c>
      <c r="I129" s="4" t="s">
        <v>212</v>
      </c>
      <c r="J129" s="72"/>
      <c r="K129" s="20">
        <f t="shared" si="35"/>
        <v>50121</v>
      </c>
      <c r="L129" s="20">
        <f t="shared" si="36"/>
        <v>13083.130000000001</v>
      </c>
      <c r="M129" s="13">
        <f t="shared" si="37"/>
        <v>73.896909479060668</v>
      </c>
      <c r="N129" s="4"/>
      <c r="P129" s="34"/>
    </row>
    <row r="130" spans="1:16" x14ac:dyDescent="0.25">
      <c r="A130" s="23" t="s">
        <v>463</v>
      </c>
      <c r="B130" s="24">
        <f>1790+559</f>
        <v>2349</v>
      </c>
      <c r="C130" s="4" t="s">
        <v>238</v>
      </c>
      <c r="D130" s="24">
        <f>1899.74+576.51</f>
        <v>2476.25</v>
      </c>
      <c r="E130" s="24"/>
      <c r="F130" s="4"/>
      <c r="G130" s="27"/>
      <c r="H130" s="24"/>
      <c r="I130" s="4"/>
      <c r="J130" s="24"/>
      <c r="K130" s="20">
        <f t="shared" si="35"/>
        <v>2349</v>
      </c>
      <c r="L130" s="20">
        <f t="shared" si="36"/>
        <v>2476.25</v>
      </c>
      <c r="M130" s="13">
        <f t="shared" si="37"/>
        <v>-5.4171988080034055</v>
      </c>
      <c r="N130" s="4"/>
      <c r="P130" s="34"/>
    </row>
    <row r="131" spans="1:16" x14ac:dyDescent="0.25">
      <c r="A131" s="23" t="s">
        <v>464</v>
      </c>
      <c r="B131" s="24">
        <f>5079+5294+8990</f>
        <v>19363</v>
      </c>
      <c r="C131" s="4" t="s">
        <v>238</v>
      </c>
      <c r="D131" s="24">
        <f>5535.6+648.58</f>
        <v>6184.18</v>
      </c>
      <c r="E131" s="24"/>
      <c r="F131" s="4"/>
      <c r="G131" s="27"/>
      <c r="H131" s="24"/>
      <c r="I131" s="4"/>
      <c r="J131" s="24"/>
      <c r="K131" s="20">
        <f t="shared" si="35"/>
        <v>19363</v>
      </c>
      <c r="L131" s="20">
        <f t="shared" si="36"/>
        <v>6184.18</v>
      </c>
      <c r="M131" s="13">
        <f t="shared" si="37"/>
        <v>68.061870577906319</v>
      </c>
      <c r="N131" s="4"/>
      <c r="P131" s="34"/>
    </row>
    <row r="132" spans="1:16" x14ac:dyDescent="0.25">
      <c r="A132" s="23"/>
      <c r="B132" s="8"/>
      <c r="C132" s="4"/>
      <c r="D132" s="24"/>
      <c r="E132" s="24"/>
      <c r="F132" s="4"/>
      <c r="G132" s="27"/>
      <c r="H132" s="24"/>
      <c r="I132" s="4"/>
      <c r="J132" s="24"/>
      <c r="K132" s="20">
        <f t="shared" si="35"/>
        <v>0</v>
      </c>
      <c r="L132" s="20">
        <f t="shared" si="36"/>
        <v>0</v>
      </c>
      <c r="M132" s="13" t="e">
        <f t="shared" si="37"/>
        <v>#DIV/0!</v>
      </c>
      <c r="N132" s="4"/>
      <c r="P132" s="34"/>
    </row>
    <row r="133" spans="1:16" x14ac:dyDescent="0.25">
      <c r="A133" s="23"/>
      <c r="B133" s="8"/>
      <c r="C133" s="4"/>
      <c r="D133" s="24"/>
      <c r="E133" s="24"/>
      <c r="F133" s="4"/>
      <c r="G133" s="15"/>
      <c r="H133" s="9"/>
      <c r="I133" s="4"/>
      <c r="J133" s="24"/>
      <c r="K133" s="39">
        <f>SUM(K3:K132)</f>
        <v>3215930</v>
      </c>
      <c r="L133" s="39">
        <f>SUM(L3:L132)</f>
        <v>3008785.6549999998</v>
      </c>
      <c r="M133" s="49">
        <f>100-L133*100/K133</f>
        <v>6.4411957038865921</v>
      </c>
      <c r="N133" s="50">
        <f>K133-L133</f>
        <v>207144.3450000002</v>
      </c>
    </row>
    <row r="137" spans="1:16" ht="30" x14ac:dyDescent="0.25">
      <c r="A137" s="2" t="s">
        <v>0</v>
      </c>
      <c r="B137" s="3" t="s">
        <v>2</v>
      </c>
      <c r="C137" s="3" t="s">
        <v>9</v>
      </c>
      <c r="D137" s="3" t="s">
        <v>3</v>
      </c>
      <c r="E137" s="3" t="s">
        <v>4</v>
      </c>
      <c r="F137" s="7" t="s">
        <v>9</v>
      </c>
      <c r="G137" s="3" t="s">
        <v>5</v>
      </c>
      <c r="H137" s="3" t="s">
        <v>252</v>
      </c>
      <c r="I137" s="7" t="s">
        <v>9</v>
      </c>
      <c r="J137" s="3" t="s">
        <v>253</v>
      </c>
      <c r="K137" s="5" t="s">
        <v>10</v>
      </c>
      <c r="L137" s="5" t="s">
        <v>11</v>
      </c>
      <c r="M137" s="12" t="s">
        <v>61</v>
      </c>
      <c r="N137" s="34"/>
    </row>
    <row r="138" spans="1:16" x14ac:dyDescent="0.25">
      <c r="A138" s="23" t="s">
        <v>25</v>
      </c>
      <c r="B138" s="26">
        <f>1051+1402+7008+2803+808+1078+808+1078</f>
        <v>16036</v>
      </c>
      <c r="C138" s="4" t="s">
        <v>238</v>
      </c>
      <c r="D138" s="68"/>
      <c r="E138" s="24"/>
      <c r="F138" s="4"/>
      <c r="G138" s="27"/>
      <c r="H138" s="24"/>
      <c r="I138" s="4"/>
      <c r="J138" s="24"/>
      <c r="K138" s="20"/>
      <c r="L138" s="20"/>
      <c r="M138" s="13"/>
      <c r="N138" s="4"/>
    </row>
    <row r="139" spans="1:16" x14ac:dyDescent="0.25">
      <c r="A139" s="23" t="s">
        <v>26</v>
      </c>
      <c r="B139" s="26">
        <f>1078+3574+1078+1078</f>
        <v>6808</v>
      </c>
      <c r="C139" s="4" t="s">
        <v>238</v>
      </c>
      <c r="D139" s="68"/>
      <c r="E139" s="24"/>
      <c r="F139" s="4"/>
      <c r="G139" s="27"/>
      <c r="H139" s="24"/>
      <c r="I139" s="4"/>
      <c r="J139" s="24"/>
      <c r="K139" s="20"/>
      <c r="L139" s="20"/>
      <c r="M139" s="13"/>
      <c r="N139" s="4"/>
    </row>
    <row r="140" spans="1:16" x14ac:dyDescent="0.25">
      <c r="A140" s="23" t="s">
        <v>27</v>
      </c>
      <c r="B140" s="26">
        <f>1078+3574+1078+1078</f>
        <v>6808</v>
      </c>
      <c r="C140" s="4" t="s">
        <v>238</v>
      </c>
      <c r="D140" s="68"/>
      <c r="E140" s="24"/>
      <c r="F140" s="4"/>
      <c r="G140" s="27"/>
      <c r="H140" s="24"/>
      <c r="I140" s="4"/>
      <c r="J140" s="24"/>
      <c r="K140" s="20"/>
      <c r="L140" s="20"/>
      <c r="M140" s="13"/>
      <c r="N140" s="4"/>
    </row>
    <row r="141" spans="1:16" x14ac:dyDescent="0.25">
      <c r="A141" s="23" t="s">
        <v>28</v>
      </c>
      <c r="B141" s="26">
        <f>431+539+431</f>
        <v>1401</v>
      </c>
      <c r="C141" s="4" t="s">
        <v>238</v>
      </c>
      <c r="D141" s="68"/>
      <c r="E141" s="24"/>
      <c r="F141" s="4"/>
      <c r="G141" s="27"/>
      <c r="H141" s="24"/>
      <c r="I141" s="4"/>
      <c r="J141" s="24"/>
      <c r="K141" s="20"/>
      <c r="L141" s="20"/>
      <c r="M141" s="13"/>
      <c r="N141" s="4"/>
    </row>
    <row r="142" spans="1:16" x14ac:dyDescent="0.25">
      <c r="A142" s="31" t="s">
        <v>29</v>
      </c>
      <c r="B142" s="26">
        <f>1179+2021+2526+1402+1179</f>
        <v>8307</v>
      </c>
      <c r="C142" s="4" t="s">
        <v>238</v>
      </c>
      <c r="D142" s="68"/>
      <c r="E142" s="24"/>
      <c r="F142" s="4"/>
      <c r="G142" s="27"/>
      <c r="H142" s="24"/>
      <c r="I142" s="4"/>
      <c r="J142" s="24"/>
      <c r="K142" s="20"/>
      <c r="L142" s="20"/>
      <c r="M142" s="13"/>
      <c r="N142" s="4"/>
    </row>
    <row r="143" spans="1:16" x14ac:dyDescent="0.25">
      <c r="A143" s="23" t="s">
        <v>30</v>
      </c>
      <c r="B143" s="26">
        <f>1347+3081+1347+1347</f>
        <v>7122</v>
      </c>
      <c r="C143" s="4" t="s">
        <v>238</v>
      </c>
      <c r="D143" s="68"/>
      <c r="E143" s="24"/>
      <c r="F143" s="4"/>
      <c r="G143" s="27"/>
      <c r="H143" s="26"/>
      <c r="I143" s="4"/>
      <c r="J143" s="24"/>
      <c r="K143" s="20"/>
      <c r="L143" s="20"/>
      <c r="M143" s="13"/>
      <c r="N143" s="4"/>
    </row>
    <row r="144" spans="1:16" x14ac:dyDescent="0.25">
      <c r="A144" s="23" t="s">
        <v>35</v>
      </c>
      <c r="B144" s="26">
        <f>1051+1402+11214+1051+1402+808+1078</f>
        <v>18006</v>
      </c>
      <c r="C144" s="4" t="s">
        <v>238</v>
      </c>
      <c r="D144" s="68"/>
      <c r="E144" s="24"/>
      <c r="F144" s="4"/>
      <c r="G144" s="27"/>
      <c r="H144" s="24"/>
      <c r="I144" s="4"/>
      <c r="J144" s="24"/>
      <c r="K144" s="20"/>
      <c r="L144" s="20"/>
      <c r="M144" s="13"/>
      <c r="N144" s="4"/>
    </row>
    <row r="145" spans="1:14" x14ac:dyDescent="0.25">
      <c r="A145" s="23" t="s">
        <v>36</v>
      </c>
      <c r="B145" s="26">
        <f>1013+4375+1013+663</f>
        <v>7064</v>
      </c>
      <c r="C145" s="4" t="s">
        <v>238</v>
      </c>
      <c r="D145" s="68"/>
      <c r="E145" s="24"/>
      <c r="F145" s="4"/>
      <c r="G145" s="27"/>
      <c r="H145" s="24"/>
      <c r="I145" s="4"/>
      <c r="J145" s="24"/>
      <c r="K145" s="20"/>
      <c r="L145" s="20"/>
      <c r="M145" s="13"/>
      <c r="N145" s="4"/>
    </row>
    <row r="146" spans="1:14" x14ac:dyDescent="0.25">
      <c r="A146" s="23" t="s">
        <v>37</v>
      </c>
      <c r="B146" s="26">
        <f>1668+11064+2170+1078</f>
        <v>15980</v>
      </c>
      <c r="C146" s="4" t="s">
        <v>238</v>
      </c>
      <c r="D146" s="68"/>
      <c r="E146" s="24"/>
      <c r="F146" s="4"/>
      <c r="G146" s="27"/>
      <c r="H146" s="24"/>
      <c r="I146" s="4"/>
      <c r="J146" s="24"/>
      <c r="K146" s="20"/>
      <c r="L146" s="20"/>
      <c r="M146" s="13"/>
      <c r="N146" s="4"/>
    </row>
    <row r="147" spans="1:14" x14ac:dyDescent="0.25">
      <c r="A147" s="23" t="s">
        <v>38</v>
      </c>
      <c r="B147" s="26">
        <f>647+2803+647+647</f>
        <v>4744</v>
      </c>
      <c r="C147" s="4" t="s">
        <v>238</v>
      </c>
      <c r="D147" s="68"/>
      <c r="E147" s="24"/>
      <c r="F147" s="4"/>
      <c r="G147" s="27"/>
      <c r="H147" s="24"/>
      <c r="I147" s="4"/>
      <c r="J147" s="24"/>
      <c r="K147" s="20"/>
      <c r="L147" s="20"/>
      <c r="M147" s="13"/>
      <c r="N147" s="4"/>
    </row>
    <row r="148" spans="1:14" x14ac:dyDescent="0.25">
      <c r="A148" s="23" t="s">
        <v>39</v>
      </c>
      <c r="B148" s="26">
        <f>647+2803+647+647</f>
        <v>4744</v>
      </c>
      <c r="C148" s="4" t="s">
        <v>238</v>
      </c>
      <c r="D148" s="68"/>
      <c r="E148" s="24"/>
      <c r="F148" s="4"/>
      <c r="G148" s="27"/>
      <c r="H148" s="24"/>
      <c r="I148" s="4"/>
      <c r="J148" s="24"/>
      <c r="K148" s="20"/>
      <c r="L148" s="20"/>
      <c r="M148" s="13"/>
      <c r="N148" s="4"/>
    </row>
    <row r="149" spans="1:14" x14ac:dyDescent="0.25">
      <c r="A149" s="23" t="s">
        <v>40</v>
      </c>
      <c r="B149" s="26">
        <f>2712+13344</f>
        <v>16056</v>
      </c>
      <c r="C149" s="4" t="s">
        <v>449</v>
      </c>
      <c r="D149" s="68"/>
      <c r="E149" s="24"/>
      <c r="F149" s="4"/>
      <c r="G149" s="27"/>
      <c r="H149" s="24"/>
      <c r="I149" s="4"/>
      <c r="J149" s="24"/>
      <c r="K149" s="20"/>
      <c r="L149" s="20"/>
      <c r="M149" s="13"/>
      <c r="N149" s="4"/>
    </row>
    <row r="150" spans="1:14" x14ac:dyDescent="0.25">
      <c r="A150" s="23" t="s">
        <v>60</v>
      </c>
      <c r="B150" s="26">
        <f>1001+4339+1251+647</f>
        <v>7238</v>
      </c>
      <c r="C150" s="4" t="s">
        <v>238</v>
      </c>
      <c r="D150" s="68"/>
      <c r="E150" s="24"/>
      <c r="F150" s="4"/>
      <c r="G150" s="27"/>
      <c r="H150" s="24"/>
      <c r="I150" s="4"/>
      <c r="J150" s="27"/>
      <c r="K150" s="20"/>
      <c r="L150" s="20"/>
      <c r="M150" s="13"/>
      <c r="N150" s="4"/>
    </row>
    <row r="151" spans="1:14" ht="38.25" x14ac:dyDescent="0.25">
      <c r="A151" s="71" t="s">
        <v>41</v>
      </c>
      <c r="B151" s="26">
        <f>8821+11198+8821+4311</f>
        <v>33151</v>
      </c>
      <c r="C151" s="4" t="s">
        <v>238</v>
      </c>
      <c r="D151" s="68"/>
      <c r="E151" s="24"/>
      <c r="F151" s="4"/>
      <c r="G151" s="27"/>
      <c r="H151" s="24"/>
      <c r="I151" s="4"/>
      <c r="J151" s="24"/>
      <c r="K151" s="20"/>
      <c r="L151" s="20"/>
      <c r="M151" s="13"/>
      <c r="N151" s="16" t="s">
        <v>450</v>
      </c>
    </row>
    <row r="152" spans="1:14" x14ac:dyDescent="0.25">
      <c r="A152" s="23" t="s">
        <v>42</v>
      </c>
      <c r="B152" s="26">
        <f>2583+1614+11695+9356+2044+1278</f>
        <v>28570</v>
      </c>
      <c r="C152" s="4" t="s">
        <v>238</v>
      </c>
      <c r="D152" s="24"/>
      <c r="E152" s="26"/>
      <c r="F152" s="4"/>
      <c r="G152" s="27"/>
      <c r="H152" s="24"/>
      <c r="I152" s="4"/>
      <c r="J152" s="24"/>
      <c r="K152" s="20"/>
      <c r="L152" s="20"/>
      <c r="M152" s="13"/>
      <c r="N152" s="4"/>
    </row>
    <row r="153" spans="1:14" x14ac:dyDescent="0.25">
      <c r="A153" s="23" t="s">
        <v>452</v>
      </c>
      <c r="B153" s="20">
        <f>SUM(B138:B152)</f>
        <v>182035</v>
      </c>
      <c r="C153" s="70"/>
      <c r="D153" s="21">
        <f>(67800.5+104017.89)</f>
        <v>171818.39</v>
      </c>
      <c r="E153" s="26"/>
      <c r="F153" s="4"/>
      <c r="G153" s="27"/>
      <c r="H153" s="24"/>
      <c r="I153" s="4"/>
      <c r="J153" s="24"/>
      <c r="K153" s="20">
        <f t="shared" ref="K153" si="52">B153+E153+H153</f>
        <v>182035</v>
      </c>
      <c r="L153" s="20">
        <f t="shared" ref="L153" si="53">D153+G153+J153</f>
        <v>171818.39</v>
      </c>
      <c r="M153" s="13">
        <f t="shared" ref="M153" si="54">100-L153*100/K153</f>
        <v>5.6124426621254173</v>
      </c>
      <c r="N153" s="4"/>
    </row>
    <row r="154" spans="1:14" x14ac:dyDescent="0.25">
      <c r="A154" s="23"/>
      <c r="B154" s="26"/>
      <c r="C154" s="4"/>
      <c r="D154" s="24"/>
      <c r="E154" s="24"/>
      <c r="F154" s="4"/>
      <c r="G154" s="27"/>
      <c r="H154" s="24"/>
      <c r="I154" s="4"/>
      <c r="J154" s="24"/>
      <c r="K154" s="20"/>
      <c r="L154" s="20"/>
      <c r="M154" s="13"/>
      <c r="N154" s="53"/>
    </row>
    <row r="155" spans="1:14" x14ac:dyDescent="0.25">
      <c r="A155" s="23"/>
      <c r="B155" s="26"/>
      <c r="C155" s="4"/>
      <c r="D155" s="24"/>
      <c r="E155" s="24"/>
      <c r="F155" s="4"/>
      <c r="G155" s="24"/>
      <c r="H155" s="24"/>
      <c r="I155" s="4"/>
      <c r="J155" s="24"/>
      <c r="K155" s="20"/>
      <c r="L155" s="20"/>
      <c r="M155" s="13"/>
      <c r="N155" s="53"/>
    </row>
    <row r="156" spans="1:14" x14ac:dyDescent="0.25">
      <c r="A156" s="23"/>
      <c r="B156" s="26"/>
      <c r="C156" s="4"/>
      <c r="D156" s="24"/>
      <c r="E156" s="24"/>
      <c r="F156" s="4"/>
      <c r="G156" s="27"/>
      <c r="H156" s="24"/>
      <c r="I156" s="4"/>
      <c r="J156" s="24"/>
      <c r="K156" s="20"/>
      <c r="L156" s="20"/>
      <c r="M156" s="13"/>
      <c r="N156" s="53"/>
    </row>
    <row r="157" spans="1:14" x14ac:dyDescent="0.25">
      <c r="A157" s="23"/>
      <c r="B157" s="26"/>
      <c r="C157" s="4"/>
      <c r="D157" s="24"/>
      <c r="E157" s="24"/>
      <c r="F157" s="4"/>
      <c r="G157" s="27"/>
      <c r="H157" s="24"/>
      <c r="I157" s="4"/>
      <c r="J157" s="24"/>
      <c r="K157" s="20"/>
      <c r="L157" s="20"/>
      <c r="M157" s="13"/>
      <c r="N157" s="53"/>
    </row>
    <row r="158" spans="1:14" x14ac:dyDescent="0.25">
      <c r="B158" s="52"/>
      <c r="K158" s="52">
        <f>SUM(K138:K157)</f>
        <v>182035</v>
      </c>
      <c r="L158" s="52">
        <f>SUM(L138:L157)</f>
        <v>171818.39</v>
      </c>
      <c r="M158" s="52"/>
      <c r="N158" s="65">
        <f>SUM(N138:N157)</f>
        <v>0</v>
      </c>
    </row>
    <row r="160" spans="1:14" x14ac:dyDescent="0.25">
      <c r="J160" s="60" t="s">
        <v>414</v>
      </c>
      <c r="K160" s="52">
        <f>K158-L158</f>
        <v>10216.609999999986</v>
      </c>
    </row>
  </sheetData>
  <phoneticPr fontId="9" type="noConversion"/>
  <pageMargins left="0.25" right="0.25" top="0.75" bottom="0.75" header="0.3" footer="0.3"/>
  <pageSetup scale="9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D425-1BA8-4B81-8080-73E854DE42E2}">
  <dimension ref="A2:P151"/>
  <sheetViews>
    <sheetView tabSelected="1" topLeftCell="A3" workbookViewId="0">
      <selection activeCell="G27" sqref="G27"/>
    </sheetView>
  </sheetViews>
  <sheetFormatPr defaultRowHeight="15" x14ac:dyDescent="0.25"/>
  <cols>
    <col min="3" max="3" width="9.5703125" bestFit="1" customWidth="1"/>
    <col min="14" max="14" width="25.7109375" customWidth="1"/>
  </cols>
  <sheetData>
    <row r="2" spans="1:16" ht="30" x14ac:dyDescent="0.25">
      <c r="A2" s="2" t="s">
        <v>0</v>
      </c>
      <c r="B2" s="3" t="s">
        <v>2</v>
      </c>
      <c r="C2" s="3" t="s">
        <v>9</v>
      </c>
      <c r="D2" s="3" t="s">
        <v>3</v>
      </c>
      <c r="E2" s="3" t="s">
        <v>4</v>
      </c>
      <c r="F2" s="7" t="s">
        <v>9</v>
      </c>
      <c r="G2" s="3" t="s">
        <v>5</v>
      </c>
      <c r="H2" s="3" t="s">
        <v>252</v>
      </c>
      <c r="I2" s="7" t="s">
        <v>9</v>
      </c>
      <c r="J2" s="73" t="s">
        <v>253</v>
      </c>
      <c r="K2" s="5" t="s">
        <v>10</v>
      </c>
      <c r="L2" s="5" t="s">
        <v>11</v>
      </c>
      <c r="M2" s="12" t="s">
        <v>61</v>
      </c>
      <c r="N2" s="7" t="s">
        <v>1</v>
      </c>
      <c r="O2" s="3"/>
      <c r="P2" s="62" t="s">
        <v>445</v>
      </c>
    </row>
    <row r="3" spans="1:16" x14ac:dyDescent="0.25">
      <c r="A3" s="23" t="s">
        <v>19</v>
      </c>
      <c r="B3" s="47"/>
      <c r="C3" s="4"/>
      <c r="D3" s="68"/>
      <c r="E3" s="24"/>
      <c r="F3" s="4"/>
      <c r="G3" s="27"/>
      <c r="H3" s="24"/>
      <c r="I3" s="4"/>
      <c r="J3" s="24"/>
      <c r="K3" s="20">
        <f t="shared" ref="K3:K7" si="0">B3+E3+H3</f>
        <v>0</v>
      </c>
      <c r="L3" s="20">
        <f t="shared" ref="L3:L7" si="1">D3+G3+J3</f>
        <v>0</v>
      </c>
      <c r="M3" s="13" t="e">
        <f t="shared" ref="M3" si="2">100-L3*100/K3</f>
        <v>#DIV/0!</v>
      </c>
      <c r="N3" s="4"/>
      <c r="P3" s="34"/>
    </row>
    <row r="4" spans="1:16" x14ac:dyDescent="0.25">
      <c r="A4" s="23" t="s">
        <v>20</v>
      </c>
      <c r="B4" s="26">
        <f>13341+3356+3356+4205+7978</f>
        <v>32236</v>
      </c>
      <c r="C4" s="4" t="s">
        <v>238</v>
      </c>
      <c r="D4" s="69">
        <f>122465.78/3</f>
        <v>40821.926666666666</v>
      </c>
      <c r="E4" s="24"/>
      <c r="F4" s="4"/>
      <c r="G4" s="24"/>
      <c r="H4" s="24"/>
      <c r="I4" s="4"/>
      <c r="J4" s="24"/>
      <c r="K4" s="20">
        <f>B4+E4+H4</f>
        <v>32236</v>
      </c>
      <c r="L4" s="20">
        <f t="shared" si="1"/>
        <v>40821.926666666666</v>
      </c>
      <c r="M4" s="13"/>
      <c r="N4" s="4" t="s">
        <v>466</v>
      </c>
      <c r="P4" s="34"/>
    </row>
    <row r="5" spans="1:16" x14ac:dyDescent="0.25">
      <c r="A5" s="23" t="s">
        <v>21</v>
      </c>
      <c r="B5" s="26">
        <f>13341+3356+3356+4205+7978</f>
        <v>32236</v>
      </c>
      <c r="C5" s="4" t="s">
        <v>238</v>
      </c>
      <c r="D5" s="69">
        <f>122465.78/3</f>
        <v>40821.926666666666</v>
      </c>
      <c r="E5" s="24"/>
      <c r="F5" s="4"/>
      <c r="G5" s="24"/>
      <c r="H5" s="24"/>
      <c r="I5" s="4"/>
      <c r="J5" s="24"/>
      <c r="K5" s="20">
        <f t="shared" si="0"/>
        <v>32236</v>
      </c>
      <c r="L5" s="20">
        <f t="shared" si="1"/>
        <v>40821.926666666666</v>
      </c>
      <c r="M5" s="13"/>
      <c r="N5" s="4" t="s">
        <v>466</v>
      </c>
      <c r="P5" s="34"/>
    </row>
    <row r="6" spans="1:16" x14ac:dyDescent="0.25">
      <c r="A6" s="23" t="s">
        <v>22</v>
      </c>
      <c r="B6" s="26">
        <f>13341+3356+3356+4205+7978</f>
        <v>32236</v>
      </c>
      <c r="C6" s="4" t="s">
        <v>238</v>
      </c>
      <c r="D6" s="69">
        <f>122465.78/3</f>
        <v>40821.926666666666</v>
      </c>
      <c r="E6" s="24"/>
      <c r="F6" s="4"/>
      <c r="G6" s="24"/>
      <c r="H6" s="24"/>
      <c r="I6" s="4"/>
      <c r="J6" s="24"/>
      <c r="K6" s="20">
        <f t="shared" si="0"/>
        <v>32236</v>
      </c>
      <c r="L6" s="20">
        <f t="shared" si="1"/>
        <v>40821.926666666666</v>
      </c>
      <c r="M6" s="13"/>
      <c r="N6" s="4" t="s">
        <v>466</v>
      </c>
      <c r="P6" s="34"/>
    </row>
    <row r="7" spans="1:16" x14ac:dyDescent="0.25">
      <c r="A7" s="23" t="s">
        <v>23</v>
      </c>
      <c r="B7" s="26">
        <f>1224+3021+1510+1119</f>
        <v>6874</v>
      </c>
      <c r="C7" s="4" t="s">
        <v>238</v>
      </c>
      <c r="D7" s="69">
        <v>9112.3799999999992</v>
      </c>
      <c r="E7" s="24"/>
      <c r="F7" s="4"/>
      <c r="G7" s="24"/>
      <c r="H7" s="24"/>
      <c r="I7" s="4"/>
      <c r="J7" s="24"/>
      <c r="K7" s="20">
        <f t="shared" si="0"/>
        <v>6874</v>
      </c>
      <c r="L7" s="20">
        <f t="shared" si="1"/>
        <v>9112.3799999999992</v>
      </c>
      <c r="M7" s="13"/>
      <c r="N7" s="4" t="s">
        <v>465</v>
      </c>
      <c r="P7" s="34"/>
    </row>
    <row r="8" spans="1:16" x14ac:dyDescent="0.25">
      <c r="A8" s="23" t="s">
        <v>24</v>
      </c>
      <c r="B8" s="47"/>
      <c r="C8" s="4"/>
      <c r="D8" s="68"/>
      <c r="E8" s="24"/>
      <c r="F8" s="4"/>
      <c r="G8" s="27"/>
      <c r="H8" s="24"/>
      <c r="I8" s="4"/>
      <c r="J8" s="24"/>
      <c r="K8" s="20">
        <f t="shared" ref="K8" si="3">B8+E8+H8</f>
        <v>0</v>
      </c>
      <c r="L8" s="20">
        <f t="shared" ref="L8:L31" si="4">D8+G8+J8</f>
        <v>0</v>
      </c>
      <c r="M8" s="13" t="e">
        <f t="shared" ref="M8" si="5">100-L8*100/K8</f>
        <v>#DIV/0!</v>
      </c>
      <c r="N8" s="4"/>
      <c r="P8" s="34"/>
    </row>
    <row r="9" spans="1:16" x14ac:dyDescent="0.25">
      <c r="A9" s="23" t="s">
        <v>25</v>
      </c>
      <c r="B9" s="47"/>
      <c r="C9" s="4"/>
      <c r="D9" s="68"/>
      <c r="E9" s="24"/>
      <c r="F9" s="4"/>
      <c r="G9" s="27"/>
      <c r="H9" s="24"/>
      <c r="I9" s="4"/>
      <c r="J9" s="24"/>
      <c r="K9" s="20">
        <f>B9+E9+H9</f>
        <v>0</v>
      </c>
      <c r="L9" s="20">
        <f t="shared" si="4"/>
        <v>0</v>
      </c>
      <c r="M9" s="13" t="e">
        <f>100-L9*100/K9</f>
        <v>#DIV/0!</v>
      </c>
      <c r="N9" s="4"/>
      <c r="P9" s="34"/>
    </row>
    <row r="10" spans="1:16" x14ac:dyDescent="0.25">
      <c r="A10" s="23" t="s">
        <v>26</v>
      </c>
      <c r="B10" s="47"/>
      <c r="C10" s="4"/>
      <c r="D10" s="68"/>
      <c r="E10" s="24"/>
      <c r="F10" s="4"/>
      <c r="G10" s="27"/>
      <c r="H10" s="24"/>
      <c r="I10" s="4"/>
      <c r="J10" s="24"/>
      <c r="K10" s="20">
        <f t="shared" ref="K10:K13" si="6">B10+E10+H10</f>
        <v>0</v>
      </c>
      <c r="L10" s="20">
        <f t="shared" si="4"/>
        <v>0</v>
      </c>
      <c r="M10" s="13" t="e">
        <f>100-L10*100/K10</f>
        <v>#DIV/0!</v>
      </c>
      <c r="N10" s="4"/>
      <c r="P10" s="34"/>
    </row>
    <row r="11" spans="1:16" x14ac:dyDescent="0.25">
      <c r="A11" s="23" t="s">
        <v>27</v>
      </c>
      <c r="B11" s="47"/>
      <c r="C11" s="4"/>
      <c r="D11" s="68"/>
      <c r="E11" s="24"/>
      <c r="F11" s="4"/>
      <c r="G11" s="27"/>
      <c r="H11" s="24"/>
      <c r="I11" s="4"/>
      <c r="J11" s="24"/>
      <c r="K11" s="20">
        <f t="shared" si="6"/>
        <v>0</v>
      </c>
      <c r="L11" s="20">
        <f t="shared" si="4"/>
        <v>0</v>
      </c>
      <c r="M11" s="13" t="e">
        <f t="shared" ref="M11" si="7">100-L11*100/K11</f>
        <v>#DIV/0!</v>
      </c>
      <c r="N11" s="4"/>
      <c r="P11" s="34"/>
    </row>
    <row r="12" spans="1:16" x14ac:dyDescent="0.25">
      <c r="A12" s="23" t="s">
        <v>28</v>
      </c>
      <c r="B12" s="47"/>
      <c r="C12" s="4"/>
      <c r="D12" s="68"/>
      <c r="E12" s="24"/>
      <c r="F12" s="4"/>
      <c r="G12" s="27"/>
      <c r="H12" s="24"/>
      <c r="I12" s="4"/>
      <c r="J12" s="24"/>
      <c r="K12" s="20">
        <f t="shared" si="6"/>
        <v>0</v>
      </c>
      <c r="L12" s="20">
        <f t="shared" si="4"/>
        <v>0</v>
      </c>
      <c r="M12" s="13" t="e">
        <f>100-L12*100/K12</f>
        <v>#DIV/0!</v>
      </c>
      <c r="N12" s="4"/>
      <c r="P12" s="34"/>
    </row>
    <row r="13" spans="1:16" x14ac:dyDescent="0.25">
      <c r="A13" s="31" t="s">
        <v>29</v>
      </c>
      <c r="B13" s="47"/>
      <c r="C13" s="4"/>
      <c r="D13" s="68"/>
      <c r="E13" s="24"/>
      <c r="F13" s="4"/>
      <c r="G13" s="27"/>
      <c r="H13" s="24"/>
      <c r="I13" s="4"/>
      <c r="J13" s="24"/>
      <c r="K13" s="20">
        <f t="shared" si="6"/>
        <v>0</v>
      </c>
      <c r="L13" s="20">
        <f t="shared" si="4"/>
        <v>0</v>
      </c>
      <c r="M13" s="13" t="e">
        <f t="shared" ref="M13" si="8">100-L13*100/K13</f>
        <v>#DIV/0!</v>
      </c>
      <c r="N13" s="4"/>
      <c r="P13" s="34"/>
    </row>
    <row r="14" spans="1:16" x14ac:dyDescent="0.25">
      <c r="A14" s="23" t="s">
        <v>30</v>
      </c>
      <c r="B14" s="47"/>
      <c r="C14" s="4"/>
      <c r="D14" s="68"/>
      <c r="E14" s="24"/>
      <c r="F14" s="4"/>
      <c r="G14" s="27"/>
      <c r="H14" s="26"/>
      <c r="I14" s="4"/>
      <c r="J14" s="24"/>
      <c r="K14" s="20">
        <f>B14+E14+H14</f>
        <v>0</v>
      </c>
      <c r="L14" s="20">
        <f t="shared" si="4"/>
        <v>0</v>
      </c>
      <c r="M14" s="13" t="e">
        <f>100-L14*100/K14</f>
        <v>#DIV/0!</v>
      </c>
      <c r="N14" s="4"/>
      <c r="P14" s="34"/>
    </row>
    <row r="15" spans="1:16" x14ac:dyDescent="0.25">
      <c r="A15" s="23" t="s">
        <v>35</v>
      </c>
      <c r="B15" s="47"/>
      <c r="C15" s="4"/>
      <c r="D15" s="68"/>
      <c r="E15" s="24"/>
      <c r="F15" s="4"/>
      <c r="G15" s="27"/>
      <c r="H15" s="24"/>
      <c r="I15" s="4"/>
      <c r="J15" s="24"/>
      <c r="K15" s="20">
        <f t="shared" ref="K15:K18" si="9">B15+E15+H15</f>
        <v>0</v>
      </c>
      <c r="L15" s="20">
        <f t="shared" si="4"/>
        <v>0</v>
      </c>
      <c r="M15" s="13" t="e">
        <f>100-L15*100/K15</f>
        <v>#DIV/0!</v>
      </c>
      <c r="N15" s="4"/>
      <c r="P15" s="34"/>
    </row>
    <row r="16" spans="1:16" x14ac:dyDescent="0.25">
      <c r="A16" s="23" t="s">
        <v>36</v>
      </c>
      <c r="B16" s="26">
        <f>5948+5948</f>
        <v>11896</v>
      </c>
      <c r="C16" s="4" t="s">
        <v>238</v>
      </c>
      <c r="D16" s="68">
        <v>12444.29</v>
      </c>
      <c r="E16" s="26">
        <v>22005</v>
      </c>
      <c r="F16" s="4" t="s">
        <v>212</v>
      </c>
      <c r="G16" s="27">
        <v>21128.22</v>
      </c>
      <c r="H16" s="24">
        <f>4975+4627+3048</f>
        <v>12650</v>
      </c>
      <c r="I16" s="4" t="s">
        <v>208</v>
      </c>
      <c r="J16" s="24">
        <v>13887</v>
      </c>
      <c r="K16" s="20">
        <f t="shared" si="9"/>
        <v>46551</v>
      </c>
      <c r="L16" s="20">
        <f t="shared" si="4"/>
        <v>47459.51</v>
      </c>
      <c r="M16" s="13">
        <f t="shared" ref="M16" si="10">100-L16*100/K16</f>
        <v>-1.9516444329874787</v>
      </c>
      <c r="N16" s="4"/>
      <c r="P16" s="34"/>
    </row>
    <row r="17" spans="1:16" x14ac:dyDescent="0.25">
      <c r="A17" s="23" t="s">
        <v>37</v>
      </c>
      <c r="B17" s="47"/>
      <c r="C17" s="4"/>
      <c r="D17" s="68"/>
      <c r="E17" s="24"/>
      <c r="F17" s="4"/>
      <c r="G17" s="27"/>
      <c r="H17" s="24"/>
      <c r="I17" s="4"/>
      <c r="J17" s="24"/>
      <c r="K17" s="20">
        <f t="shared" si="9"/>
        <v>0</v>
      </c>
      <c r="L17" s="20">
        <f t="shared" si="4"/>
        <v>0</v>
      </c>
      <c r="M17" s="13" t="e">
        <f>100-L17*100/K17</f>
        <v>#DIV/0!</v>
      </c>
      <c r="N17" s="4"/>
      <c r="P17" s="34"/>
    </row>
    <row r="18" spans="1:16" x14ac:dyDescent="0.25">
      <c r="A18" s="23" t="s">
        <v>38</v>
      </c>
      <c r="B18" s="47"/>
      <c r="C18" s="4"/>
      <c r="D18" s="68"/>
      <c r="E18" s="24"/>
      <c r="F18" s="4"/>
      <c r="G18" s="27"/>
      <c r="H18" s="24"/>
      <c r="I18" s="4"/>
      <c r="J18" s="24"/>
      <c r="K18" s="20">
        <f t="shared" si="9"/>
        <v>0</v>
      </c>
      <c r="L18" s="20">
        <f t="shared" si="4"/>
        <v>0</v>
      </c>
      <c r="M18" s="13" t="e">
        <f t="shared" ref="M18" si="11">100-L18*100/K18</f>
        <v>#DIV/0!</v>
      </c>
      <c r="N18" s="4"/>
      <c r="P18" s="34"/>
    </row>
    <row r="19" spans="1:16" x14ac:dyDescent="0.25">
      <c r="A19" s="23" t="s">
        <v>39</v>
      </c>
      <c r="B19" s="26">
        <f>11883+24490</f>
        <v>36373</v>
      </c>
      <c r="C19" s="4" t="s">
        <v>238</v>
      </c>
      <c r="D19" s="68">
        <f>67230.56/2</f>
        <v>33615.279999999999</v>
      </c>
      <c r="E19" s="24">
        <f>26759+26759</f>
        <v>53518</v>
      </c>
      <c r="F19" s="4" t="s">
        <v>212</v>
      </c>
      <c r="G19" s="27">
        <f>27829.82*2</f>
        <v>55659.64</v>
      </c>
      <c r="H19" s="24"/>
      <c r="I19" s="4"/>
      <c r="J19" s="24"/>
      <c r="K19" s="20">
        <f>B19+E19+H19</f>
        <v>89891</v>
      </c>
      <c r="L19" s="20">
        <f t="shared" si="4"/>
        <v>89274.92</v>
      </c>
      <c r="M19" s="13">
        <f>100-L19*100/K19</f>
        <v>0.68536338454350698</v>
      </c>
      <c r="N19" s="4"/>
      <c r="P19" s="34"/>
    </row>
    <row r="20" spans="1:16" x14ac:dyDescent="0.25">
      <c r="A20" s="23" t="s">
        <v>40</v>
      </c>
      <c r="B20" s="26">
        <f>11883+24490</f>
        <v>36373</v>
      </c>
      <c r="C20" s="4" t="s">
        <v>238</v>
      </c>
      <c r="D20" s="68">
        <f>67230.56/2</f>
        <v>33615.279999999999</v>
      </c>
      <c r="E20" s="24">
        <f>26759+26759</f>
        <v>53518</v>
      </c>
      <c r="F20" s="4" t="s">
        <v>212</v>
      </c>
      <c r="G20" s="27">
        <f>27829.82*2</f>
        <v>55659.64</v>
      </c>
      <c r="H20" s="24"/>
      <c r="I20" s="4"/>
      <c r="J20" s="24"/>
      <c r="K20" s="20">
        <f t="shared" ref="K20:K23" si="12">B20+E20+H20</f>
        <v>89891</v>
      </c>
      <c r="L20" s="20">
        <f t="shared" si="4"/>
        <v>89274.92</v>
      </c>
      <c r="M20" s="13">
        <f>100-L20*100/K20</f>
        <v>0.68536338454350698</v>
      </c>
      <c r="N20" s="4"/>
      <c r="P20" s="34"/>
    </row>
    <row r="21" spans="1:16" x14ac:dyDescent="0.25">
      <c r="A21" s="23" t="s">
        <v>60</v>
      </c>
      <c r="C21" s="4"/>
      <c r="D21" s="68"/>
      <c r="E21" s="24"/>
      <c r="F21" s="4"/>
      <c r="G21" s="27"/>
      <c r="H21" s="24"/>
      <c r="I21" s="4"/>
      <c r="J21" s="27"/>
      <c r="K21" s="20">
        <f>B25+E21+H21</f>
        <v>0</v>
      </c>
      <c r="L21" s="20">
        <f t="shared" si="4"/>
        <v>0</v>
      </c>
      <c r="M21" s="13" t="e">
        <f t="shared" ref="M21" si="13">100-L21*100/K21</f>
        <v>#DIV/0!</v>
      </c>
      <c r="N21" s="4"/>
      <c r="P21" s="34"/>
    </row>
    <row r="22" spans="1:16" x14ac:dyDescent="0.25">
      <c r="A22" s="23" t="s">
        <v>41</v>
      </c>
      <c r="B22" s="26">
        <f>1709+2252+5631+1314+1709</f>
        <v>12615</v>
      </c>
      <c r="C22" s="4"/>
      <c r="D22" s="26">
        <f>21702.51/2</f>
        <v>10851.254999999999</v>
      </c>
      <c r="E22" s="24"/>
      <c r="F22" s="4"/>
      <c r="G22" s="27"/>
      <c r="H22" s="24"/>
      <c r="I22" s="4"/>
      <c r="J22" s="24"/>
      <c r="K22" s="20">
        <f t="shared" si="12"/>
        <v>12615</v>
      </c>
      <c r="L22" s="20">
        <f t="shared" si="4"/>
        <v>10851.254999999999</v>
      </c>
      <c r="M22" s="13">
        <f>100-L22*100/K22</f>
        <v>13.981331747919143</v>
      </c>
      <c r="N22" s="16"/>
      <c r="P22" s="34"/>
    </row>
    <row r="23" spans="1:16" x14ac:dyDescent="0.25">
      <c r="A23" s="23" t="s">
        <v>42</v>
      </c>
      <c r="B23" s="26">
        <f>1709+2252+5631+1314+1709</f>
        <v>12615</v>
      </c>
      <c r="C23" s="4" t="s">
        <v>238</v>
      </c>
      <c r="D23" s="26">
        <f>21702.51/2</f>
        <v>10851.254999999999</v>
      </c>
      <c r="E23" s="26"/>
      <c r="F23" s="4"/>
      <c r="G23" s="27"/>
      <c r="H23" s="24"/>
      <c r="I23" s="4"/>
      <c r="J23" s="24"/>
      <c r="K23" s="20">
        <f t="shared" si="12"/>
        <v>12615</v>
      </c>
      <c r="L23" s="20">
        <f t="shared" si="4"/>
        <v>10851.254999999999</v>
      </c>
      <c r="M23" s="13">
        <f t="shared" ref="M23" si="14">100-L23*100/K23</f>
        <v>13.981331747919143</v>
      </c>
      <c r="N23" s="4"/>
      <c r="P23" s="34"/>
    </row>
    <row r="24" spans="1:16" x14ac:dyDescent="0.25">
      <c r="A24" s="23" t="s">
        <v>43</v>
      </c>
      <c r="B24" s="26">
        <f>1611+3221</f>
        <v>4832</v>
      </c>
      <c r="C24" s="4" t="s">
        <v>238</v>
      </c>
      <c r="D24" s="68">
        <v>5556.29</v>
      </c>
      <c r="E24" s="24">
        <v>8830</v>
      </c>
      <c r="F24" s="4" t="s">
        <v>212</v>
      </c>
      <c r="G24" s="27">
        <v>9440</v>
      </c>
      <c r="H24" s="24"/>
      <c r="I24" s="4"/>
      <c r="J24" s="24"/>
      <c r="K24" s="20">
        <f t="shared" ref="K24:K27" si="15">B24+E24+H24</f>
        <v>13662</v>
      </c>
      <c r="L24" s="20">
        <f t="shared" si="4"/>
        <v>14996.29</v>
      </c>
      <c r="M24" s="13">
        <f>100-L24*100/K24</f>
        <v>-9.7664324403454827</v>
      </c>
      <c r="N24" s="16" t="s">
        <v>467</v>
      </c>
      <c r="P24" s="34"/>
    </row>
    <row r="25" spans="1:16" x14ac:dyDescent="0.25">
      <c r="A25" s="23" t="s">
        <v>44</v>
      </c>
      <c r="B25" s="47"/>
      <c r="C25" s="4"/>
      <c r="D25" s="24"/>
      <c r="E25" s="24"/>
      <c r="F25" s="4"/>
      <c r="G25" s="27"/>
      <c r="H25" s="24"/>
      <c r="I25" s="4"/>
      <c r="J25" s="24"/>
      <c r="K25" s="20" t="e">
        <f>#REF!+E25+H25</f>
        <v>#REF!</v>
      </c>
      <c r="L25" s="20">
        <f t="shared" si="4"/>
        <v>0</v>
      </c>
      <c r="M25" s="13" t="e">
        <f t="shared" ref="M25" si="16">100-L25*100/K25</f>
        <v>#REF!</v>
      </c>
      <c r="N25" s="4"/>
      <c r="P25" s="34"/>
    </row>
    <row r="26" spans="1:16" x14ac:dyDescent="0.25">
      <c r="A26" s="23" t="s">
        <v>45</v>
      </c>
      <c r="B26" s="26">
        <v>1364</v>
      </c>
      <c r="C26" s="4" t="s">
        <v>238</v>
      </c>
      <c r="D26" s="68">
        <v>1578.54</v>
      </c>
      <c r="E26" s="24">
        <f>913+913</f>
        <v>1826</v>
      </c>
      <c r="F26" s="4" t="s">
        <v>212</v>
      </c>
      <c r="G26" s="27">
        <v>1773.62</v>
      </c>
      <c r="H26" s="24"/>
      <c r="I26" s="4"/>
      <c r="J26" s="24"/>
      <c r="K26" s="20">
        <f t="shared" si="15"/>
        <v>3190</v>
      </c>
      <c r="L26" s="20">
        <f t="shared" si="4"/>
        <v>3352.16</v>
      </c>
      <c r="M26" s="13">
        <f>100-L26*100/K26</f>
        <v>-5.0833855799372998</v>
      </c>
      <c r="N26" s="4"/>
      <c r="P26" s="34"/>
    </row>
    <row r="27" spans="1:16" x14ac:dyDescent="0.25">
      <c r="A27" s="23" t="s">
        <v>46</v>
      </c>
      <c r="B27" s="26"/>
      <c r="C27" s="4"/>
      <c r="D27" s="68"/>
      <c r="E27" s="24"/>
      <c r="F27" s="4"/>
      <c r="G27" s="27"/>
      <c r="H27" s="24"/>
      <c r="I27" s="4"/>
      <c r="J27" s="24"/>
      <c r="K27" s="20">
        <f t="shared" si="15"/>
        <v>0</v>
      </c>
      <c r="L27" s="20">
        <f t="shared" si="4"/>
        <v>0</v>
      </c>
      <c r="M27" s="13" t="e">
        <f t="shared" ref="M27" si="17">100-L27*100/K27</f>
        <v>#DIV/0!</v>
      </c>
      <c r="N27" s="4"/>
      <c r="P27" s="34"/>
    </row>
    <row r="28" spans="1:16" x14ac:dyDescent="0.25">
      <c r="A28" s="23" t="s">
        <v>47</v>
      </c>
      <c r="B28" s="26"/>
      <c r="C28" s="4"/>
      <c r="D28" s="68"/>
      <c r="E28" s="24"/>
      <c r="F28" s="4"/>
      <c r="G28" s="27"/>
      <c r="H28" s="24"/>
      <c r="I28" s="4"/>
      <c r="J28" s="24"/>
      <c r="K28" s="20">
        <f>B28+E28+H28</f>
        <v>0</v>
      </c>
      <c r="L28" s="20">
        <f t="shared" si="4"/>
        <v>0</v>
      </c>
      <c r="M28" s="13" t="e">
        <f>100-L28*100/K28</f>
        <v>#DIV/0!</v>
      </c>
      <c r="N28" s="4"/>
      <c r="P28" s="34"/>
    </row>
    <row r="29" spans="1:16" x14ac:dyDescent="0.25">
      <c r="A29" s="23" t="s">
        <v>48</v>
      </c>
      <c r="B29" s="26"/>
      <c r="C29" s="4"/>
      <c r="D29" s="68"/>
      <c r="E29" s="24"/>
      <c r="F29" s="4"/>
      <c r="G29" s="27"/>
      <c r="H29" s="24"/>
      <c r="I29" s="4"/>
      <c r="J29" s="24"/>
      <c r="K29" s="20">
        <f t="shared" ref="K29:K31" si="18">B29+E29+H29</f>
        <v>0</v>
      </c>
      <c r="L29" s="20">
        <f t="shared" si="4"/>
        <v>0</v>
      </c>
      <c r="M29" s="13" t="e">
        <f>100-L29*100/K29</f>
        <v>#DIV/0!</v>
      </c>
      <c r="N29" s="4"/>
      <c r="P29" s="34"/>
    </row>
    <row r="30" spans="1:16" x14ac:dyDescent="0.25">
      <c r="A30" s="23" t="s">
        <v>49</v>
      </c>
      <c r="B30" s="26"/>
      <c r="C30" s="4"/>
      <c r="D30" s="68"/>
      <c r="E30" s="24"/>
      <c r="F30" s="4"/>
      <c r="G30" s="27"/>
      <c r="H30" s="24"/>
      <c r="I30" s="4"/>
      <c r="J30" s="24"/>
      <c r="K30" s="20">
        <f t="shared" si="18"/>
        <v>0</v>
      </c>
      <c r="L30" s="20">
        <f t="shared" si="4"/>
        <v>0</v>
      </c>
      <c r="M30" s="13" t="e">
        <f t="shared" ref="M30" si="19">100-L30*100/K30</f>
        <v>#DIV/0!</v>
      </c>
      <c r="N30" s="4"/>
      <c r="P30" s="34"/>
    </row>
    <row r="31" spans="1:16" x14ac:dyDescent="0.25">
      <c r="A31" s="23" t="s">
        <v>50</v>
      </c>
      <c r="B31" s="26"/>
      <c r="C31" s="4"/>
      <c r="D31" s="68"/>
      <c r="E31" s="24"/>
      <c r="F31" s="4"/>
      <c r="G31" s="27"/>
      <c r="H31" s="24"/>
      <c r="I31" s="4"/>
      <c r="J31" s="24"/>
      <c r="K31" s="20">
        <f t="shared" si="18"/>
        <v>0</v>
      </c>
      <c r="L31" s="20">
        <f t="shared" si="4"/>
        <v>0</v>
      </c>
      <c r="M31" s="13" t="e">
        <f>100-L31*100/K31</f>
        <v>#DIV/0!</v>
      </c>
      <c r="N31" s="4"/>
      <c r="P31" s="34"/>
    </row>
    <row r="32" spans="1:16" x14ac:dyDescent="0.25">
      <c r="A32" s="23" t="s">
        <v>51</v>
      </c>
      <c r="B32" s="26"/>
      <c r="C32" s="4"/>
      <c r="D32" s="68"/>
      <c r="E32" s="24"/>
      <c r="F32" s="4"/>
      <c r="G32" s="27"/>
      <c r="H32" s="24"/>
      <c r="I32" s="4"/>
      <c r="J32" s="24"/>
      <c r="K32" s="20">
        <f t="shared" ref="K32:K33" si="20">B32+E32+H32</f>
        <v>0</v>
      </c>
      <c r="L32" s="20">
        <f t="shared" ref="L32:L42" si="21">D32+G32+J32</f>
        <v>0</v>
      </c>
      <c r="M32" s="13" t="e">
        <f>100-L32*100/K32</f>
        <v>#DIV/0!</v>
      </c>
      <c r="N32" s="4"/>
      <c r="P32" s="34"/>
    </row>
    <row r="33" spans="1:16" x14ac:dyDescent="0.25">
      <c r="A33" s="23" t="s">
        <v>52</v>
      </c>
      <c r="B33" s="26"/>
      <c r="C33" s="4"/>
      <c r="D33" s="68"/>
      <c r="E33" s="24"/>
      <c r="F33" s="4"/>
      <c r="G33" s="27"/>
      <c r="H33" s="24"/>
      <c r="I33" s="4"/>
      <c r="J33" s="24"/>
      <c r="K33" s="20">
        <f t="shared" si="20"/>
        <v>0</v>
      </c>
      <c r="L33" s="20">
        <f t="shared" si="21"/>
        <v>0</v>
      </c>
      <c r="M33" s="13" t="e">
        <f t="shared" ref="M33" si="22">100-L33*100/K33</f>
        <v>#DIV/0!</v>
      </c>
      <c r="N33" s="4"/>
      <c r="P33" s="34"/>
    </row>
    <row r="34" spans="1:16" x14ac:dyDescent="0.25">
      <c r="A34" s="23" t="s">
        <v>53</v>
      </c>
      <c r="B34" s="26"/>
      <c r="C34" s="4"/>
      <c r="D34" s="68"/>
      <c r="E34" s="24"/>
      <c r="F34" s="4"/>
      <c r="G34" s="27"/>
      <c r="H34" s="24"/>
      <c r="I34" s="4"/>
      <c r="J34" s="24"/>
      <c r="K34" s="20">
        <f>B34+E34+H34</f>
        <v>0</v>
      </c>
      <c r="L34" s="20">
        <f t="shared" si="21"/>
        <v>0</v>
      </c>
      <c r="M34" s="13" t="e">
        <f>100-L34*100/K34</f>
        <v>#DIV/0!</v>
      </c>
      <c r="N34" s="4"/>
      <c r="P34" s="34"/>
    </row>
    <row r="35" spans="1:16" x14ac:dyDescent="0.25">
      <c r="A35" s="23" t="s">
        <v>54</v>
      </c>
      <c r="B35" s="26"/>
      <c r="C35" s="4"/>
      <c r="D35" s="68"/>
      <c r="E35" s="24"/>
      <c r="F35" s="4"/>
      <c r="G35" s="27"/>
      <c r="H35" s="24"/>
      <c r="I35" s="4"/>
      <c r="J35" s="24"/>
      <c r="K35" s="20">
        <f t="shared" ref="K35:K38" si="23">B35+E35+H35</f>
        <v>0</v>
      </c>
      <c r="L35" s="20">
        <f t="shared" si="21"/>
        <v>0</v>
      </c>
      <c r="M35" s="13" t="e">
        <f>100-L35*100/K35</f>
        <v>#DIV/0!</v>
      </c>
      <c r="N35" s="4"/>
      <c r="P35" s="34"/>
    </row>
    <row r="36" spans="1:16" x14ac:dyDescent="0.25">
      <c r="A36" s="23" t="s">
        <v>55</v>
      </c>
      <c r="B36" s="26"/>
      <c r="C36" s="4"/>
      <c r="D36" s="68"/>
      <c r="E36" s="24"/>
      <c r="F36" s="4"/>
      <c r="G36" s="27"/>
      <c r="H36" s="24"/>
      <c r="I36" s="4"/>
      <c r="J36" s="24"/>
      <c r="K36" s="20">
        <f t="shared" si="23"/>
        <v>0</v>
      </c>
      <c r="L36" s="20">
        <f t="shared" si="21"/>
        <v>0</v>
      </c>
      <c r="M36" s="13" t="e">
        <f t="shared" ref="M36" si="24">100-L36*100/K36</f>
        <v>#DIV/0!</v>
      </c>
      <c r="N36" s="4"/>
      <c r="P36" s="34"/>
    </row>
    <row r="37" spans="1:16" x14ac:dyDescent="0.25">
      <c r="A37" s="23" t="s">
        <v>56</v>
      </c>
      <c r="B37" s="26"/>
      <c r="C37" s="4"/>
      <c r="D37" s="68"/>
      <c r="E37" s="24"/>
      <c r="F37" s="4"/>
      <c r="G37" s="27"/>
      <c r="H37" s="24"/>
      <c r="I37" s="4"/>
      <c r="J37" s="24"/>
      <c r="K37" s="20">
        <f t="shared" si="23"/>
        <v>0</v>
      </c>
      <c r="L37" s="20">
        <f t="shared" si="21"/>
        <v>0</v>
      </c>
      <c r="M37" s="13" t="e">
        <f>100-L37*100/K37</f>
        <v>#DIV/0!</v>
      </c>
      <c r="N37" s="42"/>
      <c r="O37" s="42"/>
      <c r="P37" s="34"/>
    </row>
    <row r="38" spans="1:16" x14ac:dyDescent="0.25">
      <c r="A38" s="23" t="s">
        <v>57</v>
      </c>
      <c r="B38" s="26"/>
      <c r="C38" s="4"/>
      <c r="D38" s="68"/>
      <c r="E38" s="24"/>
      <c r="F38" s="4"/>
      <c r="G38" s="27"/>
      <c r="H38" s="24"/>
      <c r="I38" s="4"/>
      <c r="J38" s="24"/>
      <c r="K38" s="20">
        <f t="shared" si="23"/>
        <v>0</v>
      </c>
      <c r="L38" s="20">
        <f t="shared" si="21"/>
        <v>0</v>
      </c>
      <c r="M38" s="13" t="e">
        <f t="shared" ref="M38" si="25">100-L38*100/K38</f>
        <v>#DIV/0!</v>
      </c>
      <c r="N38" s="4"/>
      <c r="P38" s="34"/>
    </row>
    <row r="39" spans="1:16" x14ac:dyDescent="0.25">
      <c r="A39" s="23" t="s">
        <v>58</v>
      </c>
      <c r="B39" s="26"/>
      <c r="C39" s="4"/>
      <c r="D39" s="68"/>
      <c r="E39" s="24"/>
      <c r="F39" s="4"/>
      <c r="G39" s="27"/>
      <c r="H39" s="24"/>
      <c r="I39" s="4"/>
      <c r="J39" s="24"/>
      <c r="K39" s="20">
        <f>B39+E39+H39</f>
        <v>0</v>
      </c>
      <c r="L39" s="20">
        <f t="shared" si="21"/>
        <v>0</v>
      </c>
      <c r="M39" s="13" t="e">
        <f>100-L39*100/K39</f>
        <v>#DIV/0!</v>
      </c>
      <c r="N39" s="4"/>
      <c r="P39" s="34"/>
    </row>
    <row r="40" spans="1:16" x14ac:dyDescent="0.25">
      <c r="A40" s="23" t="s">
        <v>59</v>
      </c>
      <c r="B40" s="26"/>
      <c r="C40" s="4"/>
      <c r="D40" s="24"/>
      <c r="E40" s="24"/>
      <c r="F40" s="4"/>
      <c r="G40" s="27"/>
      <c r="H40" s="24"/>
      <c r="I40" s="4"/>
      <c r="J40" s="24"/>
      <c r="K40" s="20">
        <f t="shared" ref="K40:K42" si="26">B40+E40+H40</f>
        <v>0</v>
      </c>
      <c r="L40" s="20">
        <f t="shared" si="21"/>
        <v>0</v>
      </c>
      <c r="M40" s="13" t="e">
        <f>100-L40*100/K40</f>
        <v>#DIV/0!</v>
      </c>
      <c r="N40" s="4"/>
      <c r="P40" s="34"/>
    </row>
    <row r="41" spans="1:16" x14ac:dyDescent="0.25">
      <c r="A41" s="23" t="s">
        <v>64</v>
      </c>
      <c r="B41" s="26"/>
      <c r="C41" s="4"/>
      <c r="D41" s="24"/>
      <c r="E41" s="24"/>
      <c r="F41" s="4"/>
      <c r="G41" s="27"/>
      <c r="H41" s="24"/>
      <c r="I41" s="4"/>
      <c r="J41" s="24"/>
      <c r="K41" s="20">
        <f t="shared" si="26"/>
        <v>0</v>
      </c>
      <c r="L41" s="20">
        <f t="shared" si="21"/>
        <v>0</v>
      </c>
      <c r="M41" s="13" t="e">
        <f t="shared" ref="M41" si="27">100-L41*100/K41</f>
        <v>#DIV/0!</v>
      </c>
      <c r="N41" s="4"/>
      <c r="P41" s="34"/>
    </row>
    <row r="42" spans="1:16" x14ac:dyDescent="0.25">
      <c r="A42" s="23" t="s">
        <v>65</v>
      </c>
      <c r="B42" s="26"/>
      <c r="C42" s="4"/>
      <c r="D42" s="24"/>
      <c r="E42" s="24"/>
      <c r="F42" s="4"/>
      <c r="G42" s="27"/>
      <c r="H42" s="24"/>
      <c r="I42" s="4"/>
      <c r="J42" s="24"/>
      <c r="K42" s="20">
        <f t="shared" si="26"/>
        <v>0</v>
      </c>
      <c r="L42" s="20">
        <f t="shared" si="21"/>
        <v>0</v>
      </c>
      <c r="M42" s="13" t="e">
        <f>100-L42*100/K42</f>
        <v>#DIV/0!</v>
      </c>
      <c r="N42" s="4"/>
      <c r="P42" s="34"/>
    </row>
    <row r="43" spans="1:16" x14ac:dyDescent="0.25">
      <c r="A43" s="23" t="s">
        <v>70</v>
      </c>
      <c r="B43" s="26"/>
      <c r="C43" s="4"/>
      <c r="D43" s="24"/>
      <c r="E43" s="24"/>
      <c r="F43" s="4"/>
      <c r="G43" s="27"/>
      <c r="H43" s="24"/>
      <c r="I43" s="4"/>
      <c r="J43" s="24"/>
      <c r="K43" s="20">
        <f t="shared" ref="K43:K47" si="28">B43+E43+H43</f>
        <v>0</v>
      </c>
      <c r="L43" s="20">
        <f t="shared" ref="L43:L47" si="29">D43+G43+J43</f>
        <v>0</v>
      </c>
      <c r="M43" s="13" t="e">
        <f t="shared" ref="M43:M84" si="30">100-L43*100/K43</f>
        <v>#DIV/0!</v>
      </c>
      <c r="N43" s="16"/>
      <c r="P43" s="34"/>
    </row>
    <row r="44" spans="1:16" x14ac:dyDescent="0.25">
      <c r="A44" s="23" t="s">
        <v>71</v>
      </c>
      <c r="B44" s="26"/>
      <c r="C44" s="4"/>
      <c r="D44" s="24"/>
      <c r="E44" s="24"/>
      <c r="F44" s="4"/>
      <c r="G44" s="24"/>
      <c r="H44" s="24"/>
      <c r="I44" s="4"/>
      <c r="J44" s="24"/>
      <c r="K44" s="20">
        <f t="shared" si="28"/>
        <v>0</v>
      </c>
      <c r="L44" s="20">
        <f t="shared" si="29"/>
        <v>0</v>
      </c>
      <c r="M44" s="13" t="e">
        <f t="shared" si="30"/>
        <v>#DIV/0!</v>
      </c>
      <c r="N44" s="4"/>
      <c r="P44" s="34"/>
    </row>
    <row r="45" spans="1:16" x14ac:dyDescent="0.25">
      <c r="A45" s="23" t="s">
        <v>73</v>
      </c>
      <c r="B45" s="26"/>
      <c r="C45" s="4"/>
      <c r="D45" s="24"/>
      <c r="E45" s="24"/>
      <c r="F45" s="4"/>
      <c r="G45" s="24"/>
      <c r="H45" s="24"/>
      <c r="I45" s="4"/>
      <c r="J45" s="24"/>
      <c r="K45" s="20">
        <f t="shared" si="28"/>
        <v>0</v>
      </c>
      <c r="L45" s="20">
        <f t="shared" si="29"/>
        <v>0</v>
      </c>
      <c r="M45" s="13" t="e">
        <f t="shared" si="30"/>
        <v>#DIV/0!</v>
      </c>
      <c r="N45" s="4"/>
      <c r="P45" s="34"/>
    </row>
    <row r="46" spans="1:16" x14ac:dyDescent="0.25">
      <c r="A46" s="23" t="s">
        <v>74</v>
      </c>
      <c r="B46" s="26"/>
      <c r="C46" s="4"/>
      <c r="D46" s="24"/>
      <c r="E46" s="24"/>
      <c r="F46" s="4"/>
      <c r="G46" s="27"/>
      <c r="H46" s="26"/>
      <c r="I46" s="4"/>
      <c r="J46" s="24"/>
      <c r="K46" s="20">
        <f t="shared" si="28"/>
        <v>0</v>
      </c>
      <c r="L46" s="20">
        <f t="shared" si="29"/>
        <v>0</v>
      </c>
      <c r="M46" s="13" t="e">
        <f t="shared" si="30"/>
        <v>#DIV/0!</v>
      </c>
      <c r="N46" s="4"/>
      <c r="P46" s="34"/>
    </row>
    <row r="47" spans="1:16" x14ac:dyDescent="0.25">
      <c r="A47" s="67" t="s">
        <v>75</v>
      </c>
      <c r="B47" s="26"/>
      <c r="C47" s="4"/>
      <c r="D47" s="24"/>
      <c r="E47" s="24"/>
      <c r="F47" s="4"/>
      <c r="G47" s="24"/>
      <c r="H47" s="24"/>
      <c r="I47" s="28"/>
      <c r="J47" s="24"/>
      <c r="K47" s="20">
        <f t="shared" si="28"/>
        <v>0</v>
      </c>
      <c r="L47" s="20">
        <f t="shared" si="29"/>
        <v>0</v>
      </c>
      <c r="M47" s="13" t="e">
        <f t="shared" si="30"/>
        <v>#DIV/0!</v>
      </c>
      <c r="N47" s="16"/>
      <c r="P47" s="34"/>
    </row>
    <row r="48" spans="1:16" x14ac:dyDescent="0.25">
      <c r="A48" s="23" t="s">
        <v>76</v>
      </c>
      <c r="B48" s="26"/>
      <c r="C48" s="4"/>
      <c r="D48" s="24"/>
      <c r="E48" s="24"/>
      <c r="F48" s="4"/>
      <c r="G48" s="24"/>
      <c r="H48" s="24"/>
      <c r="I48" s="4"/>
      <c r="J48" s="24"/>
      <c r="K48" s="20">
        <f>B48+E48+H48</f>
        <v>0</v>
      </c>
      <c r="L48" s="20">
        <f>D48+G48+J48</f>
        <v>0</v>
      </c>
      <c r="M48" s="13" t="e">
        <f t="shared" si="30"/>
        <v>#DIV/0!</v>
      </c>
      <c r="N48" s="4"/>
      <c r="P48" s="34"/>
    </row>
    <row r="49" spans="1:16" x14ac:dyDescent="0.25">
      <c r="A49" s="23" t="s">
        <v>77</v>
      </c>
      <c r="B49" s="26"/>
      <c r="C49" s="4"/>
      <c r="D49" s="24"/>
      <c r="E49" s="24"/>
      <c r="F49" s="4"/>
      <c r="G49" s="24"/>
      <c r="H49" s="24"/>
      <c r="I49" s="4"/>
      <c r="J49" s="24"/>
      <c r="K49" s="20">
        <f t="shared" ref="K49:K53" si="31">B49+E49+H49</f>
        <v>0</v>
      </c>
      <c r="L49" s="20">
        <f t="shared" ref="L49:L53" si="32">D49+G49+J49</f>
        <v>0</v>
      </c>
      <c r="M49" s="13" t="e">
        <f t="shared" si="30"/>
        <v>#DIV/0!</v>
      </c>
      <c r="N49" s="4"/>
      <c r="P49" s="34"/>
    </row>
    <row r="50" spans="1:16" x14ac:dyDescent="0.25">
      <c r="A50" s="23" t="s">
        <v>78</v>
      </c>
      <c r="B50" s="26"/>
      <c r="C50" s="4"/>
      <c r="D50" s="24"/>
      <c r="E50" s="24"/>
      <c r="F50" s="4"/>
      <c r="G50" s="24"/>
      <c r="H50" s="24"/>
      <c r="I50" s="4"/>
      <c r="J50" s="24"/>
      <c r="K50" s="20">
        <f t="shared" si="31"/>
        <v>0</v>
      </c>
      <c r="L50" s="20">
        <f t="shared" si="32"/>
        <v>0</v>
      </c>
      <c r="M50" s="13" t="e">
        <f t="shared" si="30"/>
        <v>#DIV/0!</v>
      </c>
      <c r="N50" s="4"/>
      <c r="P50" s="34"/>
    </row>
    <row r="51" spans="1:16" x14ac:dyDescent="0.25">
      <c r="A51" s="23" t="s">
        <v>225</v>
      </c>
      <c r="B51" s="26"/>
      <c r="C51" s="4"/>
      <c r="D51" s="24"/>
      <c r="E51" s="24"/>
      <c r="F51" s="4"/>
      <c r="G51" s="27"/>
      <c r="H51" s="24"/>
      <c r="I51" s="4"/>
      <c r="J51" s="24"/>
      <c r="K51" s="20">
        <f>B40+E51+H51</f>
        <v>0</v>
      </c>
      <c r="L51" s="20">
        <f t="shared" si="32"/>
        <v>0</v>
      </c>
      <c r="M51" s="13" t="e">
        <f t="shared" si="30"/>
        <v>#DIV/0!</v>
      </c>
      <c r="N51" s="4"/>
      <c r="P51" s="34"/>
    </row>
    <row r="52" spans="1:16" x14ac:dyDescent="0.25">
      <c r="A52" s="23" t="s">
        <v>226</v>
      </c>
      <c r="B52" s="26"/>
      <c r="C52" s="4"/>
      <c r="D52" s="24"/>
      <c r="E52" s="24"/>
      <c r="F52" s="4"/>
      <c r="G52" s="27"/>
      <c r="H52" s="24"/>
      <c r="I52" s="4"/>
      <c r="J52" s="24"/>
      <c r="K52" s="20">
        <f t="shared" si="31"/>
        <v>0</v>
      </c>
      <c r="L52" s="20">
        <f t="shared" si="32"/>
        <v>0</v>
      </c>
      <c r="M52" s="13" t="e">
        <f t="shared" si="30"/>
        <v>#DIV/0!</v>
      </c>
      <c r="N52" s="4"/>
      <c r="P52" s="34"/>
    </row>
    <row r="53" spans="1:16" x14ac:dyDescent="0.25">
      <c r="A53" s="23" t="s">
        <v>227</v>
      </c>
      <c r="B53" s="26"/>
      <c r="C53" s="4"/>
      <c r="D53" s="24"/>
      <c r="E53" s="24"/>
      <c r="F53" s="4"/>
      <c r="G53" s="27"/>
      <c r="H53" s="24"/>
      <c r="I53" s="4"/>
      <c r="J53" s="24"/>
      <c r="K53" s="20">
        <f t="shared" si="31"/>
        <v>0</v>
      </c>
      <c r="L53" s="20">
        <f t="shared" si="32"/>
        <v>0</v>
      </c>
      <c r="M53" s="13" t="e">
        <f t="shared" si="30"/>
        <v>#DIV/0!</v>
      </c>
      <c r="N53" s="4"/>
      <c r="P53" s="34"/>
    </row>
    <row r="54" spans="1:16" x14ac:dyDescent="0.25">
      <c r="A54" s="23" t="s">
        <v>176</v>
      </c>
      <c r="B54" s="26"/>
      <c r="C54" s="4"/>
      <c r="D54" s="24"/>
      <c r="E54" s="24"/>
      <c r="F54" s="4"/>
      <c r="G54" s="24"/>
      <c r="H54" s="24"/>
      <c r="I54" s="4"/>
      <c r="J54" s="24"/>
      <c r="K54" s="20">
        <f>B54+E54+H54</f>
        <v>0</v>
      </c>
      <c r="L54" s="20">
        <f>D54+G54+J54</f>
        <v>0</v>
      </c>
      <c r="M54" s="13" t="e">
        <f t="shared" si="30"/>
        <v>#DIV/0!</v>
      </c>
      <c r="N54" s="4"/>
      <c r="P54" s="34"/>
    </row>
    <row r="55" spans="1:16" x14ac:dyDescent="0.25">
      <c r="A55" s="23" t="s">
        <v>177</v>
      </c>
      <c r="B55" s="26"/>
      <c r="C55" s="4"/>
      <c r="D55" s="24"/>
      <c r="E55" s="24"/>
      <c r="F55" s="4"/>
      <c r="G55" s="27"/>
      <c r="H55" s="24"/>
      <c r="I55" s="4"/>
      <c r="J55" s="24"/>
      <c r="K55" s="20">
        <f t="shared" ref="K55:K59" si="33">B55+E55+H55</f>
        <v>0</v>
      </c>
      <c r="L55" s="20">
        <f t="shared" ref="L55:L59" si="34">D55+G55+J55</f>
        <v>0</v>
      </c>
      <c r="M55" s="13" t="e">
        <f t="shared" si="30"/>
        <v>#DIV/0!</v>
      </c>
      <c r="N55" s="4"/>
      <c r="P55" s="34"/>
    </row>
    <row r="56" spans="1:16" x14ac:dyDescent="0.25">
      <c r="A56" s="23" t="s">
        <v>86</v>
      </c>
      <c r="B56" s="26"/>
      <c r="C56" s="4"/>
      <c r="D56" s="24"/>
      <c r="E56" s="24"/>
      <c r="F56" s="4"/>
      <c r="G56" s="24"/>
      <c r="H56" s="24"/>
      <c r="I56" s="4"/>
      <c r="J56" s="24"/>
      <c r="K56" s="20">
        <f t="shared" si="33"/>
        <v>0</v>
      </c>
      <c r="L56" s="20">
        <f t="shared" si="34"/>
        <v>0</v>
      </c>
      <c r="M56" s="13" t="e">
        <f t="shared" si="30"/>
        <v>#DIV/0!</v>
      </c>
      <c r="N56" s="4"/>
      <c r="P56" s="34"/>
    </row>
    <row r="57" spans="1:16" x14ac:dyDescent="0.25">
      <c r="A57" s="23" t="s">
        <v>87</v>
      </c>
      <c r="B57" s="26"/>
      <c r="C57" s="4"/>
      <c r="D57" s="24"/>
      <c r="E57" s="24"/>
      <c r="F57" s="4"/>
      <c r="G57" s="27"/>
      <c r="H57" s="24"/>
      <c r="I57" s="4"/>
      <c r="J57" s="24"/>
      <c r="K57" s="20">
        <f t="shared" si="33"/>
        <v>0</v>
      </c>
      <c r="L57" s="20">
        <f t="shared" si="34"/>
        <v>0</v>
      </c>
      <c r="M57" s="13" t="e">
        <f t="shared" si="30"/>
        <v>#DIV/0!</v>
      </c>
      <c r="N57" s="4"/>
      <c r="P57" s="34"/>
    </row>
    <row r="58" spans="1:16" x14ac:dyDescent="0.25">
      <c r="A58" s="23" t="s">
        <v>88</v>
      </c>
      <c r="B58" s="26"/>
      <c r="C58" s="4"/>
      <c r="D58" s="24"/>
      <c r="E58" s="24"/>
      <c r="F58" s="4"/>
      <c r="G58" s="27"/>
      <c r="H58" s="24"/>
      <c r="I58" s="4"/>
      <c r="J58" s="24"/>
      <c r="K58" s="20">
        <f t="shared" si="33"/>
        <v>0</v>
      </c>
      <c r="L58" s="20">
        <f t="shared" si="34"/>
        <v>0</v>
      </c>
      <c r="M58" s="13" t="e">
        <f t="shared" si="30"/>
        <v>#DIV/0!</v>
      </c>
      <c r="N58" s="4"/>
      <c r="P58" s="34"/>
    </row>
    <row r="59" spans="1:16" x14ac:dyDescent="0.25">
      <c r="A59" s="23" t="s">
        <v>89</v>
      </c>
      <c r="B59" s="26"/>
      <c r="C59" s="4"/>
      <c r="D59" s="24"/>
      <c r="E59" s="24"/>
      <c r="F59" s="4"/>
      <c r="G59" s="27"/>
      <c r="H59" s="24"/>
      <c r="I59" s="4"/>
      <c r="J59" s="24"/>
      <c r="K59" s="20">
        <f t="shared" si="33"/>
        <v>0</v>
      </c>
      <c r="L59" s="20">
        <f t="shared" si="34"/>
        <v>0</v>
      </c>
      <c r="M59" s="13" t="e">
        <f t="shared" si="30"/>
        <v>#DIV/0!</v>
      </c>
      <c r="N59" s="4"/>
      <c r="P59" s="34"/>
    </row>
    <row r="60" spans="1:16" x14ac:dyDescent="0.25">
      <c r="A60" s="23" t="s">
        <v>90</v>
      </c>
      <c r="B60" s="26"/>
      <c r="C60" s="4"/>
      <c r="D60" s="24"/>
      <c r="E60" s="24"/>
      <c r="F60" s="4"/>
      <c r="G60" s="27"/>
      <c r="H60" s="24"/>
      <c r="I60" s="4"/>
      <c r="J60" s="24"/>
      <c r="K60" s="20">
        <f>B60+E60+H60</f>
        <v>0</v>
      </c>
      <c r="L60" s="20">
        <f>D60+G60+J60</f>
        <v>0</v>
      </c>
      <c r="M60" s="13" t="e">
        <f t="shared" si="30"/>
        <v>#DIV/0!</v>
      </c>
      <c r="N60" s="4"/>
      <c r="P60" s="34"/>
    </row>
    <row r="61" spans="1:16" x14ac:dyDescent="0.25">
      <c r="A61" s="23" t="s">
        <v>96</v>
      </c>
      <c r="B61" s="26"/>
      <c r="C61" s="4"/>
      <c r="D61" s="24"/>
      <c r="E61" s="24"/>
      <c r="F61" s="4"/>
      <c r="G61" s="27"/>
      <c r="H61" s="24"/>
      <c r="I61" s="4"/>
      <c r="J61" s="24"/>
      <c r="K61" s="20">
        <f t="shared" ref="K61:K67" si="35">B61+E61+H61</f>
        <v>0</v>
      </c>
      <c r="L61" s="20">
        <f t="shared" ref="L61:L67" si="36">D61+G61+J61</f>
        <v>0</v>
      </c>
      <c r="M61" s="13" t="e">
        <f t="shared" si="30"/>
        <v>#DIV/0!</v>
      </c>
      <c r="N61" s="4"/>
      <c r="P61" s="34"/>
    </row>
    <row r="62" spans="1:16" x14ac:dyDescent="0.25">
      <c r="A62" s="23" t="s">
        <v>97</v>
      </c>
      <c r="B62" s="26"/>
      <c r="C62" s="4"/>
      <c r="D62" s="24"/>
      <c r="E62" s="24"/>
      <c r="F62" s="4"/>
      <c r="G62" s="27"/>
      <c r="H62" s="24"/>
      <c r="I62" s="4"/>
      <c r="J62" s="24"/>
      <c r="K62" s="20">
        <f t="shared" si="35"/>
        <v>0</v>
      </c>
      <c r="L62" s="20">
        <f t="shared" si="36"/>
        <v>0</v>
      </c>
      <c r="M62" s="13" t="e">
        <f t="shared" si="30"/>
        <v>#DIV/0!</v>
      </c>
      <c r="N62" s="4"/>
      <c r="P62" s="34"/>
    </row>
    <row r="63" spans="1:16" x14ac:dyDescent="0.25">
      <c r="A63" s="23" t="s">
        <v>98</v>
      </c>
      <c r="B63" s="26"/>
      <c r="C63" s="4"/>
      <c r="D63" s="24"/>
      <c r="E63" s="24"/>
      <c r="F63" s="4"/>
      <c r="G63" s="27"/>
      <c r="H63" s="24"/>
      <c r="I63" s="28"/>
      <c r="J63" s="24"/>
      <c r="K63" s="20">
        <f t="shared" si="35"/>
        <v>0</v>
      </c>
      <c r="L63" s="20">
        <f t="shared" si="36"/>
        <v>0</v>
      </c>
      <c r="M63" s="13" t="e">
        <f t="shared" si="30"/>
        <v>#DIV/0!</v>
      </c>
      <c r="N63" s="4"/>
      <c r="P63" s="34"/>
    </row>
    <row r="64" spans="1:16" x14ac:dyDescent="0.25">
      <c r="A64" s="23" t="s">
        <v>99</v>
      </c>
      <c r="B64" s="26"/>
      <c r="C64" s="4"/>
      <c r="D64" s="24"/>
      <c r="E64" s="24"/>
      <c r="F64" s="4"/>
      <c r="G64" s="27"/>
      <c r="H64" s="24"/>
      <c r="I64" s="4"/>
      <c r="J64" s="24"/>
      <c r="K64" s="20">
        <f t="shared" si="35"/>
        <v>0</v>
      </c>
      <c r="L64" s="20">
        <f t="shared" si="36"/>
        <v>0</v>
      </c>
      <c r="M64" s="13" t="e">
        <f t="shared" si="30"/>
        <v>#DIV/0!</v>
      </c>
      <c r="N64" s="4"/>
      <c r="P64" s="34"/>
    </row>
    <row r="65" spans="1:16" x14ac:dyDescent="0.25">
      <c r="A65" s="23" t="s">
        <v>100</v>
      </c>
      <c r="B65" s="26"/>
      <c r="C65" s="4"/>
      <c r="D65" s="24"/>
      <c r="E65" s="24"/>
      <c r="F65" s="4"/>
      <c r="G65" s="27"/>
      <c r="H65" s="24"/>
      <c r="I65" s="4"/>
      <c r="J65" s="24"/>
      <c r="K65" s="20">
        <f t="shared" si="35"/>
        <v>0</v>
      </c>
      <c r="L65" s="20">
        <f t="shared" si="36"/>
        <v>0</v>
      </c>
      <c r="M65" s="13" t="e">
        <f t="shared" si="30"/>
        <v>#DIV/0!</v>
      </c>
      <c r="N65" s="4"/>
      <c r="P65" s="34"/>
    </row>
    <row r="66" spans="1:16" x14ac:dyDescent="0.25">
      <c r="A66" s="23" t="s">
        <v>102</v>
      </c>
      <c r="B66" s="26"/>
      <c r="C66" s="4"/>
      <c r="D66" s="24"/>
      <c r="E66" s="24"/>
      <c r="F66" s="4"/>
      <c r="G66" s="27"/>
      <c r="H66" s="24"/>
      <c r="I66" s="4"/>
      <c r="J66" s="24"/>
      <c r="K66" s="20">
        <f t="shared" si="35"/>
        <v>0</v>
      </c>
      <c r="L66" s="20">
        <f t="shared" si="36"/>
        <v>0</v>
      </c>
      <c r="M66" s="13" t="e">
        <f t="shared" si="30"/>
        <v>#DIV/0!</v>
      </c>
      <c r="N66" s="4"/>
      <c r="P66" s="34"/>
    </row>
    <row r="67" spans="1:16" x14ac:dyDescent="0.25">
      <c r="A67" s="23" t="s">
        <v>103</v>
      </c>
      <c r="B67" s="26"/>
      <c r="C67" s="4"/>
      <c r="D67" s="24"/>
      <c r="E67" s="24"/>
      <c r="F67" s="4"/>
      <c r="G67" s="27"/>
      <c r="H67" s="24"/>
      <c r="I67" s="4"/>
      <c r="J67" s="24"/>
      <c r="K67" s="20">
        <f t="shared" si="35"/>
        <v>0</v>
      </c>
      <c r="L67" s="20">
        <f t="shared" si="36"/>
        <v>0</v>
      </c>
      <c r="M67" s="13" t="e">
        <f t="shared" si="30"/>
        <v>#DIV/0!</v>
      </c>
      <c r="N67" s="4"/>
      <c r="P67" s="34"/>
    </row>
    <row r="68" spans="1:16" x14ac:dyDescent="0.25">
      <c r="A68" s="23" t="s">
        <v>104</v>
      </c>
      <c r="B68" s="26"/>
      <c r="C68" s="4"/>
      <c r="D68" s="24"/>
      <c r="E68" s="24"/>
      <c r="F68" s="4"/>
      <c r="G68" s="27"/>
      <c r="H68" s="24"/>
      <c r="I68" s="4"/>
      <c r="J68" s="24"/>
      <c r="K68" s="20">
        <f>B68+E68+H68</f>
        <v>0</v>
      </c>
      <c r="L68" s="20">
        <f>D68+G68+J68</f>
        <v>0</v>
      </c>
      <c r="M68" s="13" t="e">
        <f t="shared" si="30"/>
        <v>#DIV/0!</v>
      </c>
      <c r="N68" s="4"/>
      <c r="P68" s="34"/>
    </row>
    <row r="69" spans="1:16" x14ac:dyDescent="0.25">
      <c r="A69" s="23" t="s">
        <v>106</v>
      </c>
      <c r="B69" s="26"/>
      <c r="C69" s="4"/>
      <c r="D69" s="24"/>
      <c r="E69" s="24"/>
      <c r="F69" s="4"/>
      <c r="G69" s="27"/>
      <c r="H69" s="24"/>
      <c r="I69" s="4"/>
      <c r="J69" s="24"/>
      <c r="K69" s="20">
        <f t="shared" ref="K69:K73" si="37">B69+E69+H69</f>
        <v>0</v>
      </c>
      <c r="L69" s="20">
        <f t="shared" ref="L69:L73" si="38">D69+G69+J69</f>
        <v>0</v>
      </c>
      <c r="M69" s="13" t="e">
        <f t="shared" si="30"/>
        <v>#DIV/0!</v>
      </c>
      <c r="N69" s="4"/>
      <c r="P69" s="34"/>
    </row>
    <row r="70" spans="1:16" x14ac:dyDescent="0.25">
      <c r="A70" s="23" t="s">
        <v>107</v>
      </c>
      <c r="B70" s="26"/>
      <c r="C70" s="4"/>
      <c r="D70" s="24"/>
      <c r="E70" s="24"/>
      <c r="F70" s="4"/>
      <c r="G70" s="27"/>
      <c r="H70" s="24"/>
      <c r="I70" s="4"/>
      <c r="J70" s="24"/>
      <c r="K70" s="20">
        <f t="shared" si="37"/>
        <v>0</v>
      </c>
      <c r="L70" s="20">
        <f t="shared" si="38"/>
        <v>0</v>
      </c>
      <c r="M70" s="13" t="e">
        <f t="shared" si="30"/>
        <v>#DIV/0!</v>
      </c>
      <c r="N70" s="4"/>
      <c r="P70" s="34"/>
    </row>
    <row r="71" spans="1:16" x14ac:dyDescent="0.25">
      <c r="A71" s="23" t="s">
        <v>108</v>
      </c>
      <c r="B71" s="26"/>
      <c r="C71" s="4"/>
      <c r="D71" s="24"/>
      <c r="E71" s="24"/>
      <c r="F71" s="4"/>
      <c r="G71" s="27"/>
      <c r="H71" s="24"/>
      <c r="I71" s="4"/>
      <c r="J71" s="24"/>
      <c r="K71" s="20">
        <f t="shared" si="37"/>
        <v>0</v>
      </c>
      <c r="L71" s="20">
        <f t="shared" si="38"/>
        <v>0</v>
      </c>
      <c r="M71" s="13" t="e">
        <f t="shared" si="30"/>
        <v>#DIV/0!</v>
      </c>
      <c r="N71" s="41"/>
      <c r="O71" s="40"/>
      <c r="P71" s="34"/>
    </row>
    <row r="72" spans="1:16" x14ac:dyDescent="0.25">
      <c r="A72" s="23" t="s">
        <v>109</v>
      </c>
      <c r="B72" s="26"/>
      <c r="C72" s="4"/>
      <c r="D72" s="24"/>
      <c r="E72" s="24"/>
      <c r="F72" s="4"/>
      <c r="G72" s="27"/>
      <c r="H72" s="24"/>
      <c r="I72" s="4"/>
      <c r="J72" s="24"/>
      <c r="K72" s="20">
        <f t="shared" si="37"/>
        <v>0</v>
      </c>
      <c r="L72" s="20">
        <f t="shared" si="38"/>
        <v>0</v>
      </c>
      <c r="M72" s="13" t="e">
        <f t="shared" si="30"/>
        <v>#DIV/0!</v>
      </c>
      <c r="N72" s="4"/>
      <c r="P72" s="34"/>
    </row>
    <row r="73" spans="1:16" x14ac:dyDescent="0.25">
      <c r="A73" s="23" t="s">
        <v>111</v>
      </c>
      <c r="B73" s="26"/>
      <c r="C73" s="4"/>
      <c r="D73" s="24"/>
      <c r="E73" s="24"/>
      <c r="F73" s="4"/>
      <c r="G73" s="27"/>
      <c r="H73" s="24"/>
      <c r="I73" s="4"/>
      <c r="J73" s="24"/>
      <c r="K73" s="20">
        <f t="shared" si="37"/>
        <v>0</v>
      </c>
      <c r="L73" s="20">
        <f t="shared" si="38"/>
        <v>0</v>
      </c>
      <c r="M73" s="13" t="e">
        <f t="shared" si="30"/>
        <v>#DIV/0!</v>
      </c>
      <c r="N73" s="4"/>
      <c r="P73" s="34"/>
    </row>
    <row r="74" spans="1:16" x14ac:dyDescent="0.25">
      <c r="A74" s="23" t="s">
        <v>117</v>
      </c>
      <c r="B74" s="26"/>
      <c r="C74" s="4"/>
      <c r="D74" s="24"/>
      <c r="E74" s="24"/>
      <c r="F74" s="4"/>
      <c r="G74" s="27"/>
      <c r="H74" s="24"/>
      <c r="I74" s="4"/>
      <c r="J74" s="24"/>
      <c r="K74" s="20">
        <f>B74+E74+H74</f>
        <v>0</v>
      </c>
      <c r="L74" s="20">
        <f>D74+G74+J74</f>
        <v>0</v>
      </c>
      <c r="M74" s="13" t="e">
        <f t="shared" si="30"/>
        <v>#DIV/0!</v>
      </c>
      <c r="N74" s="4"/>
      <c r="P74" s="34"/>
    </row>
    <row r="75" spans="1:16" x14ac:dyDescent="0.25">
      <c r="A75" s="23" t="s">
        <v>118</v>
      </c>
      <c r="B75" s="26"/>
      <c r="C75" s="4"/>
      <c r="D75" s="24"/>
      <c r="E75" s="26"/>
      <c r="F75" s="4"/>
      <c r="G75" s="27"/>
      <c r="H75" s="24"/>
      <c r="I75" s="4"/>
      <c r="J75" s="24"/>
      <c r="K75" s="20">
        <f t="shared" ref="K75:K79" si="39">B75+E75+H75</f>
        <v>0</v>
      </c>
      <c r="L75" s="20">
        <f t="shared" ref="L75:L79" si="40">D75+G75+J75</f>
        <v>0</v>
      </c>
      <c r="M75" s="13" t="e">
        <f t="shared" si="30"/>
        <v>#DIV/0!</v>
      </c>
      <c r="N75" s="4"/>
      <c r="P75" s="34"/>
    </row>
    <row r="76" spans="1:16" x14ac:dyDescent="0.25">
      <c r="A76" s="23" t="s">
        <v>119</v>
      </c>
      <c r="B76" s="26"/>
      <c r="C76" s="4"/>
      <c r="D76" s="24"/>
      <c r="E76" s="26"/>
      <c r="F76" s="4"/>
      <c r="G76" s="27"/>
      <c r="H76" s="24"/>
      <c r="I76" s="4"/>
      <c r="J76" s="24"/>
      <c r="K76" s="20">
        <f t="shared" si="39"/>
        <v>0</v>
      </c>
      <c r="L76" s="20">
        <f t="shared" si="40"/>
        <v>0</v>
      </c>
      <c r="M76" s="13" t="e">
        <f t="shared" si="30"/>
        <v>#DIV/0!</v>
      </c>
      <c r="N76" s="4"/>
      <c r="P76" s="34"/>
    </row>
    <row r="77" spans="1:16" x14ac:dyDescent="0.25">
      <c r="A77" s="23" t="s">
        <v>120</v>
      </c>
      <c r="B77" s="26"/>
      <c r="C77" s="4"/>
      <c r="D77" s="24"/>
      <c r="E77" s="24"/>
      <c r="F77" s="4"/>
      <c r="G77" s="27"/>
      <c r="H77" s="24"/>
      <c r="I77" s="4"/>
      <c r="J77" s="24"/>
      <c r="K77" s="20">
        <f t="shared" si="39"/>
        <v>0</v>
      </c>
      <c r="L77" s="20">
        <f t="shared" si="40"/>
        <v>0</v>
      </c>
      <c r="M77" s="13" t="e">
        <f t="shared" si="30"/>
        <v>#DIV/0!</v>
      </c>
      <c r="N77" s="4"/>
      <c r="P77" s="34"/>
    </row>
    <row r="78" spans="1:16" x14ac:dyDescent="0.25">
      <c r="A78" s="23" t="s">
        <v>121</v>
      </c>
      <c r="B78" s="26"/>
      <c r="C78" s="4"/>
      <c r="D78" s="24"/>
      <c r="E78" s="24"/>
      <c r="F78" s="4"/>
      <c r="G78" s="27"/>
      <c r="H78" s="24"/>
      <c r="I78" s="4"/>
      <c r="J78" s="24"/>
      <c r="K78" s="20">
        <f t="shared" si="39"/>
        <v>0</v>
      </c>
      <c r="L78" s="20">
        <f t="shared" si="40"/>
        <v>0</v>
      </c>
      <c r="M78" s="13" t="e">
        <f t="shared" si="30"/>
        <v>#DIV/0!</v>
      </c>
      <c r="N78" s="4"/>
      <c r="P78" s="34"/>
    </row>
    <row r="79" spans="1:16" x14ac:dyDescent="0.25">
      <c r="A79" s="23" t="s">
        <v>122</v>
      </c>
      <c r="B79" s="26"/>
      <c r="C79" s="4"/>
      <c r="D79" s="24"/>
      <c r="E79" s="24"/>
      <c r="F79" s="4"/>
      <c r="G79" s="27"/>
      <c r="H79" s="24"/>
      <c r="I79" s="4"/>
      <c r="J79" s="24"/>
      <c r="K79" s="20">
        <f t="shared" si="39"/>
        <v>0</v>
      </c>
      <c r="L79" s="20">
        <f t="shared" si="40"/>
        <v>0</v>
      </c>
      <c r="M79" s="13" t="e">
        <f t="shared" si="30"/>
        <v>#DIV/0!</v>
      </c>
      <c r="N79" s="4"/>
      <c r="P79" s="34"/>
    </row>
    <row r="80" spans="1:16" x14ac:dyDescent="0.25">
      <c r="A80" s="23" t="s">
        <v>123</v>
      </c>
      <c r="B80" s="26"/>
      <c r="C80" s="4"/>
      <c r="D80" s="24"/>
      <c r="E80" s="24"/>
      <c r="F80" s="4"/>
      <c r="G80" s="27"/>
      <c r="H80" s="24"/>
      <c r="I80" s="4"/>
      <c r="J80" s="24"/>
      <c r="K80" s="20">
        <f>B80+E80+H80</f>
        <v>0</v>
      </c>
      <c r="L80" s="20">
        <f>D80+G80+J80</f>
        <v>0</v>
      </c>
      <c r="M80" s="13" t="e">
        <f t="shared" si="30"/>
        <v>#DIV/0!</v>
      </c>
      <c r="N80" s="4"/>
      <c r="P80" s="34"/>
    </row>
    <row r="81" spans="1:16" x14ac:dyDescent="0.25">
      <c r="A81" s="23" t="s">
        <v>124</v>
      </c>
      <c r="B81" s="26"/>
      <c r="C81" s="4"/>
      <c r="D81" s="24"/>
      <c r="E81" s="24"/>
      <c r="F81" s="4"/>
      <c r="G81" s="27"/>
      <c r="H81" s="24"/>
      <c r="I81" s="4"/>
      <c r="J81" s="24"/>
      <c r="K81" s="20">
        <f t="shared" ref="K81:K86" si="41">B81+E81+H81</f>
        <v>0</v>
      </c>
      <c r="L81" s="20">
        <f t="shared" ref="L81:L86" si="42">D81+G81+J81</f>
        <v>0</v>
      </c>
      <c r="M81" s="13" t="e">
        <f t="shared" si="30"/>
        <v>#DIV/0!</v>
      </c>
      <c r="N81" s="4"/>
      <c r="P81" s="34"/>
    </row>
    <row r="82" spans="1:16" x14ac:dyDescent="0.25">
      <c r="A82" s="23" t="s">
        <v>125</v>
      </c>
      <c r="B82" s="26"/>
      <c r="C82" s="4"/>
      <c r="D82" s="24"/>
      <c r="E82" s="24"/>
      <c r="F82" s="4"/>
      <c r="G82" s="27"/>
      <c r="H82" s="24"/>
      <c r="I82" s="4"/>
      <c r="J82" s="24"/>
      <c r="K82" s="20">
        <f t="shared" si="41"/>
        <v>0</v>
      </c>
      <c r="L82" s="20">
        <f t="shared" si="42"/>
        <v>0</v>
      </c>
      <c r="M82" s="13" t="e">
        <f t="shared" si="30"/>
        <v>#DIV/0!</v>
      </c>
      <c r="N82" s="4"/>
      <c r="P82" s="34"/>
    </row>
    <row r="83" spans="1:16" x14ac:dyDescent="0.25">
      <c r="A83" s="23" t="s">
        <v>126</v>
      </c>
      <c r="B83" s="26"/>
      <c r="C83" s="4"/>
      <c r="D83" s="24"/>
      <c r="E83" s="24"/>
      <c r="F83" s="4"/>
      <c r="G83" s="27"/>
      <c r="H83" s="24"/>
      <c r="I83" s="4"/>
      <c r="J83" s="24"/>
      <c r="K83" s="20">
        <f t="shared" si="41"/>
        <v>0</v>
      </c>
      <c r="L83" s="20">
        <f t="shared" si="42"/>
        <v>0</v>
      </c>
      <c r="M83" s="13" t="e">
        <f t="shared" si="30"/>
        <v>#DIV/0!</v>
      </c>
      <c r="N83" s="4"/>
      <c r="P83" s="34"/>
    </row>
    <row r="84" spans="1:16" x14ac:dyDescent="0.25">
      <c r="A84" s="23" t="s">
        <v>127</v>
      </c>
      <c r="B84" s="26"/>
      <c r="C84" s="4"/>
      <c r="D84" s="24"/>
      <c r="E84" s="24"/>
      <c r="F84" s="4"/>
      <c r="G84" s="27"/>
      <c r="H84" s="24"/>
      <c r="I84" s="4"/>
      <c r="J84" s="24"/>
      <c r="K84" s="20">
        <f t="shared" si="41"/>
        <v>0</v>
      </c>
      <c r="L84" s="20">
        <f t="shared" si="42"/>
        <v>0</v>
      </c>
      <c r="M84" s="13" t="e">
        <f t="shared" si="30"/>
        <v>#DIV/0!</v>
      </c>
      <c r="N84" s="4"/>
      <c r="P84" s="34"/>
    </row>
    <row r="85" spans="1:16" x14ac:dyDescent="0.25">
      <c r="A85" s="23" t="s">
        <v>128</v>
      </c>
      <c r="B85" s="26"/>
      <c r="C85" s="4"/>
      <c r="D85" s="24"/>
      <c r="E85" s="26"/>
      <c r="F85" s="4"/>
      <c r="G85" s="27"/>
      <c r="H85" s="24"/>
      <c r="I85" s="4"/>
      <c r="J85" s="24"/>
      <c r="K85" s="20">
        <f t="shared" si="41"/>
        <v>0</v>
      </c>
      <c r="L85" s="20">
        <f t="shared" si="42"/>
        <v>0</v>
      </c>
      <c r="M85" s="13" t="e">
        <f t="shared" ref="M85:M126" si="43">100-L85*100/K85</f>
        <v>#DIV/0!</v>
      </c>
      <c r="N85" s="4"/>
      <c r="P85" s="34"/>
    </row>
    <row r="86" spans="1:16" x14ac:dyDescent="0.25">
      <c r="A86" s="23" t="s">
        <v>129</v>
      </c>
      <c r="B86" s="26"/>
      <c r="C86" s="4"/>
      <c r="D86" s="24"/>
      <c r="E86" s="26"/>
      <c r="F86" s="4"/>
      <c r="G86" s="27"/>
      <c r="H86" s="24"/>
      <c r="I86" s="4"/>
      <c r="J86" s="24"/>
      <c r="K86" s="20">
        <f t="shared" si="41"/>
        <v>0</v>
      </c>
      <c r="L86" s="20">
        <f t="shared" si="42"/>
        <v>0</v>
      </c>
      <c r="M86" s="13" t="e">
        <f t="shared" si="43"/>
        <v>#DIV/0!</v>
      </c>
      <c r="N86" s="4"/>
      <c r="P86" s="34"/>
    </row>
    <row r="87" spans="1:16" x14ac:dyDescent="0.25">
      <c r="A87" s="23" t="s">
        <v>130</v>
      </c>
      <c r="B87" s="26"/>
      <c r="C87" s="4"/>
      <c r="D87" s="24"/>
      <c r="E87" s="24"/>
      <c r="F87" s="4"/>
      <c r="G87" s="27"/>
      <c r="H87" s="24"/>
      <c r="I87" s="4"/>
      <c r="J87" s="24"/>
      <c r="K87" s="20">
        <f>B87+E87+H87</f>
        <v>0</v>
      </c>
      <c r="L87" s="20">
        <f>D87+G87+J87</f>
        <v>0</v>
      </c>
      <c r="M87" s="13" t="e">
        <f t="shared" si="43"/>
        <v>#DIV/0!</v>
      </c>
      <c r="N87" s="4"/>
      <c r="P87" s="34"/>
    </row>
    <row r="88" spans="1:16" x14ac:dyDescent="0.25">
      <c r="A88" s="23" t="s">
        <v>131</v>
      </c>
      <c r="B88" s="26"/>
      <c r="C88" s="4"/>
      <c r="D88" s="24"/>
      <c r="E88" s="24"/>
      <c r="F88" s="4"/>
      <c r="G88" s="27"/>
      <c r="H88" s="24"/>
      <c r="I88" s="4"/>
      <c r="J88" s="24"/>
      <c r="K88" s="20">
        <f t="shared" ref="K88:K126" si="44">B88+E88+H88</f>
        <v>0</v>
      </c>
      <c r="L88" s="20">
        <f t="shared" ref="L88:L126" si="45">D88+G88+J88</f>
        <v>0</v>
      </c>
      <c r="M88" s="13" t="e">
        <f t="shared" si="43"/>
        <v>#DIV/0!</v>
      </c>
      <c r="N88" s="4"/>
      <c r="P88" s="34"/>
    </row>
    <row r="89" spans="1:16" x14ac:dyDescent="0.25">
      <c r="A89" s="23" t="s">
        <v>132</v>
      </c>
      <c r="B89" s="24"/>
      <c r="C89" s="4"/>
      <c r="D89" s="24"/>
      <c r="E89" s="24"/>
      <c r="F89" s="4"/>
      <c r="G89" s="27"/>
      <c r="H89" s="24"/>
      <c r="I89" s="4"/>
      <c r="J89" s="24"/>
      <c r="K89" s="20">
        <f t="shared" si="44"/>
        <v>0</v>
      </c>
      <c r="L89" s="20">
        <f t="shared" si="45"/>
        <v>0</v>
      </c>
      <c r="M89" s="13" t="e">
        <f>100-L89*100/K89</f>
        <v>#DIV/0!</v>
      </c>
      <c r="N89" s="4"/>
      <c r="P89" s="34"/>
    </row>
    <row r="90" spans="1:16" x14ac:dyDescent="0.25">
      <c r="A90" s="23" t="s">
        <v>133</v>
      </c>
      <c r="B90" s="26"/>
      <c r="C90" s="4"/>
      <c r="D90" s="24"/>
      <c r="E90" s="24"/>
      <c r="F90" s="4"/>
      <c r="G90" s="27"/>
      <c r="H90" s="24"/>
      <c r="I90" s="4"/>
      <c r="J90" s="24"/>
      <c r="K90" s="20">
        <f t="shared" si="44"/>
        <v>0</v>
      </c>
      <c r="L90" s="20">
        <f t="shared" si="45"/>
        <v>0</v>
      </c>
      <c r="M90" s="13" t="e">
        <f t="shared" si="43"/>
        <v>#DIV/0!</v>
      </c>
      <c r="N90" s="4"/>
      <c r="P90" s="34"/>
    </row>
    <row r="91" spans="1:16" x14ac:dyDescent="0.25">
      <c r="A91" s="23" t="s">
        <v>134</v>
      </c>
      <c r="B91" s="24"/>
      <c r="C91" s="4"/>
      <c r="D91" s="24"/>
      <c r="E91" s="24"/>
      <c r="F91" s="4"/>
      <c r="G91" s="27"/>
      <c r="H91" s="24"/>
      <c r="I91" s="4"/>
      <c r="J91" s="24"/>
      <c r="K91" s="20">
        <f t="shared" si="44"/>
        <v>0</v>
      </c>
      <c r="L91" s="20">
        <f t="shared" si="45"/>
        <v>0</v>
      </c>
      <c r="M91" s="13" t="e">
        <f t="shared" si="43"/>
        <v>#DIV/0!</v>
      </c>
      <c r="N91" s="4"/>
      <c r="P91" s="34"/>
    </row>
    <row r="92" spans="1:16" x14ac:dyDescent="0.25">
      <c r="A92" s="23" t="s">
        <v>135</v>
      </c>
      <c r="B92" s="26"/>
      <c r="C92" s="4"/>
      <c r="D92" s="24"/>
      <c r="E92" s="24"/>
      <c r="F92" s="4"/>
      <c r="G92" s="27"/>
      <c r="H92" s="24"/>
      <c r="I92" s="4"/>
      <c r="J92" s="24"/>
      <c r="K92" s="20">
        <f t="shared" si="44"/>
        <v>0</v>
      </c>
      <c r="L92" s="20">
        <f t="shared" si="45"/>
        <v>0</v>
      </c>
      <c r="M92" s="13" t="e">
        <f t="shared" si="43"/>
        <v>#DIV/0!</v>
      </c>
      <c r="N92" s="4"/>
      <c r="P92" s="34"/>
    </row>
    <row r="93" spans="1:16" x14ac:dyDescent="0.25">
      <c r="A93" s="23" t="s">
        <v>140</v>
      </c>
      <c r="B93" s="26"/>
      <c r="C93" s="4"/>
      <c r="D93" s="24"/>
      <c r="E93" s="24"/>
      <c r="F93" s="4"/>
      <c r="G93" s="27"/>
      <c r="H93" s="24"/>
      <c r="I93" s="4"/>
      <c r="J93" s="24"/>
      <c r="K93" s="20">
        <f t="shared" si="44"/>
        <v>0</v>
      </c>
      <c r="L93" s="20">
        <f t="shared" si="45"/>
        <v>0</v>
      </c>
      <c r="M93" s="13" t="e">
        <f t="shared" si="43"/>
        <v>#DIV/0!</v>
      </c>
      <c r="N93" s="4"/>
      <c r="P93" s="34"/>
    </row>
    <row r="94" spans="1:16" x14ac:dyDescent="0.25">
      <c r="A94" s="23" t="s">
        <v>141</v>
      </c>
      <c r="B94" s="24"/>
      <c r="C94" s="4"/>
      <c r="D94" s="24"/>
      <c r="E94" s="24"/>
      <c r="F94" s="4"/>
      <c r="G94" s="27"/>
      <c r="H94" s="24"/>
      <c r="I94" s="4"/>
      <c r="J94" s="24"/>
      <c r="K94" s="20">
        <f t="shared" si="44"/>
        <v>0</v>
      </c>
      <c r="L94" s="20">
        <f t="shared" si="45"/>
        <v>0</v>
      </c>
      <c r="M94" s="13" t="e">
        <f t="shared" si="43"/>
        <v>#DIV/0!</v>
      </c>
      <c r="N94" s="4"/>
      <c r="P94" s="34"/>
    </row>
    <row r="95" spans="1:16" x14ac:dyDescent="0.25">
      <c r="A95" s="23" t="s">
        <v>142</v>
      </c>
      <c r="B95" s="24"/>
      <c r="C95" s="4"/>
      <c r="D95" s="24"/>
      <c r="E95" s="24"/>
      <c r="F95" s="4"/>
      <c r="G95" s="27"/>
      <c r="H95" s="24"/>
      <c r="I95" s="4"/>
      <c r="J95" s="24"/>
      <c r="K95" s="20">
        <f t="shared" si="44"/>
        <v>0</v>
      </c>
      <c r="L95" s="20">
        <f t="shared" si="45"/>
        <v>0</v>
      </c>
      <c r="M95" s="13" t="e">
        <f t="shared" si="43"/>
        <v>#DIV/0!</v>
      </c>
      <c r="N95" s="4"/>
      <c r="P95" s="34"/>
    </row>
    <row r="96" spans="1:16" x14ac:dyDescent="0.25">
      <c r="A96" s="23" t="s">
        <v>143</v>
      </c>
      <c r="B96" s="26"/>
      <c r="C96" s="4"/>
      <c r="D96" s="24"/>
      <c r="E96" s="24"/>
      <c r="F96" s="4"/>
      <c r="G96" s="27"/>
      <c r="H96" s="24"/>
      <c r="I96" s="4"/>
      <c r="J96" s="24"/>
      <c r="K96" s="20">
        <f>B102+E96+H96</f>
        <v>0</v>
      </c>
      <c r="L96" s="20">
        <f t="shared" si="45"/>
        <v>0</v>
      </c>
      <c r="M96" s="13" t="e">
        <f t="shared" si="43"/>
        <v>#DIV/0!</v>
      </c>
      <c r="N96" s="4"/>
      <c r="P96" s="34"/>
    </row>
    <row r="97" spans="1:16" x14ac:dyDescent="0.25">
      <c r="A97" s="23" t="s">
        <v>149</v>
      </c>
      <c r="B97" s="34"/>
      <c r="C97" s="4"/>
      <c r="D97" s="24"/>
      <c r="E97" s="24"/>
      <c r="F97" s="4"/>
      <c r="G97" s="27"/>
      <c r="H97" s="24"/>
      <c r="I97" s="4"/>
      <c r="J97" s="24"/>
      <c r="K97" s="20">
        <f>B103+E97+H97</f>
        <v>0</v>
      </c>
      <c r="L97" s="20">
        <f t="shared" si="45"/>
        <v>0</v>
      </c>
      <c r="M97" s="13" t="e">
        <f t="shared" si="43"/>
        <v>#DIV/0!</v>
      </c>
      <c r="N97" s="4"/>
      <c r="P97" s="34"/>
    </row>
    <row r="98" spans="1:16" x14ac:dyDescent="0.25">
      <c r="A98" s="23" t="s">
        <v>150</v>
      </c>
      <c r="B98" s="24"/>
      <c r="C98" s="4"/>
      <c r="D98" s="24"/>
      <c r="E98" s="24"/>
      <c r="F98" s="4"/>
      <c r="G98" s="27"/>
      <c r="H98" s="24"/>
      <c r="I98" s="4"/>
      <c r="J98" s="24"/>
      <c r="K98" s="20">
        <f t="shared" si="44"/>
        <v>0</v>
      </c>
      <c r="L98" s="20">
        <f t="shared" si="45"/>
        <v>0</v>
      </c>
      <c r="M98" s="13" t="e">
        <f>100-L98*100/K98</f>
        <v>#DIV/0!</v>
      </c>
      <c r="N98" s="4"/>
      <c r="P98" s="34"/>
    </row>
    <row r="99" spans="1:16" x14ac:dyDescent="0.25">
      <c r="A99" s="23" t="s">
        <v>151</v>
      </c>
      <c r="B99" s="24"/>
      <c r="C99" s="4"/>
      <c r="D99" s="24"/>
      <c r="E99" s="24"/>
      <c r="F99" s="4"/>
      <c r="G99" s="27"/>
      <c r="H99" s="24"/>
      <c r="I99" s="4"/>
      <c r="J99" s="24"/>
      <c r="K99" s="20">
        <f t="shared" si="44"/>
        <v>0</v>
      </c>
      <c r="L99" s="20">
        <f t="shared" si="45"/>
        <v>0</v>
      </c>
      <c r="M99" s="13" t="e">
        <f t="shared" si="43"/>
        <v>#DIV/0!</v>
      </c>
      <c r="N99" s="4"/>
      <c r="P99" s="34"/>
    </row>
    <row r="100" spans="1:16" x14ac:dyDescent="0.25">
      <c r="A100" s="23" t="s">
        <v>152</v>
      </c>
      <c r="B100" s="24"/>
      <c r="C100" s="4"/>
      <c r="D100" s="24"/>
      <c r="E100" s="24"/>
      <c r="F100" s="4"/>
      <c r="G100" s="27"/>
      <c r="H100" s="24"/>
      <c r="I100" s="4"/>
      <c r="J100" s="24"/>
      <c r="K100" s="20">
        <f t="shared" si="44"/>
        <v>0</v>
      </c>
      <c r="L100" s="20">
        <f t="shared" si="45"/>
        <v>0</v>
      </c>
      <c r="M100" s="13" t="e">
        <f t="shared" si="43"/>
        <v>#DIV/0!</v>
      </c>
      <c r="N100" s="4"/>
      <c r="P100" s="34"/>
    </row>
    <row r="101" spans="1:16" x14ac:dyDescent="0.25">
      <c r="A101" s="23" t="s">
        <v>153</v>
      </c>
      <c r="B101" s="24"/>
      <c r="C101" s="4"/>
      <c r="D101" s="24"/>
      <c r="E101" s="24"/>
      <c r="F101" s="4"/>
      <c r="G101" s="27"/>
      <c r="H101" s="24"/>
      <c r="I101" s="4"/>
      <c r="J101" s="24"/>
      <c r="K101" s="20">
        <f t="shared" si="44"/>
        <v>0</v>
      </c>
      <c r="L101" s="20">
        <f t="shared" si="45"/>
        <v>0</v>
      </c>
      <c r="M101" s="13" t="e">
        <f t="shared" si="43"/>
        <v>#DIV/0!</v>
      </c>
      <c r="N101" s="4"/>
      <c r="P101" s="34"/>
    </row>
    <row r="102" spans="1:16" x14ac:dyDescent="0.25">
      <c r="A102" s="23" t="s">
        <v>154</v>
      </c>
      <c r="B102" s="26"/>
      <c r="C102" s="4"/>
      <c r="D102" s="24"/>
      <c r="E102" s="24"/>
      <c r="F102" s="4"/>
      <c r="G102" s="27"/>
      <c r="H102" s="24"/>
      <c r="I102" s="4"/>
      <c r="J102" s="24"/>
      <c r="K102" s="20">
        <f>B123+E102+H102</f>
        <v>0</v>
      </c>
      <c r="L102" s="20">
        <f t="shared" si="45"/>
        <v>0</v>
      </c>
      <c r="M102" s="13" t="e">
        <f t="shared" si="43"/>
        <v>#DIV/0!</v>
      </c>
      <c r="N102" s="4"/>
      <c r="P102" s="34"/>
    </row>
    <row r="103" spans="1:16" x14ac:dyDescent="0.25">
      <c r="A103" s="23" t="s">
        <v>158</v>
      </c>
      <c r="B103" s="24"/>
      <c r="C103" s="4"/>
      <c r="D103" s="24"/>
      <c r="E103" s="24"/>
      <c r="F103" s="4"/>
      <c r="G103" s="27"/>
      <c r="H103" s="24"/>
      <c r="I103" s="24"/>
      <c r="J103" s="24"/>
      <c r="K103" s="20">
        <f t="shared" ref="K103:K125" si="46">B103+E103+H103</f>
        <v>0</v>
      </c>
      <c r="L103" s="20">
        <f t="shared" si="45"/>
        <v>0</v>
      </c>
      <c r="M103" s="13" t="e">
        <f t="shared" si="43"/>
        <v>#DIV/0!</v>
      </c>
      <c r="N103" s="4"/>
      <c r="P103" s="34"/>
    </row>
    <row r="104" spans="1:16" x14ac:dyDescent="0.25">
      <c r="A104" s="23" t="s">
        <v>159</v>
      </c>
      <c r="B104" s="24"/>
      <c r="C104" s="4"/>
      <c r="D104" s="24"/>
      <c r="E104" s="24"/>
      <c r="F104" s="4"/>
      <c r="G104" s="27"/>
      <c r="H104" s="24"/>
      <c r="I104" s="4"/>
      <c r="J104" s="24"/>
      <c r="K104" s="20">
        <f t="shared" si="46"/>
        <v>0</v>
      </c>
      <c r="L104" s="20">
        <f t="shared" si="45"/>
        <v>0</v>
      </c>
      <c r="M104" s="13" t="e">
        <f t="shared" si="43"/>
        <v>#DIV/0!</v>
      </c>
      <c r="N104" s="4"/>
      <c r="P104" s="34"/>
    </row>
    <row r="105" spans="1:16" x14ac:dyDescent="0.25">
      <c r="A105" s="23" t="s">
        <v>160</v>
      </c>
      <c r="B105" s="24"/>
      <c r="C105" s="4"/>
      <c r="D105" s="24"/>
      <c r="E105" s="24"/>
      <c r="F105" s="4"/>
      <c r="G105" s="27"/>
      <c r="H105" s="24"/>
      <c r="I105" s="4"/>
      <c r="J105" s="24"/>
      <c r="K105" s="20">
        <f t="shared" si="46"/>
        <v>0</v>
      </c>
      <c r="L105" s="20">
        <f t="shared" si="45"/>
        <v>0</v>
      </c>
      <c r="M105" s="13" t="e">
        <f t="shared" si="43"/>
        <v>#DIV/0!</v>
      </c>
      <c r="N105" s="4"/>
      <c r="P105" s="34"/>
    </row>
    <row r="106" spans="1:16" x14ac:dyDescent="0.25">
      <c r="A106" s="23" t="s">
        <v>161</v>
      </c>
      <c r="B106" s="24"/>
      <c r="C106" s="4"/>
      <c r="D106" s="24"/>
      <c r="E106" s="24"/>
      <c r="F106" s="4"/>
      <c r="G106" s="27"/>
      <c r="H106" s="24"/>
      <c r="I106" s="4"/>
      <c r="J106" s="24"/>
      <c r="K106" s="20">
        <f t="shared" si="46"/>
        <v>0</v>
      </c>
      <c r="L106" s="20">
        <f t="shared" si="45"/>
        <v>0</v>
      </c>
      <c r="M106" s="13" t="e">
        <f t="shared" si="43"/>
        <v>#DIV/0!</v>
      </c>
      <c r="N106" s="4"/>
      <c r="P106" s="34"/>
    </row>
    <row r="107" spans="1:16" x14ac:dyDescent="0.25">
      <c r="A107" s="23" t="s">
        <v>162</v>
      </c>
      <c r="B107" s="24"/>
      <c r="C107" s="4"/>
      <c r="D107" s="24"/>
      <c r="E107" s="24"/>
      <c r="F107" s="4"/>
      <c r="G107" s="27"/>
      <c r="H107" s="24"/>
      <c r="I107" s="4"/>
      <c r="J107" s="24"/>
      <c r="K107" s="20">
        <f t="shared" si="46"/>
        <v>0</v>
      </c>
      <c r="L107" s="20">
        <f t="shared" si="45"/>
        <v>0</v>
      </c>
      <c r="M107" s="13" t="e">
        <f t="shared" si="43"/>
        <v>#DIV/0!</v>
      </c>
      <c r="N107" s="4"/>
      <c r="P107" s="34"/>
    </row>
    <row r="108" spans="1:16" x14ac:dyDescent="0.25">
      <c r="A108" s="23" t="s">
        <v>163</v>
      </c>
      <c r="B108" s="24"/>
      <c r="C108" s="4"/>
      <c r="D108" s="24"/>
      <c r="E108" s="24"/>
      <c r="F108" s="4"/>
      <c r="G108" s="27"/>
      <c r="H108" s="24"/>
      <c r="I108" s="4"/>
      <c r="J108" s="24"/>
      <c r="K108" s="20">
        <f t="shared" si="46"/>
        <v>0</v>
      </c>
      <c r="L108" s="20">
        <f t="shared" si="45"/>
        <v>0</v>
      </c>
      <c r="M108" s="13" t="e">
        <f t="shared" si="43"/>
        <v>#DIV/0!</v>
      </c>
      <c r="N108" s="4"/>
      <c r="P108" s="34"/>
    </row>
    <row r="109" spans="1:16" x14ac:dyDescent="0.25">
      <c r="A109" s="23" t="s">
        <v>164</v>
      </c>
      <c r="B109" s="24"/>
      <c r="C109" s="4"/>
      <c r="D109" s="24"/>
      <c r="E109" s="24"/>
      <c r="F109" s="4"/>
      <c r="G109" s="27"/>
      <c r="H109" s="24"/>
      <c r="I109" s="4"/>
      <c r="J109" s="24"/>
      <c r="K109" s="20">
        <f t="shared" si="46"/>
        <v>0</v>
      </c>
      <c r="L109" s="20">
        <f t="shared" si="45"/>
        <v>0</v>
      </c>
      <c r="M109" s="13" t="e">
        <f t="shared" si="43"/>
        <v>#DIV/0!</v>
      </c>
      <c r="N109" s="4"/>
      <c r="P109" s="34"/>
    </row>
    <row r="110" spans="1:16" x14ac:dyDescent="0.25">
      <c r="A110" s="23" t="s">
        <v>172</v>
      </c>
      <c r="B110" s="24"/>
      <c r="C110" s="4"/>
      <c r="D110" s="24"/>
      <c r="E110" s="24"/>
      <c r="F110" s="4"/>
      <c r="G110" s="27"/>
      <c r="H110" s="24"/>
      <c r="I110" s="4"/>
      <c r="J110" s="24"/>
      <c r="K110" s="20">
        <f t="shared" si="46"/>
        <v>0</v>
      </c>
      <c r="L110" s="20">
        <f t="shared" si="45"/>
        <v>0</v>
      </c>
      <c r="M110" s="13" t="e">
        <f t="shared" si="43"/>
        <v>#DIV/0!</v>
      </c>
      <c r="N110" s="4"/>
      <c r="P110" s="34"/>
    </row>
    <row r="111" spans="1:16" x14ac:dyDescent="0.25">
      <c r="A111" s="23" t="s">
        <v>173</v>
      </c>
      <c r="B111" s="24"/>
      <c r="C111" s="4"/>
      <c r="D111" s="24"/>
      <c r="E111" s="24"/>
      <c r="F111" s="4"/>
      <c r="G111" s="27"/>
      <c r="H111" s="24"/>
      <c r="I111" s="4"/>
      <c r="J111" s="24"/>
      <c r="K111" s="20">
        <f t="shared" si="46"/>
        <v>0</v>
      </c>
      <c r="L111" s="20">
        <f t="shared" si="45"/>
        <v>0</v>
      </c>
      <c r="M111" s="13" t="e">
        <f t="shared" si="43"/>
        <v>#DIV/0!</v>
      </c>
      <c r="N111" s="4"/>
      <c r="P111" s="34"/>
    </row>
    <row r="112" spans="1:16" x14ac:dyDescent="0.25">
      <c r="A112" s="23" t="s">
        <v>174</v>
      </c>
      <c r="B112" s="24"/>
      <c r="C112" s="4"/>
      <c r="D112" s="24"/>
      <c r="E112" s="24"/>
      <c r="F112" s="4"/>
      <c r="G112" s="27"/>
      <c r="H112" s="24"/>
      <c r="I112" s="24"/>
      <c r="J112" s="24"/>
      <c r="K112" s="20">
        <f t="shared" si="46"/>
        <v>0</v>
      </c>
      <c r="L112" s="20">
        <f t="shared" si="45"/>
        <v>0</v>
      </c>
      <c r="M112" s="13" t="e">
        <f t="shared" si="43"/>
        <v>#DIV/0!</v>
      </c>
      <c r="N112" s="4"/>
      <c r="P112" s="34"/>
    </row>
    <row r="113" spans="1:16" x14ac:dyDescent="0.25">
      <c r="A113" s="23" t="s">
        <v>183</v>
      </c>
      <c r="B113" s="24"/>
      <c r="C113" s="4"/>
      <c r="D113" s="24"/>
      <c r="E113" s="24"/>
      <c r="F113" s="4"/>
      <c r="G113" s="27"/>
      <c r="H113" s="24"/>
      <c r="I113" s="24"/>
      <c r="J113" s="24"/>
      <c r="K113" s="20">
        <f t="shared" si="46"/>
        <v>0</v>
      </c>
      <c r="L113" s="20">
        <f t="shared" si="45"/>
        <v>0</v>
      </c>
      <c r="M113" s="13" t="e">
        <f t="shared" si="43"/>
        <v>#DIV/0!</v>
      </c>
      <c r="N113" s="4"/>
      <c r="P113" s="34"/>
    </row>
    <row r="114" spans="1:16" x14ac:dyDescent="0.25">
      <c r="A114" s="23" t="s">
        <v>184</v>
      </c>
      <c r="B114" s="24"/>
      <c r="C114" s="4"/>
      <c r="D114" s="24"/>
      <c r="E114" s="24"/>
      <c r="F114" s="4"/>
      <c r="G114" s="27"/>
      <c r="H114" s="24"/>
      <c r="I114" s="24"/>
      <c r="J114" s="24"/>
      <c r="K114" s="20">
        <f t="shared" si="46"/>
        <v>0</v>
      </c>
      <c r="L114" s="20">
        <f t="shared" si="45"/>
        <v>0</v>
      </c>
      <c r="M114" s="13" t="e">
        <f t="shared" si="43"/>
        <v>#DIV/0!</v>
      </c>
      <c r="N114" s="4"/>
      <c r="P114" s="34"/>
    </row>
    <row r="115" spans="1:16" x14ac:dyDescent="0.25">
      <c r="A115" s="23" t="s">
        <v>185</v>
      </c>
      <c r="B115" s="24"/>
      <c r="C115" s="4"/>
      <c r="D115" s="24"/>
      <c r="E115" s="24"/>
      <c r="F115" s="4"/>
      <c r="G115" s="27"/>
      <c r="H115" s="24"/>
      <c r="I115" s="4"/>
      <c r="J115" s="24"/>
      <c r="K115" s="20">
        <f t="shared" si="46"/>
        <v>0</v>
      </c>
      <c r="L115" s="20">
        <f t="shared" si="45"/>
        <v>0</v>
      </c>
      <c r="M115" s="13" t="e">
        <f t="shared" si="43"/>
        <v>#DIV/0!</v>
      </c>
      <c r="N115" s="4"/>
      <c r="P115" s="34"/>
    </row>
    <row r="116" spans="1:16" x14ac:dyDescent="0.25">
      <c r="A116" s="23" t="s">
        <v>288</v>
      </c>
      <c r="B116" s="24"/>
      <c r="C116" s="4"/>
      <c r="D116" s="24"/>
      <c r="E116" s="24"/>
      <c r="F116" s="4"/>
      <c r="G116" s="27"/>
      <c r="H116" s="24"/>
      <c r="I116" s="4"/>
      <c r="J116" s="24"/>
      <c r="K116" s="20">
        <f t="shared" si="46"/>
        <v>0</v>
      </c>
      <c r="L116" s="20">
        <f t="shared" si="45"/>
        <v>0</v>
      </c>
      <c r="M116" s="13" t="e">
        <f t="shared" si="43"/>
        <v>#DIV/0!</v>
      </c>
      <c r="N116" s="4"/>
      <c r="P116" s="34"/>
    </row>
    <row r="117" spans="1:16" x14ac:dyDescent="0.25">
      <c r="A117" s="23" t="s">
        <v>289</v>
      </c>
      <c r="B117" s="24"/>
      <c r="C117" s="4"/>
      <c r="D117" s="24"/>
      <c r="E117" s="24"/>
      <c r="F117" s="4"/>
      <c r="G117" s="27"/>
      <c r="H117" s="24"/>
      <c r="I117" s="4"/>
      <c r="J117" s="24"/>
      <c r="K117" s="20">
        <f t="shared" si="46"/>
        <v>0</v>
      </c>
      <c r="L117" s="20">
        <f t="shared" si="45"/>
        <v>0</v>
      </c>
      <c r="M117" s="13" t="e">
        <f t="shared" si="43"/>
        <v>#DIV/0!</v>
      </c>
      <c r="N117" s="4"/>
      <c r="P117" s="34"/>
    </row>
    <row r="118" spans="1:16" x14ac:dyDescent="0.25">
      <c r="A118" s="23" t="s">
        <v>290</v>
      </c>
      <c r="B118" s="24"/>
      <c r="C118" s="4"/>
      <c r="D118" s="24"/>
      <c r="E118" s="24"/>
      <c r="F118" s="4"/>
      <c r="G118" s="27"/>
      <c r="H118" s="24"/>
      <c r="I118" s="4"/>
      <c r="J118" s="24"/>
      <c r="K118" s="20">
        <f t="shared" si="46"/>
        <v>0</v>
      </c>
      <c r="L118" s="20">
        <f t="shared" si="45"/>
        <v>0</v>
      </c>
      <c r="M118" s="13" t="e">
        <f t="shared" si="43"/>
        <v>#DIV/0!</v>
      </c>
      <c r="N118" s="4"/>
      <c r="P118" s="34"/>
    </row>
    <row r="119" spans="1:16" x14ac:dyDescent="0.25">
      <c r="A119" s="23" t="s">
        <v>291</v>
      </c>
      <c r="B119" s="24"/>
      <c r="C119" s="4"/>
      <c r="D119" s="24"/>
      <c r="E119" s="24"/>
      <c r="F119" s="4"/>
      <c r="G119" s="27"/>
      <c r="H119" s="24"/>
      <c r="I119" s="4"/>
      <c r="J119" s="24"/>
      <c r="K119" s="20">
        <f t="shared" si="46"/>
        <v>0</v>
      </c>
      <c r="L119" s="20">
        <f t="shared" si="45"/>
        <v>0</v>
      </c>
      <c r="M119" s="13" t="e">
        <f t="shared" si="43"/>
        <v>#DIV/0!</v>
      </c>
      <c r="N119" s="4"/>
      <c r="P119" s="34"/>
    </row>
    <row r="120" spans="1:16" x14ac:dyDescent="0.25">
      <c r="A120" s="23" t="s">
        <v>292</v>
      </c>
      <c r="B120" s="24"/>
      <c r="C120" s="4"/>
      <c r="D120" s="24"/>
      <c r="E120" s="24"/>
      <c r="F120" s="4"/>
      <c r="G120" s="27"/>
      <c r="H120" s="24"/>
      <c r="I120" s="4"/>
      <c r="J120" s="24"/>
      <c r="K120" s="20">
        <f t="shared" si="46"/>
        <v>0</v>
      </c>
      <c r="L120" s="20">
        <f t="shared" si="45"/>
        <v>0</v>
      </c>
      <c r="M120" s="13" t="e">
        <f t="shared" si="43"/>
        <v>#DIV/0!</v>
      </c>
      <c r="N120" s="4"/>
      <c r="P120" s="34"/>
    </row>
    <row r="121" spans="1:16" x14ac:dyDescent="0.25">
      <c r="A121" s="23" t="s">
        <v>293</v>
      </c>
      <c r="B121" s="26"/>
      <c r="C121" s="4"/>
      <c r="D121" s="24"/>
      <c r="E121" s="24"/>
      <c r="F121" s="4"/>
      <c r="G121" s="27"/>
      <c r="H121" s="24"/>
      <c r="I121" s="4"/>
      <c r="J121" s="24"/>
      <c r="K121" s="20">
        <f t="shared" si="46"/>
        <v>0</v>
      </c>
      <c r="L121" s="20">
        <f t="shared" si="45"/>
        <v>0</v>
      </c>
      <c r="M121" s="13" t="e">
        <f t="shared" si="43"/>
        <v>#DIV/0!</v>
      </c>
      <c r="N121" s="4"/>
      <c r="P121" s="34"/>
    </row>
    <row r="122" spans="1:16" x14ac:dyDescent="0.25">
      <c r="A122" s="23" t="s">
        <v>317</v>
      </c>
      <c r="B122" s="26"/>
      <c r="C122" s="4"/>
      <c r="D122" s="24"/>
      <c r="E122" s="24"/>
      <c r="F122" s="4"/>
      <c r="G122" s="27"/>
      <c r="H122" s="24"/>
      <c r="I122" s="4"/>
      <c r="J122" s="24"/>
      <c r="K122" s="20">
        <f t="shared" si="46"/>
        <v>0</v>
      </c>
      <c r="L122" s="20">
        <f t="shared" si="45"/>
        <v>0</v>
      </c>
      <c r="M122" s="13" t="e">
        <f t="shared" si="43"/>
        <v>#DIV/0!</v>
      </c>
      <c r="N122" s="4"/>
      <c r="P122" s="34"/>
    </row>
    <row r="123" spans="1:16" x14ac:dyDescent="0.25">
      <c r="A123" s="23" t="s">
        <v>318</v>
      </c>
      <c r="B123" s="24"/>
      <c r="C123" s="4"/>
      <c r="D123" s="24"/>
      <c r="E123" s="24"/>
      <c r="F123" s="4"/>
      <c r="G123" s="27"/>
      <c r="H123" s="24"/>
      <c r="I123" s="24"/>
      <c r="J123" s="24"/>
      <c r="K123" s="20">
        <f t="shared" si="46"/>
        <v>0</v>
      </c>
      <c r="L123" s="20">
        <f t="shared" si="45"/>
        <v>0</v>
      </c>
      <c r="M123" s="13" t="e">
        <f t="shared" si="43"/>
        <v>#DIV/0!</v>
      </c>
      <c r="N123" s="4"/>
      <c r="P123" s="34"/>
    </row>
    <row r="124" spans="1:16" x14ac:dyDescent="0.25">
      <c r="A124" s="23" t="s">
        <v>319</v>
      </c>
      <c r="B124" s="24"/>
      <c r="C124" s="4"/>
      <c r="D124" s="24"/>
      <c r="E124" s="24"/>
      <c r="F124" s="4"/>
      <c r="G124" s="27"/>
      <c r="H124" s="24"/>
      <c r="I124" s="24"/>
      <c r="J124" s="24"/>
      <c r="K124" s="20">
        <f t="shared" si="46"/>
        <v>0</v>
      </c>
      <c r="L124" s="20">
        <f t="shared" si="45"/>
        <v>0</v>
      </c>
      <c r="M124" s="13" t="e">
        <f t="shared" si="43"/>
        <v>#DIV/0!</v>
      </c>
      <c r="N124" s="4"/>
      <c r="P124" s="34"/>
    </row>
    <row r="125" spans="1:16" x14ac:dyDescent="0.25">
      <c r="A125" s="23" t="s">
        <v>320</v>
      </c>
      <c r="B125" s="24"/>
      <c r="C125" s="4"/>
      <c r="D125" s="24"/>
      <c r="E125" s="24"/>
      <c r="F125" s="4"/>
      <c r="G125" s="27"/>
      <c r="H125" s="24"/>
      <c r="I125" s="24"/>
      <c r="J125" s="24"/>
      <c r="K125" s="20">
        <f t="shared" si="46"/>
        <v>0</v>
      </c>
      <c r="L125" s="20">
        <f t="shared" si="45"/>
        <v>0</v>
      </c>
      <c r="M125" s="13" t="e">
        <f t="shared" si="43"/>
        <v>#DIV/0!</v>
      </c>
      <c r="N125" s="4"/>
      <c r="P125" s="34"/>
    </row>
    <row r="126" spans="1:16" x14ac:dyDescent="0.25">
      <c r="A126" s="23"/>
      <c r="B126" s="8"/>
      <c r="C126" s="4"/>
      <c r="D126" s="24"/>
      <c r="E126" s="24"/>
      <c r="F126" s="4"/>
      <c r="G126" s="27"/>
      <c r="H126" s="24"/>
      <c r="I126" s="4"/>
      <c r="J126" s="24"/>
      <c r="K126" s="20">
        <f t="shared" si="44"/>
        <v>0</v>
      </c>
      <c r="L126" s="20">
        <f t="shared" si="45"/>
        <v>0</v>
      </c>
      <c r="M126" s="13" t="e">
        <f t="shared" si="43"/>
        <v>#DIV/0!</v>
      </c>
      <c r="N126" s="4"/>
      <c r="P126" s="34"/>
    </row>
    <row r="127" spans="1:16" x14ac:dyDescent="0.25">
      <c r="A127" s="23"/>
      <c r="B127" s="8"/>
      <c r="C127" s="4"/>
      <c r="D127" s="24"/>
      <c r="E127" s="24"/>
      <c r="F127" s="4"/>
      <c r="G127" s="15"/>
      <c r="H127" s="9"/>
      <c r="I127" s="4"/>
      <c r="J127" s="24"/>
      <c r="K127" s="39" t="e">
        <f>SUM(K8:K126)</f>
        <v>#REF!</v>
      </c>
      <c r="L127" s="39">
        <f>SUM(L8:L126)</f>
        <v>266060.30999999994</v>
      </c>
      <c r="M127" s="49" t="e">
        <f>100-L127*100/K127</f>
        <v>#REF!</v>
      </c>
      <c r="N127" s="50" t="e">
        <f>K127-L127</f>
        <v>#REF!</v>
      </c>
    </row>
    <row r="130" spans="1:14" ht="30" x14ac:dyDescent="0.25">
      <c r="A130" s="2" t="s">
        <v>0</v>
      </c>
      <c r="B130" s="3" t="s">
        <v>2</v>
      </c>
      <c r="C130" s="3" t="s">
        <v>9</v>
      </c>
      <c r="D130" s="3" t="s">
        <v>3</v>
      </c>
      <c r="E130" s="3" t="s">
        <v>4</v>
      </c>
      <c r="F130" s="7" t="s">
        <v>9</v>
      </c>
      <c r="G130" s="3" t="s">
        <v>5</v>
      </c>
      <c r="H130" s="3" t="s">
        <v>252</v>
      </c>
      <c r="I130" s="7" t="s">
        <v>9</v>
      </c>
      <c r="J130" s="3" t="s">
        <v>253</v>
      </c>
      <c r="K130" s="5" t="s">
        <v>10</v>
      </c>
      <c r="L130" s="5" t="s">
        <v>11</v>
      </c>
      <c r="M130" s="12" t="s">
        <v>61</v>
      </c>
      <c r="N130" s="34"/>
    </row>
    <row r="131" spans="1:14" x14ac:dyDescent="0.25">
      <c r="A131" s="23" t="s">
        <v>25</v>
      </c>
      <c r="B131" s="26"/>
      <c r="C131" s="4"/>
      <c r="D131" s="68"/>
      <c r="E131" s="24"/>
      <c r="F131" s="4"/>
      <c r="G131" s="27"/>
      <c r="H131" s="24"/>
      <c r="I131" s="4"/>
      <c r="J131" s="24"/>
      <c r="K131" s="20"/>
      <c r="L131" s="20"/>
      <c r="M131" s="13"/>
      <c r="N131" s="4"/>
    </row>
    <row r="132" spans="1:14" x14ac:dyDescent="0.25">
      <c r="A132" s="23" t="s">
        <v>26</v>
      </c>
      <c r="B132" s="26"/>
      <c r="C132" s="4"/>
      <c r="D132" s="68"/>
      <c r="E132" s="24"/>
      <c r="F132" s="4"/>
      <c r="G132" s="27"/>
      <c r="H132" s="24"/>
      <c r="I132" s="4"/>
      <c r="J132" s="24"/>
      <c r="K132" s="20"/>
      <c r="L132" s="20"/>
      <c r="M132" s="13"/>
      <c r="N132" s="4"/>
    </row>
    <row r="133" spans="1:14" x14ac:dyDescent="0.25">
      <c r="A133" s="23" t="s">
        <v>27</v>
      </c>
      <c r="B133" s="26"/>
      <c r="C133" s="4"/>
      <c r="D133" s="68"/>
      <c r="E133" s="24"/>
      <c r="F133" s="4"/>
      <c r="G133" s="27"/>
      <c r="H133" s="24"/>
      <c r="I133" s="4"/>
      <c r="J133" s="24"/>
      <c r="K133" s="20"/>
      <c r="L133" s="20"/>
      <c r="M133" s="13"/>
      <c r="N133" s="4"/>
    </row>
    <row r="134" spans="1:14" x14ac:dyDescent="0.25">
      <c r="A134" s="23" t="s">
        <v>28</v>
      </c>
      <c r="B134" s="26"/>
      <c r="C134" s="4"/>
      <c r="D134" s="68"/>
      <c r="E134" s="24"/>
      <c r="F134" s="4"/>
      <c r="G134" s="27"/>
      <c r="H134" s="24"/>
      <c r="I134" s="4"/>
      <c r="J134" s="24"/>
      <c r="K134" s="20"/>
      <c r="L134" s="20"/>
      <c r="M134" s="13"/>
      <c r="N134" s="4"/>
    </row>
    <row r="135" spans="1:14" x14ac:dyDescent="0.25">
      <c r="A135" s="31" t="s">
        <v>29</v>
      </c>
      <c r="B135" s="26"/>
      <c r="C135" s="4"/>
      <c r="D135" s="68"/>
      <c r="E135" s="24"/>
      <c r="F135" s="4"/>
      <c r="G135" s="27"/>
      <c r="H135" s="24"/>
      <c r="I135" s="4"/>
      <c r="J135" s="24"/>
      <c r="K135" s="20"/>
      <c r="L135" s="20"/>
      <c r="M135" s="13"/>
      <c r="N135" s="4"/>
    </row>
    <row r="136" spans="1:14" x14ac:dyDescent="0.25">
      <c r="A136" s="23" t="s">
        <v>30</v>
      </c>
      <c r="B136" s="26"/>
      <c r="C136" s="4"/>
      <c r="D136" s="68"/>
      <c r="E136" s="24"/>
      <c r="F136" s="4"/>
      <c r="G136" s="27"/>
      <c r="H136" s="26"/>
      <c r="I136" s="4"/>
      <c r="J136" s="24"/>
      <c r="K136" s="20"/>
      <c r="L136" s="20"/>
      <c r="M136" s="13"/>
      <c r="N136" s="4"/>
    </row>
    <row r="137" spans="1:14" x14ac:dyDescent="0.25">
      <c r="A137" s="23" t="s">
        <v>35</v>
      </c>
      <c r="B137" s="26"/>
      <c r="C137" s="4"/>
      <c r="D137" s="68"/>
      <c r="E137" s="24"/>
      <c r="F137" s="4"/>
      <c r="G137" s="27"/>
      <c r="H137" s="24"/>
      <c r="I137" s="4"/>
      <c r="J137" s="24"/>
      <c r="K137" s="20"/>
      <c r="L137" s="20"/>
      <c r="M137" s="13"/>
      <c r="N137" s="4"/>
    </row>
    <row r="138" spans="1:14" x14ac:dyDescent="0.25">
      <c r="A138" s="23" t="s">
        <v>36</v>
      </c>
      <c r="B138" s="26"/>
      <c r="C138" s="4"/>
      <c r="D138" s="68"/>
      <c r="E138" s="24"/>
      <c r="F138" s="4"/>
      <c r="G138" s="27"/>
      <c r="H138" s="24"/>
      <c r="I138" s="4"/>
      <c r="J138" s="24"/>
      <c r="K138" s="20"/>
      <c r="L138" s="20"/>
      <c r="M138" s="13"/>
      <c r="N138" s="4"/>
    </row>
    <row r="139" spans="1:14" x14ac:dyDescent="0.25">
      <c r="A139" s="23" t="s">
        <v>37</v>
      </c>
      <c r="B139" s="26"/>
      <c r="C139" s="4"/>
      <c r="D139" s="68"/>
      <c r="E139" s="24"/>
      <c r="F139" s="4"/>
      <c r="G139" s="27"/>
      <c r="H139" s="24"/>
      <c r="I139" s="4"/>
      <c r="J139" s="24"/>
      <c r="K139" s="20"/>
      <c r="L139" s="20"/>
      <c r="M139" s="13"/>
      <c r="N139" s="4"/>
    </row>
    <row r="140" spans="1:14" x14ac:dyDescent="0.25">
      <c r="A140" s="23" t="s">
        <v>38</v>
      </c>
      <c r="B140" s="26"/>
      <c r="C140" s="4"/>
      <c r="D140" s="68"/>
      <c r="E140" s="24"/>
      <c r="F140" s="4"/>
      <c r="G140" s="27"/>
      <c r="H140" s="24"/>
      <c r="I140" s="4"/>
      <c r="J140" s="24"/>
      <c r="K140" s="20"/>
      <c r="L140" s="20"/>
      <c r="M140" s="13"/>
      <c r="N140" s="4"/>
    </row>
    <row r="141" spans="1:14" x14ac:dyDescent="0.25">
      <c r="A141" s="23" t="s">
        <v>39</v>
      </c>
      <c r="B141" s="26"/>
      <c r="C141" s="4"/>
      <c r="D141" s="68"/>
      <c r="E141" s="24"/>
      <c r="F141" s="4"/>
      <c r="G141" s="27"/>
      <c r="H141" s="24"/>
      <c r="I141" s="4"/>
      <c r="J141" s="24"/>
      <c r="K141" s="20"/>
      <c r="L141" s="20"/>
      <c r="M141" s="13"/>
      <c r="N141" s="4"/>
    </row>
    <row r="142" spans="1:14" x14ac:dyDescent="0.25">
      <c r="A142" s="23" t="s">
        <v>40</v>
      </c>
      <c r="B142" s="26"/>
      <c r="C142" s="4"/>
      <c r="D142" s="68"/>
      <c r="E142" s="24"/>
      <c r="F142" s="4"/>
      <c r="G142" s="27"/>
      <c r="H142" s="24"/>
      <c r="I142" s="4"/>
      <c r="J142" s="24"/>
      <c r="K142" s="20"/>
      <c r="L142" s="20"/>
      <c r="M142" s="13"/>
      <c r="N142" s="4"/>
    </row>
    <row r="143" spans="1:14" x14ac:dyDescent="0.25">
      <c r="A143" s="23" t="s">
        <v>60</v>
      </c>
      <c r="B143" s="26"/>
      <c r="C143" s="4"/>
      <c r="D143" s="68"/>
      <c r="E143" s="24"/>
      <c r="F143" s="4"/>
      <c r="G143" s="27"/>
      <c r="H143" s="24"/>
      <c r="I143" s="4"/>
      <c r="J143" s="27"/>
      <c r="K143" s="20"/>
      <c r="L143" s="20"/>
      <c r="M143" s="13"/>
      <c r="N143" s="4"/>
    </row>
    <row r="144" spans="1:14" x14ac:dyDescent="0.25">
      <c r="A144" s="71" t="s">
        <v>41</v>
      </c>
      <c r="B144" s="26"/>
      <c r="C144" s="4"/>
      <c r="D144" s="68"/>
      <c r="E144" s="24"/>
      <c r="F144" s="4"/>
      <c r="G144" s="27"/>
      <c r="H144" s="24"/>
      <c r="I144" s="4"/>
      <c r="J144" s="24"/>
      <c r="K144" s="20"/>
      <c r="L144" s="20"/>
      <c r="M144" s="13"/>
      <c r="N144" s="16"/>
    </row>
    <row r="145" spans="1:14" x14ac:dyDescent="0.25">
      <c r="A145" s="23" t="s">
        <v>42</v>
      </c>
      <c r="B145" s="26"/>
      <c r="C145" s="4"/>
      <c r="D145" s="24"/>
      <c r="E145" s="26"/>
      <c r="F145" s="4"/>
      <c r="G145" s="27"/>
      <c r="H145" s="24"/>
      <c r="I145" s="4"/>
      <c r="J145" s="24"/>
      <c r="K145" s="20"/>
      <c r="L145" s="20"/>
      <c r="M145" s="13"/>
      <c r="N145" s="4"/>
    </row>
    <row r="146" spans="1:14" x14ac:dyDescent="0.25">
      <c r="A146" s="23" t="s">
        <v>452</v>
      </c>
      <c r="B146" s="20"/>
      <c r="C146" s="70"/>
      <c r="D146" s="21"/>
      <c r="E146" s="26"/>
      <c r="F146" s="4"/>
      <c r="G146" s="27"/>
      <c r="H146" s="24"/>
      <c r="I146" s="4"/>
      <c r="J146" s="24"/>
      <c r="K146" s="20">
        <f t="shared" ref="K146" si="47">B146+E146+H146</f>
        <v>0</v>
      </c>
      <c r="L146" s="20">
        <f t="shared" ref="L146" si="48">D146+G146+J146</f>
        <v>0</v>
      </c>
      <c r="M146" s="13" t="e">
        <f t="shared" ref="M146" si="49">100-L146*100/K146</f>
        <v>#DIV/0!</v>
      </c>
      <c r="N146" s="4"/>
    </row>
    <row r="147" spans="1:14" x14ac:dyDescent="0.25">
      <c r="A147" s="23"/>
      <c r="B147" s="26"/>
      <c r="C147" s="4"/>
      <c r="D147" s="24"/>
      <c r="E147" s="24"/>
      <c r="F147" s="4"/>
      <c r="G147" s="27"/>
      <c r="H147" s="24"/>
      <c r="I147" s="4"/>
      <c r="J147" s="24"/>
      <c r="K147" s="20"/>
      <c r="L147" s="20"/>
      <c r="M147" s="13"/>
      <c r="N147" s="53"/>
    </row>
    <row r="148" spans="1:14" x14ac:dyDescent="0.25">
      <c r="A148" s="23"/>
      <c r="B148" s="26"/>
      <c r="C148" s="4"/>
      <c r="D148" s="24"/>
      <c r="E148" s="24"/>
      <c r="F148" s="4"/>
      <c r="G148" s="24"/>
      <c r="H148" s="24"/>
      <c r="I148" s="4"/>
      <c r="J148" s="24"/>
      <c r="K148" s="20"/>
      <c r="L148" s="20"/>
      <c r="M148" s="13"/>
      <c r="N148" s="53"/>
    </row>
    <row r="149" spans="1:14" x14ac:dyDescent="0.25">
      <c r="A149" s="23"/>
      <c r="B149" s="26"/>
      <c r="C149" s="4"/>
      <c r="D149" s="24"/>
      <c r="E149" s="24"/>
      <c r="F149" s="4"/>
      <c r="G149" s="27"/>
      <c r="H149" s="24"/>
      <c r="I149" s="4"/>
      <c r="J149" s="24"/>
      <c r="K149" s="20"/>
      <c r="L149" s="20"/>
      <c r="M149" s="13"/>
      <c r="N149" s="53"/>
    </row>
    <row r="150" spans="1:14" x14ac:dyDescent="0.25">
      <c r="A150" s="23"/>
      <c r="B150" s="26"/>
      <c r="C150" s="4"/>
      <c r="D150" s="24"/>
      <c r="E150" s="24"/>
      <c r="F150" s="4"/>
      <c r="G150" s="27"/>
      <c r="H150" s="24"/>
      <c r="I150" s="4"/>
      <c r="J150" s="24"/>
      <c r="K150" s="20"/>
      <c r="L150" s="20"/>
      <c r="M150" s="13"/>
      <c r="N150" s="53"/>
    </row>
    <row r="151" spans="1:14" x14ac:dyDescent="0.25">
      <c r="B151" s="52"/>
      <c r="K151" s="52">
        <f>SUM(K131:K150)</f>
        <v>0</v>
      </c>
      <c r="L151" s="52">
        <f>SUM(L131:L150)</f>
        <v>0</v>
      </c>
      <c r="M151" s="52"/>
      <c r="N151" s="65">
        <f>SUM(N131:N150)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'2016'!Print_Titles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2026-03-05T20:11:42Z</dcterms:modified>
</cp:coreProperties>
</file>