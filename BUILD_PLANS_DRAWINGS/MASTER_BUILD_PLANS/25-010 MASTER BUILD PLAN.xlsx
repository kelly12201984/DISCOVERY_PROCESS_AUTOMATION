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0-25 - Kimberly Clark - 220-TK-22112\"/>
    </mc:Choice>
  </mc:AlternateContent>
  <xr:revisionPtr revIDLastSave="0" documentId="13_ncr:1_{EB29A580-24CB-4144-A346-B19F329E709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<sst xmlns="http://schemas.openxmlformats.org/spreadsheetml/2006/main" count="1658" uniqueCount="193">
  <si>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</si>
  <si>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</si>
  <si>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</si>
  <si>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</si>
  <si>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</si>
  <si>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</si>
  <si>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</si>
  <si>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</si>
  <si>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</si>
  <si>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</si>
  <si>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</si>
  <si>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</si>
  <si>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</si>
  <si>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</si>
  <si>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</si>
  <si>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</si>
  <si>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</si>
  <si>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</si>
  <si>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</si>
  <si>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</si>
  <si>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</si>
  <si>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</si>
  <si>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</si>
  <si>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</si>
  <si>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</si>
  <si>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</si>
  <si>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</si>
  <si>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</si>
  <si>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</si>
  <si>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</si>
  <si>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</si>
  <si>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</si>
  <si>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</si>
  <si>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</si>
  <si>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</si>
  <si>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</si>
  <si>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</si>
  <si>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</si>
  <si>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</si>
  <si>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</si>
  <si>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</si>
  <si>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</si>
  <si>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</si>
  <si>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</si>
  <si>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</si>
  <si>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</si>
  <si>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</si>
  <si>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</si>
  <si>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</si>
  <si>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</si>
  <si>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</si>
  <si>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</si>
  <si>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</si>
  <si>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</si>
  <si>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</si>
  <si>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</si>
  <si>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</si>
  <si>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</si>
  <si>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</si>
  <si>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</si>
  <si>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</si>
  <si>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</si>
  <si>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</si>
  <si>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</si>
  <si>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</si>
  <si>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</si>
  <si>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</si>
  <si>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</si>
  <si>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</si>
  <si>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</si>
  <si>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</si>
  <si>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</si>
  <si>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</si>
  <si>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</si>
  <si>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</si>
  <si>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</si>
  <si>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</si>
  <si>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</si>
  <si>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</si>
  <si>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</si>
  <si>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</si>
  <si>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</si>
  <si>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</si>
  <si>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</si>
  <si>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</si>
  <si>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</si>
  <si>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</si>
  <si>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</si>
  <si>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</si>
  <si>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</si>
  <si>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</si>
  <si>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</si>
  <si>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</si>
  <si>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</si>
  <si>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</si>
  <si>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</si>
  <si>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</si>
  <si>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</si>
  <si>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</si>
  <si>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</si>
  <si>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</si>
  <si>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</si>
  <si>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</si>
  <si>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</si>
  <si>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</si>
  <si>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</si>
  <si>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</si>
  <si>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</si>
  <si>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</si>
  <si>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</si>
  <si>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</si>
  <si>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</si>
  <si>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</si>
  <si>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</si>
  <si>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</si>
  <si>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</si>
  <si>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</si>
  <si>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</si>
  <si>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</si>
  <si>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</si>
  <si>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</si>
  <si>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</si>
  <si>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</si>
  <si>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</si>
  <si>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</si>
  <si>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</si>
  <si>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</si>
  <si>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</si>
  <si>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</si>
  <si>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</si>
  <si>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</si>
  <si>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</si>
  <si>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</si>
  <si>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</si>
  <si>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</si>
  <si>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</si>
  <si>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</si>
  <si>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</si>
  <si>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</si>
  <si>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</si>
  <si>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</si>
  <si>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</si>
  <si>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</si>
  <si>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</si>
  <si>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</si>
  <si>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</si>
  <si>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</si>
  <si>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</si>
  <si>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</si>
  <si>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</si>
  <si>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</si>
  <si>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</si>
  <si>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</si>
  <si>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</si>
  <si>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Cut Parts on Burn Table</t>
  </si>
  <si>
    <t>Clean &amp; Prep Parts</t>
  </si>
  <si>
    <t>.156</t>
  </si>
  <si>
    <t>Install Internal Parts</t>
  </si>
  <si>
    <t>.630</t>
  </si>
  <si>
    <t>220-TK-22112</t>
  </si>
  <si>
    <t>C000139275</t>
  </si>
  <si>
    <t>9063.3</t>
  </si>
  <si>
    <t>Build nozzles and weld_x000D_
MAKE NOZZLE S2</t>
  </si>
  <si>
    <t>Make lift lugs, ground lugs, etc.</t>
  </si>
  <si>
    <t>Fabricate miscellaneous parts_x000D_
(1) LOWER &amp; (2) UPPER CABINET HOLDERS</t>
  </si>
  <si>
    <t>Shells: bring in plate, square, trim and clean</t>
  </si>
  <si>
    <t>Roll shells, tack and weld inside seams_x000D_
WELD OUTSIDE SEAM WITH COBOT</t>
  </si>
  <si>
    <t>Build top head/cone_x000D_
CUT ON CNC TABLE</t>
  </si>
  <si>
    <t>Lay out top head, burn and clean holes_x000D_
CUT ON CNC TABLE</t>
  </si>
  <si>
    <t>Set  nozzles, lift lugs, etc. in top head - tack</t>
  </si>
  <si>
    <t>Weld out top head nozzles, etc.</t>
  </si>
  <si>
    <t>Install Top Stiffeners</t>
  </si>
  <si>
    <t>.375</t>
  </si>
  <si>
    <t>Install top stiffeners_x000D_
FIT &amp; WELD TOPE (3) TOP STIFFENERS</t>
  </si>
  <si>
    <t>Build bottom head/cone_x000D_
CUT ON CNC TABLE</t>
  </si>
  <si>
    <t>Install Bottom Stiffeners</t>
  </si>
  <si>
    <t>.475</t>
  </si>
  <si>
    <t>Install bottom stiffeners</t>
  </si>
  <si>
    <t>Fit bottom head to shell_x000D_
FIT SLOPED BOTTOM &amp; WELD; FIT &amp; WELD FLAT BOTTOM</t>
  </si>
  <si>
    <t>Lay out shell, burn and clean holes_x000D_
CLEAN UP HOLES CUT ON CNC TABLE</t>
  </si>
  <si>
    <t>Install internals - wear plates, rings, clips, etc._x000D_
INSTALL NOZZLE S3</t>
  </si>
  <si>
    <t>Fit top head to shell - tack_x000D_
AND WELD TO RIM ANGLE</t>
  </si>
  <si>
    <t>Install lift lugs on shell_x000D_
INCL REPADS &amp; (1) GROUND LUG</t>
  </si>
  <si>
    <t>Set nozzles in shell - tack</t>
  </si>
  <si>
    <t>Weld shell nozzles, manways, etc._x000D_
INCL HOLE WATCH</t>
  </si>
  <si>
    <t>Install dip pipe supports_x000D_
FIT &amp; WELD (3) CABINET SUPPORT HOLDERS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</si>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</sst>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220-TK-22112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MAKE NOZZLE S2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.200</v>
      </c>
      <c r="D11" s="22" t="str">
        <f>'Sheet2-PASTE HERE!'!K21</f>
        <v>Make lift lugs, ground lugs,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.205</v>
      </c>
      <c r="D12" s="22" t="str">
        <f>'Sheet2-PASTE HERE!'!K22</f>
        <v>Roll rim angle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(1) LOWER &amp; (2) UPPER CABINET HOLDERS</v>
      </c>
      <c r="E13" s="13">
        <f>'Sheet2-PASTE HERE!'!F23</f>
        <v>7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WELD OUTSIDE SEAM WITH COBOT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.350</v>
      </c>
      <c r="D17" s="22" t="str">
        <f>'Sheet2-PASTE HERE!'!K27</f>
        <v>Build top head/cone_x000D_
CUT ON CNC TABLE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.QC4</v>
      </c>
      <c r="D18" s="22" t="str">
        <f>'Sheet2-PASTE HERE!'!K28</f>
        <v>QC Inspection - Top/Bottom/Cones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.355</v>
      </c>
      <c r="D19" s="22" t="str">
        <f>'Sheet2-PASTE HERE!'!K29</f>
        <v>Lay out top head, burn and clean holes_x000D_
CUT ON CNC TABLE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.365</v>
      </c>
      <c r="D20" s="22" t="str">
        <f>'Sheet2-PASTE HERE!'!K30</f>
        <v>Set  nozzles, lift lugs, etc. in top head - tack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.366</v>
      </c>
      <c r="D21" s="22" t="str">
        <f>'Sheet2-PASTE HERE!'!K31</f>
        <v>Weld out top head nozzles, etc.</v>
      </c>
      <c r="E21" s="13">
        <f>'Sheet2-PASTE HERE!'!F31</f>
        <v>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.375</v>
      </c>
      <c r="D22" s="22" t="str">
        <f>'Sheet2-PASTE HERE!'!K32</f>
        <v>Install top stiffeners_x000D_
FIT &amp; WELD TOPE (3) TOP STIFFENERS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.450</v>
      </c>
      <c r="D23" s="22" t="str">
        <f>'Sheet2-PASTE HERE!'!K33</f>
        <v>Build bottom head/cone_x000D_
CUT ON CNC TABLE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.475</v>
      </c>
      <c r="D25" s="22" t="str">
        <f>'Sheet2-PASTE HERE!'!K35</f>
        <v>Install bottom stiffeners</v>
      </c>
      <c r="E25" s="13">
        <f>'Sheet2-PASTE HERE!'!F35</f>
        <v>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FIT SLOPED BOTTOM &amp; WELD; FIT &amp; WELD FLAT BOTTOM</v>
      </c>
      <c r="E26" s="13">
        <f>'Sheet2-PASTE HERE!'!F36</f>
        <v>10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.615</v>
      </c>
      <c r="D27" s="22" t="str">
        <f>'Sheet2-PASTE HERE!'!K37</f>
        <v>Install rim angle - tack only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.616</v>
      </c>
      <c r="D28" s="22" t="str">
        <f>'Sheet2-PASTE HERE!'!K38</f>
        <v>Weld rim angle complete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.620</v>
      </c>
      <c r="D29" s="22" t="str">
        <f>'Sheet2-PASTE HERE!'!K39</f>
        <v>Lay out shell, burn and clean holes_x000D_
CLEAN UP HOLES CUT ON CNC TABLE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.630</v>
      </c>
      <c r="D30" s="22" t="str">
        <f>'Sheet2-PASTE HERE!'!K40</f>
        <v>Install internals - wear plates, rings, clips, etc._x000D_
INSTALL NOZZLE S3</v>
      </c>
      <c r="E30" s="13">
        <f>'Sheet2-PASTE HERE!'!F40</f>
        <v>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.QC5</v>
      </c>
      <c r="D31" s="22" t="str">
        <f>'Sheet2-PASTE HERE!'!K41</f>
        <v>QC Inspection - Internal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.640</v>
      </c>
      <c r="D32" s="22" t="str">
        <f>'Sheet2-PASTE HERE!'!K42</f>
        <v>Fit top head to shell - tack_x000D_
AND WELD TO RIM ANGLE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MOVE TANK</v>
      </c>
      <c r="B33" s="11"/>
      <c r="C33" s="17" t="str">
        <f>'Sheet2-PASTE HERE!'!I43</f>
        <v>.800</v>
      </c>
      <c r="D33" s="22" t="str">
        <f>'Sheet2-PASTE HERE!'!K43</f>
        <v>Move tank to detail rolls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.717</v>
      </c>
      <c r="D34" s="22" t="str">
        <f>'Sheet2-PASTE HERE!'!K44</f>
        <v>Install lift lugs on shell_x000D_
INCL REPADS &amp; (1) GROUND LUG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.725</v>
      </c>
      <c r="D35" s="22" t="str">
        <f>'Sheet2-PASTE HERE!'!K45</f>
        <v>Set nozzles in shell - tack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.726</v>
      </c>
      <c r="D36" s="22" t="str">
        <f>'Sheet2-PASTE HERE!'!K46</f>
        <v>Weld shell nozzles, manways, etc._x000D_
INCL HOLE WATCH</v>
      </c>
      <c r="E36" s="13">
        <f>'Sheet2-PASTE HERE!'!F46</f>
        <v>10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.735</v>
      </c>
      <c r="D37" s="22" t="str">
        <f>'Sheet2-PASTE HERE!'!K47</f>
        <v>Install dip pipe supports_x000D_
FIT &amp; WELD (3) CABINET SUPPORT HOLDERS</v>
      </c>
      <c r="E37" s="13">
        <f>'Sheet2-PASTE HERE!'!F47</f>
        <v>5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.765</v>
      </c>
      <c r="D38" s="22" t="str">
        <f>'Sheet2-PASTE HERE!'!K48</f>
        <v>Install name tag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.770</v>
      </c>
      <c r="D39" s="22" t="str">
        <f>'Sheet2-PASTE HERE!'!K49</f>
        <v>Inspect tank, make repairs, get QC inspector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.QC6</v>
      </c>
      <c r="D40" s="22" t="str">
        <f>'Sheet2-PASTE HERE!'!K50</f>
        <v>QC Inspection - Fabrication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MOVE TANK</v>
      </c>
      <c r="B41" s="11"/>
      <c r="C41" s="17" t="str">
        <f>'Sheet2-PASTE HERE!'!I51</f>
        <v>.801</v>
      </c>
      <c r="D41" s="22" t="str">
        <f>'Sheet2-PASTE HERE!'!K51</f>
        <v>Move to shop test area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.910</v>
      </c>
      <c r="D42" s="22" t="str">
        <f>'Sheet2-PASTE HERE!'!K52</f>
        <v>Test tank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.QC7</v>
      </c>
      <c r="D43" s="22" t="str">
        <f>'Sheet2-PASTE HERE!'!K53</f>
        <v>QC Inspection - Test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.920</v>
      </c>
      <c r="D44" s="22" t="str">
        <f>'Sheet2-PASTE HERE!'!K54</f>
        <v>Clean tank complete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.QC8</v>
      </c>
      <c r="D45" s="22" t="str">
        <f>'Sheet2-PASTE HERE!'!K55</f>
        <v>QC Inspection - Clean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.940</v>
      </c>
      <c r="D46" s="22" t="str">
        <f>'Sheet2-PASTE HERE!'!K56</f>
        <v>Prepare tank for shipment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.950</v>
      </c>
      <c r="D47" s="22" t="str">
        <f>'Sheet2-PASTE HERE!'!K57</f>
        <v>Check bill of materials and pack loose parts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.QC95</v>
      </c>
      <c r="D48" s="22" t="str">
        <f>'Sheet2-PASTE HERE!'!K58</f>
        <v>QC Inspection - Final &amp; Loose Items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SHIPPING</v>
      </c>
      <c r="B49" s="11"/>
      <c r="C49" s="17" t="str">
        <f>'Sheet2-PASTE HERE!'!I59</f>
        <v>.960</v>
      </c>
      <c r="D49" s="22" t="str">
        <f>'Sheet2-PASTE HERE!'!K59</f>
        <v>Load on truck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 t="str">
        <f>'Sheet2-PASTE HERE!'!F61</f>
        <v/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220-TK-22112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MAKE NOZZLE S2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.200</v>
      </c>
      <c r="D11" s="22" t="str">
        <f>'Sheet2-PASTE HERE!'!K21</f>
        <v>Make lift lugs, ground lugs,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.205</v>
      </c>
      <c r="D12" s="22" t="str">
        <f>'Sheet2-PASTE HERE!'!K22</f>
        <v>Roll rim angle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(1) LOWER &amp; (2) UPPER CABINET HOLDERS</v>
      </c>
      <c r="E13" s="13">
        <f>'Sheet2-PASTE HERE!'!F23</f>
        <v>7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WELD OUTSIDE SEAM WITH COBOT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.350</v>
      </c>
      <c r="D17" s="22" t="str">
        <f>'Sheet2-PASTE HERE!'!K27</f>
        <v>Build top head/cone_x000D_
CUT ON CNC TABLE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.QC4</v>
      </c>
      <c r="D18" s="22" t="str">
        <f>'Sheet2-PASTE HERE!'!K28</f>
        <v>QC Inspection - Top/Bottom/Cones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.355</v>
      </c>
      <c r="D19" s="22" t="str">
        <f>'Sheet2-PASTE HERE!'!K29</f>
        <v>Lay out top head, burn and clean holes_x000D_
CUT ON CNC TABLE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.365</v>
      </c>
      <c r="D20" s="22" t="str">
        <f>'Sheet2-PASTE HERE!'!K30</f>
        <v>Set  nozzles, lift lugs, etc. in top head - tack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.366</v>
      </c>
      <c r="D21" s="22" t="str">
        <f>'Sheet2-PASTE HERE!'!K31</f>
        <v>Weld out top head nozzles, etc.</v>
      </c>
      <c r="E21" s="13">
        <f>'Sheet2-PASTE HERE!'!F31</f>
        <v>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.375</v>
      </c>
      <c r="D22" s="22" t="str">
        <f>'Sheet2-PASTE HERE!'!K32</f>
        <v>Install top stiffeners_x000D_
FIT &amp; WELD TOPE (3) TOP STIFFENERS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.450</v>
      </c>
      <c r="D23" s="22" t="str">
        <f>'Sheet2-PASTE HERE!'!K33</f>
        <v>Build bottom head/cone_x000D_
CUT ON CNC TABLE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.475</v>
      </c>
      <c r="D25" s="22" t="str">
        <f>'Sheet2-PASTE HERE!'!K35</f>
        <v>Install bottom stiffeners</v>
      </c>
      <c r="E25" s="13">
        <f>'Sheet2-PASTE HERE!'!F35</f>
        <v>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FIT SLOPED BOTTOM &amp; WELD; FIT &amp; WELD FLAT BOTTOM</v>
      </c>
      <c r="E26" s="13">
        <f>'Sheet2-PASTE HERE!'!F36</f>
        <v>10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.615</v>
      </c>
      <c r="D27" s="22" t="str">
        <f>'Sheet2-PASTE HERE!'!K37</f>
        <v>Install rim angle - tack only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.616</v>
      </c>
      <c r="D28" s="22" t="str">
        <f>'Sheet2-PASTE HERE!'!K38</f>
        <v>Weld rim angle complete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.620</v>
      </c>
      <c r="D29" s="22" t="str">
        <f>'Sheet2-PASTE HERE!'!K39</f>
        <v>Lay out shell, burn and clean holes_x000D_
CLEAN UP HOLES CUT ON CNC TABLE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.630</v>
      </c>
      <c r="D30" s="22" t="str">
        <f>'Sheet2-PASTE HERE!'!K40</f>
        <v>Install internals - wear plates, rings, clips, etc._x000D_
INSTALL NOZZLE S3</v>
      </c>
      <c r="E30" s="13">
        <f>'Sheet2-PASTE HERE!'!F40</f>
        <v>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.QC5</v>
      </c>
      <c r="D31" s="22" t="str">
        <f>'Sheet2-PASTE HERE!'!K41</f>
        <v>QC Inspection - Internal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.640</v>
      </c>
      <c r="D32" s="22" t="str">
        <f>'Sheet2-PASTE HERE!'!K42</f>
        <v>Fit top head to shell - tack_x000D_
AND WELD TO RIM ANGLE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MOVE TANK</v>
      </c>
      <c r="B33" s="11"/>
      <c r="C33" s="17" t="str">
        <f>'Sheet2-PASTE HERE!'!I43</f>
        <v>.800</v>
      </c>
      <c r="D33" s="22" t="str">
        <f>'Sheet2-PASTE HERE!'!K43</f>
        <v>Move tank to detail rolls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.717</v>
      </c>
      <c r="D34" s="22" t="str">
        <f>'Sheet2-PASTE HERE!'!K44</f>
        <v>Install lift lugs on shell_x000D_
INCL REPADS &amp; (1) GROUND LUG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.725</v>
      </c>
      <c r="D35" s="22" t="str">
        <f>'Sheet2-PASTE HERE!'!K45</f>
        <v>Set nozzles in shell - tack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.726</v>
      </c>
      <c r="D36" s="22" t="str">
        <f>'Sheet2-PASTE HERE!'!K46</f>
        <v>Weld shell nozzles, manways, etc._x000D_
INCL HOLE WATCH</v>
      </c>
      <c r="E36" s="13">
        <f>'Sheet2-PASTE HERE!'!F46</f>
        <v>10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.735</v>
      </c>
      <c r="D37" s="22" t="str">
        <f>'Sheet2-PASTE HERE!'!K47</f>
        <v>Install dip pipe supports_x000D_
FIT &amp; WELD (3) CABINET SUPPORT HOLDERS</v>
      </c>
      <c r="E37" s="13">
        <f>'Sheet2-PASTE HERE!'!F47</f>
        <v>5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.765</v>
      </c>
      <c r="D38" s="22" t="str">
        <f>'Sheet2-PASTE HERE!'!K48</f>
        <v>Install name tag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.770</v>
      </c>
      <c r="D39" s="22" t="str">
        <f>'Sheet2-PASTE HERE!'!K49</f>
        <v>Inspect tank, make repairs, get QC inspector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.QC6</v>
      </c>
      <c r="D40" s="22" t="str">
        <f>'Sheet2-PASTE HERE!'!K50</f>
        <v>QC Inspection - Fabrication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MOVE TANK</v>
      </c>
      <c r="B41" s="11"/>
      <c r="C41" s="17" t="str">
        <f>'Sheet2-PASTE HERE!'!I51</f>
        <v>.801</v>
      </c>
      <c r="D41" s="22" t="str">
        <f>'Sheet2-PASTE HERE!'!K51</f>
        <v>Move to shop test area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.910</v>
      </c>
      <c r="D42" s="22" t="str">
        <f>'Sheet2-PASTE HERE!'!K52</f>
        <v>Test tank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.QC7</v>
      </c>
      <c r="D43" s="22" t="str">
        <f>'Sheet2-PASTE HERE!'!K53</f>
        <v>QC Inspection - Test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.920</v>
      </c>
      <c r="D44" s="22" t="str">
        <f>'Sheet2-PASTE HERE!'!K54</f>
        <v>Clean tank complete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.QC8</v>
      </c>
      <c r="D45" s="22" t="str">
        <f>'Sheet2-PASTE HERE!'!K55</f>
        <v>QC Inspection - Clean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.940</v>
      </c>
      <c r="D46" s="22" t="str">
        <f>'Sheet2-PASTE HERE!'!K56</f>
        <v>Prepare tank for shipment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.950</v>
      </c>
      <c r="D47" s="22" t="str">
        <f>'Sheet2-PASTE HERE!'!K57</f>
        <v>Check bill of materials and pack loose parts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.QC95</v>
      </c>
      <c r="D48" s="22" t="str">
        <f>'Sheet2-PASTE HERE!'!K58</f>
        <v>QC Inspection - Final &amp; Loose Items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SHIPPING</v>
      </c>
      <c r="B49" s="11"/>
      <c r="C49" s="17" t="str">
        <f>'Sheet2-PASTE HERE!'!I59</f>
        <v>.960</v>
      </c>
      <c r="D49" s="22" t="str">
        <f>'Sheet2-PASTE HERE!'!K59</f>
        <v>Load on truck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 t="str">
        <f>'Sheet2-PASTE HERE!'!F61</f>
        <v/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159</v>
      </c>
      <c r="C1" s="8" t="s">
        <v>17</v>
      </c>
      <c r="D1" s="8" t="s">
        <v>160</v>
      </c>
      <c r="E1" s="8" t="s">
        <v>18</v>
      </c>
      <c r="F1" s="8" t="s">
        <v>161</v>
      </c>
      <c r="G1" s="8" t="s">
        <v>159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116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55340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55341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55342</v>
      </c>
      <c r="C17" s="19">
        <v>0</v>
      </c>
      <c r="D17" s="8" t="s">
        <v>57</v>
      </c>
      <c r="E17" s="20">
        <v>0</v>
      </c>
      <c r="F17" s="20">
        <v>2</v>
      </c>
      <c r="G17" s="8" t="s">
        <v>54</v>
      </c>
      <c r="H17" s="20">
        <v>2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55343</v>
      </c>
      <c r="C18" s="19">
        <v>0</v>
      </c>
      <c r="D18" s="8" t="s">
        <v>79</v>
      </c>
      <c r="E18" s="20">
        <v>0</v>
      </c>
      <c r="F18" s="20">
        <v>2</v>
      </c>
      <c r="G18" s="8" t="s">
        <v>54</v>
      </c>
      <c r="H18" s="20">
        <v>2</v>
      </c>
      <c r="I18" s="8" t="s">
        <v>80</v>
      </c>
      <c r="J18" s="19">
        <v>0</v>
      </c>
      <c r="K18" s="8" t="s">
        <v>162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55344</v>
      </c>
      <c r="C19" s="19">
        <v>0</v>
      </c>
      <c r="D19" s="8" t="s">
        <v>154</v>
      </c>
      <c r="E19" s="20">
        <v>0</v>
      </c>
      <c r="F19" s="20">
        <v>9</v>
      </c>
      <c r="G19" s="8" t="s">
        <v>54</v>
      </c>
      <c r="H19" s="20">
        <v>9</v>
      </c>
      <c r="I19" s="8" t="s">
        <v>59</v>
      </c>
      <c r="J19" s="19">
        <v>0</v>
      </c>
      <c r="K19" s="8" t="s">
        <v>81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55345</v>
      </c>
      <c r="C20" s="19">
        <v>0</v>
      </c>
      <c r="D20" s="8" t="s">
        <v>155</v>
      </c>
      <c r="E20" s="20">
        <v>0</v>
      </c>
      <c r="F20" s="20">
        <v>4</v>
      </c>
      <c r="G20" s="8" t="s">
        <v>54</v>
      </c>
      <c r="H20" s="20">
        <v>4</v>
      </c>
      <c r="I20" s="8" t="s">
        <v>156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55346</v>
      </c>
      <c r="C21" s="19">
        <v>0</v>
      </c>
      <c r="D21" s="8" t="s">
        <v>82</v>
      </c>
      <c r="E21" s="20">
        <v>0</v>
      </c>
      <c r="F21" s="20">
        <v>2</v>
      </c>
      <c r="G21" s="8" t="s">
        <v>54</v>
      </c>
      <c r="H21" s="20">
        <v>2</v>
      </c>
      <c r="I21" s="8" t="s">
        <v>83</v>
      </c>
      <c r="J21" s="19">
        <v>0</v>
      </c>
      <c r="K21" s="8" t="s">
        <v>163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55347</v>
      </c>
      <c r="C22" s="19">
        <v>0</v>
      </c>
      <c r="D22" s="8" t="s">
        <v>137</v>
      </c>
      <c r="E22" s="20">
        <v>0</v>
      </c>
      <c r="F22" s="20">
        <v>3</v>
      </c>
      <c r="G22" s="8" t="s">
        <v>54</v>
      </c>
      <c r="H22" s="20">
        <v>3</v>
      </c>
      <c r="I22" s="8" t="s">
        <v>138</v>
      </c>
      <c r="J22" s="19">
        <v>0</v>
      </c>
      <c r="K22" s="8" t="s">
        <v>139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55348</v>
      </c>
      <c r="C23" s="19">
        <v>0</v>
      </c>
      <c r="D23" s="8" t="s">
        <v>140</v>
      </c>
      <c r="E23" s="20">
        <v>0</v>
      </c>
      <c r="F23" s="20">
        <v>7</v>
      </c>
      <c r="G23" s="8" t="s">
        <v>54</v>
      </c>
      <c r="H23" s="20">
        <v>7</v>
      </c>
      <c r="I23" s="8" t="s">
        <v>141</v>
      </c>
      <c r="J23" s="19">
        <v>0</v>
      </c>
      <c r="K23" s="8" t="s">
        <v>164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55349</v>
      </c>
      <c r="C24" s="19">
        <v>0</v>
      </c>
      <c r="D24" s="8" t="s">
        <v>84</v>
      </c>
      <c r="E24" s="20">
        <v>0</v>
      </c>
      <c r="F24" s="20">
        <v>0</v>
      </c>
      <c r="G24" s="8" t="s">
        <v>54</v>
      </c>
      <c r="H24" s="20">
        <v>0</v>
      </c>
      <c r="I24" s="8" t="s">
        <v>85</v>
      </c>
      <c r="J24" s="19">
        <v>0</v>
      </c>
      <c r="K24" s="8" t="s">
        <v>84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55350</v>
      </c>
      <c r="C25" s="19">
        <v>0</v>
      </c>
      <c r="D25" s="8" t="s">
        <v>86</v>
      </c>
      <c r="E25" s="20">
        <v>0</v>
      </c>
      <c r="F25" s="20">
        <v>2</v>
      </c>
      <c r="G25" s="8" t="s">
        <v>54</v>
      </c>
      <c r="H25" s="20">
        <v>2</v>
      </c>
      <c r="I25" s="8" t="s">
        <v>87</v>
      </c>
      <c r="J25" s="19">
        <v>0</v>
      </c>
      <c r="K25" s="8" t="s">
        <v>165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55351</v>
      </c>
      <c r="C26" s="19">
        <v>0</v>
      </c>
      <c r="D26" s="8" t="s">
        <v>88</v>
      </c>
      <c r="E26" s="20">
        <v>0</v>
      </c>
      <c r="F26" s="20">
        <v>4</v>
      </c>
      <c r="G26" s="8" t="s">
        <v>54</v>
      </c>
      <c r="H26" s="20">
        <v>4</v>
      </c>
      <c r="I26" s="8" t="s">
        <v>89</v>
      </c>
      <c r="J26" s="19">
        <v>0</v>
      </c>
      <c r="K26" s="8" t="s">
        <v>166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55352</v>
      </c>
      <c r="C27" s="19">
        <v>0</v>
      </c>
      <c r="D27" s="8" t="s">
        <v>142</v>
      </c>
      <c r="E27" s="20">
        <v>0</v>
      </c>
      <c r="F27" s="20">
        <v>1</v>
      </c>
      <c r="G27" s="8" t="s">
        <v>54</v>
      </c>
      <c r="H27" s="20">
        <v>1</v>
      </c>
      <c r="I27" s="8" t="s">
        <v>143</v>
      </c>
      <c r="J27" s="19">
        <v>0</v>
      </c>
      <c r="K27" s="8" t="s">
        <v>167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55353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55354</v>
      </c>
      <c r="C29" s="19">
        <v>0</v>
      </c>
      <c r="D29" s="8" t="s">
        <v>93</v>
      </c>
      <c r="E29" s="20">
        <v>0</v>
      </c>
      <c r="F29" s="20">
        <v>1</v>
      </c>
      <c r="G29" s="8" t="s">
        <v>54</v>
      </c>
      <c r="H29" s="20">
        <v>1</v>
      </c>
      <c r="I29" s="8" t="s">
        <v>94</v>
      </c>
      <c r="J29" s="19">
        <v>0</v>
      </c>
      <c r="K29" s="8" t="s">
        <v>168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55355</v>
      </c>
      <c r="C30" s="19">
        <v>0</v>
      </c>
      <c r="D30" s="8" t="s">
        <v>95</v>
      </c>
      <c r="E30" s="20">
        <v>0</v>
      </c>
      <c r="F30" s="20">
        <v>3</v>
      </c>
      <c r="G30" s="8" t="s">
        <v>54</v>
      </c>
      <c r="H30" s="20">
        <v>3</v>
      </c>
      <c r="I30" s="8" t="s">
        <v>96</v>
      </c>
      <c r="J30" s="19">
        <v>0</v>
      </c>
      <c r="K30" s="8" t="s">
        <v>169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55356</v>
      </c>
      <c r="C31" s="19">
        <v>0</v>
      </c>
      <c r="D31" s="8" t="s">
        <v>97</v>
      </c>
      <c r="E31" s="20">
        <v>0</v>
      </c>
      <c r="F31" s="20">
        <v>5</v>
      </c>
      <c r="G31" s="8" t="s">
        <v>54</v>
      </c>
      <c r="H31" s="20">
        <v>5</v>
      </c>
      <c r="I31" s="8" t="s">
        <v>98</v>
      </c>
      <c r="J31" s="19">
        <v>0</v>
      </c>
      <c r="K31" s="8" t="s">
        <v>170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55357</v>
      </c>
      <c r="C32" s="19">
        <v>0</v>
      </c>
      <c r="D32" s="8" t="s">
        <v>171</v>
      </c>
      <c r="E32" s="20">
        <v>0</v>
      </c>
      <c r="F32" s="20">
        <v>2</v>
      </c>
      <c r="G32" s="8" t="s">
        <v>54</v>
      </c>
      <c r="H32" s="20">
        <v>2</v>
      </c>
      <c r="I32" s="8" t="s">
        <v>172</v>
      </c>
      <c r="J32" s="19">
        <v>0</v>
      </c>
      <c r="K32" s="8" t="s">
        <v>173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55358</v>
      </c>
      <c r="C33" s="19">
        <v>0</v>
      </c>
      <c r="D33" s="8" t="s">
        <v>144</v>
      </c>
      <c r="E33" s="20">
        <v>0</v>
      </c>
      <c r="F33" s="20">
        <v>1</v>
      </c>
      <c r="G33" s="8" t="s">
        <v>54</v>
      </c>
      <c r="H33" s="20">
        <v>1</v>
      </c>
      <c r="I33" s="8" t="s">
        <v>145</v>
      </c>
      <c r="J33" s="19">
        <v>0</v>
      </c>
      <c r="K33" s="8" t="s">
        <v>174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55359</v>
      </c>
      <c r="C34" s="19">
        <v>0</v>
      </c>
      <c r="D34" s="8" t="s">
        <v>90</v>
      </c>
      <c r="E34" s="20">
        <v>0</v>
      </c>
      <c r="F34" s="20">
        <v>0</v>
      </c>
      <c r="G34" s="8" t="s">
        <v>54</v>
      </c>
      <c r="H34" s="20">
        <v>0</v>
      </c>
      <c r="I34" s="8" t="s">
        <v>91</v>
      </c>
      <c r="J34" s="19">
        <v>0</v>
      </c>
      <c r="K34" s="8" t="s">
        <v>92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55360</v>
      </c>
      <c r="C35" s="19">
        <v>0</v>
      </c>
      <c r="D35" s="8" t="s">
        <v>175</v>
      </c>
      <c r="E35" s="20">
        <v>0</v>
      </c>
      <c r="F35" s="20">
        <v>2</v>
      </c>
      <c r="G35" s="8" t="s">
        <v>54</v>
      </c>
      <c r="H35" s="20">
        <v>2</v>
      </c>
      <c r="I35" s="8" t="s">
        <v>176</v>
      </c>
      <c r="J35" s="19">
        <v>0</v>
      </c>
      <c r="K35" s="8" t="s">
        <v>177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72</v>
      </c>
      <c r="B36" s="18">
        <v>55361</v>
      </c>
      <c r="C36" s="19">
        <v>0</v>
      </c>
      <c r="D36" s="8" t="s">
        <v>99</v>
      </c>
      <c r="E36" s="20">
        <v>0</v>
      </c>
      <c r="F36" s="20">
        <v>10</v>
      </c>
      <c r="G36" s="8" t="s">
        <v>54</v>
      </c>
      <c r="H36" s="20">
        <v>10</v>
      </c>
      <c r="I36" s="8" t="s">
        <v>100</v>
      </c>
      <c r="J36" s="19">
        <v>0</v>
      </c>
      <c r="K36" s="8" t="s">
        <v>178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72</v>
      </c>
      <c r="B37" s="18">
        <v>55362</v>
      </c>
      <c r="C37" s="19">
        <v>0</v>
      </c>
      <c r="D37" s="8" t="s">
        <v>146</v>
      </c>
      <c r="E37" s="20">
        <v>0</v>
      </c>
      <c r="F37" s="20">
        <v>2</v>
      </c>
      <c r="G37" s="8" t="s">
        <v>54</v>
      </c>
      <c r="H37" s="20">
        <v>2</v>
      </c>
      <c r="I37" s="8" t="s">
        <v>147</v>
      </c>
      <c r="J37" s="19">
        <v>0</v>
      </c>
      <c r="K37" s="8" t="s">
        <v>148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55363</v>
      </c>
      <c r="C38" s="19">
        <v>0</v>
      </c>
      <c r="D38" s="8" t="s">
        <v>149</v>
      </c>
      <c r="E38" s="20">
        <v>0</v>
      </c>
      <c r="F38" s="20">
        <v>3</v>
      </c>
      <c r="G38" s="8" t="s">
        <v>54</v>
      </c>
      <c r="H38" s="20">
        <v>3</v>
      </c>
      <c r="I38" s="8" t="s">
        <v>150</v>
      </c>
      <c r="J38" s="19">
        <v>0</v>
      </c>
      <c r="K38" s="8" t="s">
        <v>151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72</v>
      </c>
      <c r="B39" s="18">
        <v>55364</v>
      </c>
      <c r="C39" s="19">
        <v>0</v>
      </c>
      <c r="D39" s="8" t="s">
        <v>101</v>
      </c>
      <c r="E39" s="20">
        <v>0</v>
      </c>
      <c r="F39" s="20">
        <v>1</v>
      </c>
      <c r="G39" s="8" t="s">
        <v>54</v>
      </c>
      <c r="H39" s="20">
        <v>1</v>
      </c>
      <c r="I39" s="8" t="s">
        <v>102</v>
      </c>
      <c r="J39" s="19">
        <v>0</v>
      </c>
      <c r="K39" s="8" t="s">
        <v>179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72</v>
      </c>
      <c r="B40" s="18">
        <v>55365</v>
      </c>
      <c r="C40" s="19">
        <v>0</v>
      </c>
      <c r="D40" s="8" t="s">
        <v>157</v>
      </c>
      <c r="E40" s="20">
        <v>0</v>
      </c>
      <c r="F40" s="20">
        <v>4</v>
      </c>
      <c r="G40" s="8" t="s">
        <v>54</v>
      </c>
      <c r="H40" s="20">
        <v>4</v>
      </c>
      <c r="I40" s="8" t="s">
        <v>158</v>
      </c>
      <c r="J40" s="19">
        <v>0</v>
      </c>
      <c r="K40" s="8" t="s">
        <v>180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55366</v>
      </c>
      <c r="C41" s="19">
        <v>0</v>
      </c>
      <c r="D41" s="8" t="s">
        <v>103</v>
      </c>
      <c r="E41" s="20">
        <v>0</v>
      </c>
      <c r="F41" s="20">
        <v>0</v>
      </c>
      <c r="G41" s="8" t="s">
        <v>54</v>
      </c>
      <c r="H41" s="20">
        <v>0</v>
      </c>
      <c r="I41" s="8" t="s">
        <v>104</v>
      </c>
      <c r="J41" s="19">
        <v>0</v>
      </c>
      <c r="K41" s="8" t="s">
        <v>103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55367</v>
      </c>
      <c r="C42" s="19">
        <v>0</v>
      </c>
      <c r="D42" s="8" t="s">
        <v>105</v>
      </c>
      <c r="E42" s="20">
        <v>0</v>
      </c>
      <c r="F42" s="20">
        <v>3</v>
      </c>
      <c r="G42" s="8" t="s">
        <v>54</v>
      </c>
      <c r="H42" s="20">
        <v>3</v>
      </c>
      <c r="I42" s="8" t="s">
        <v>106</v>
      </c>
      <c r="J42" s="19">
        <v>0</v>
      </c>
      <c r="K42" s="8" t="s">
        <v>181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107</v>
      </c>
      <c r="B43" s="18">
        <v>55368</v>
      </c>
      <c r="C43" s="19">
        <v>0</v>
      </c>
      <c r="D43" s="8" t="s">
        <v>108</v>
      </c>
      <c r="E43" s="20">
        <v>0</v>
      </c>
      <c r="F43" s="20">
        <v>1</v>
      </c>
      <c r="G43" s="8" t="s">
        <v>54</v>
      </c>
      <c r="H43" s="20">
        <v>1</v>
      </c>
      <c r="I43" s="8" t="s">
        <v>109</v>
      </c>
      <c r="J43" s="19">
        <v>0</v>
      </c>
      <c r="K43" s="8" t="s">
        <v>110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55369</v>
      </c>
      <c r="C44" s="19">
        <v>0</v>
      </c>
      <c r="D44" s="8" t="s">
        <v>60</v>
      </c>
      <c r="E44" s="20">
        <v>0</v>
      </c>
      <c r="F44" s="20">
        <v>3</v>
      </c>
      <c r="G44" s="8" t="s">
        <v>54</v>
      </c>
      <c r="H44" s="20">
        <v>3</v>
      </c>
      <c r="I44" s="8" t="s">
        <v>61</v>
      </c>
      <c r="J44" s="19">
        <v>0</v>
      </c>
      <c r="K44" s="8" t="s">
        <v>182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55370</v>
      </c>
      <c r="C45" s="19">
        <v>0</v>
      </c>
      <c r="D45" s="8" t="s">
        <v>111</v>
      </c>
      <c r="E45" s="20">
        <v>0</v>
      </c>
      <c r="F45" s="20">
        <v>4</v>
      </c>
      <c r="G45" s="8" t="s">
        <v>54</v>
      </c>
      <c r="H45" s="20">
        <v>4</v>
      </c>
      <c r="I45" s="8" t="s">
        <v>112</v>
      </c>
      <c r="J45" s="19">
        <v>0</v>
      </c>
      <c r="K45" s="8" t="s">
        <v>183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55371</v>
      </c>
      <c r="C46" s="19">
        <v>0</v>
      </c>
      <c r="D46" s="8" t="s">
        <v>113</v>
      </c>
      <c r="E46" s="20">
        <v>0</v>
      </c>
      <c r="F46" s="20">
        <v>10</v>
      </c>
      <c r="G46" s="8" t="s">
        <v>54</v>
      </c>
      <c r="H46" s="20">
        <v>10</v>
      </c>
      <c r="I46" s="8" t="s">
        <v>114</v>
      </c>
      <c r="J46" s="19">
        <v>0</v>
      </c>
      <c r="K46" s="8" t="s">
        <v>184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55372</v>
      </c>
      <c r="C47" s="19">
        <v>0</v>
      </c>
      <c r="D47" s="8" t="s">
        <v>152</v>
      </c>
      <c r="E47" s="20">
        <v>0</v>
      </c>
      <c r="F47" s="20">
        <v>5</v>
      </c>
      <c r="G47" s="8" t="s">
        <v>54</v>
      </c>
      <c r="H47" s="20">
        <v>5</v>
      </c>
      <c r="I47" s="8" t="s">
        <v>153</v>
      </c>
      <c r="J47" s="19">
        <v>0</v>
      </c>
      <c r="K47" s="8" t="s">
        <v>185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62</v>
      </c>
      <c r="B48" s="18">
        <v>55373</v>
      </c>
      <c r="C48" s="19">
        <v>0</v>
      </c>
      <c r="D48" s="8" t="s">
        <v>115</v>
      </c>
      <c r="E48" s="20">
        <v>0</v>
      </c>
      <c r="F48" s="20">
        <v>1</v>
      </c>
      <c r="G48" s="8" t="s">
        <v>54</v>
      </c>
      <c r="H48" s="20">
        <v>1</v>
      </c>
      <c r="I48" s="8" t="s">
        <v>116</v>
      </c>
      <c r="J48" s="19">
        <v>0</v>
      </c>
      <c r="K48" s="8" t="s">
        <v>117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55374</v>
      </c>
      <c r="C49" s="19">
        <v>0</v>
      </c>
      <c r="D49" s="8" t="s">
        <v>118</v>
      </c>
      <c r="E49" s="20">
        <v>0</v>
      </c>
      <c r="F49" s="20">
        <v>1</v>
      </c>
      <c r="G49" s="8" t="s">
        <v>54</v>
      </c>
      <c r="H49" s="20">
        <v>1</v>
      </c>
      <c r="I49" s="8" t="s">
        <v>119</v>
      </c>
      <c r="J49" s="19">
        <v>0</v>
      </c>
      <c r="K49" s="8" t="s">
        <v>120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55375</v>
      </c>
      <c r="C50" s="19">
        <v>0</v>
      </c>
      <c r="D50" s="8" t="s">
        <v>121</v>
      </c>
      <c r="E50" s="20">
        <v>0</v>
      </c>
      <c r="F50" s="20">
        <v>0</v>
      </c>
      <c r="G50" s="8" t="s">
        <v>54</v>
      </c>
      <c r="H50" s="20">
        <v>0</v>
      </c>
      <c r="I50" s="8" t="s">
        <v>122</v>
      </c>
      <c r="J50" s="19">
        <v>0</v>
      </c>
      <c r="K50" s="8" t="s">
        <v>123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107</v>
      </c>
      <c r="B51" s="18">
        <v>55376</v>
      </c>
      <c r="C51" s="19">
        <v>0</v>
      </c>
      <c r="D51" s="8" t="s">
        <v>124</v>
      </c>
      <c r="E51" s="20">
        <v>0</v>
      </c>
      <c r="F51" s="20">
        <v>1</v>
      </c>
      <c r="G51" s="8" t="s">
        <v>54</v>
      </c>
      <c r="H51" s="20">
        <v>1</v>
      </c>
      <c r="I51" s="8" t="s">
        <v>125</v>
      </c>
      <c r="J51" s="19">
        <v>0</v>
      </c>
      <c r="K51" s="8" t="s">
        <v>126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62</v>
      </c>
      <c r="B52" s="18">
        <v>55377</v>
      </c>
      <c r="C52" s="19">
        <v>0</v>
      </c>
      <c r="D52" s="8" t="s">
        <v>127</v>
      </c>
      <c r="E52" s="20">
        <v>0</v>
      </c>
      <c r="F52" s="20">
        <v>5</v>
      </c>
      <c r="G52" s="8" t="s">
        <v>54</v>
      </c>
      <c r="H52" s="20">
        <v>5</v>
      </c>
      <c r="I52" s="8" t="s">
        <v>128</v>
      </c>
      <c r="J52" s="19">
        <v>0</v>
      </c>
      <c r="K52" s="8" t="s">
        <v>129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55378</v>
      </c>
      <c r="C53" s="19">
        <v>0</v>
      </c>
      <c r="D53" s="8" t="s">
        <v>130</v>
      </c>
      <c r="E53" s="20">
        <v>0</v>
      </c>
      <c r="F53" s="20">
        <v>0</v>
      </c>
      <c r="G53" s="8" t="s">
        <v>54</v>
      </c>
      <c r="H53" s="20">
        <v>0</v>
      </c>
      <c r="I53" s="8" t="s">
        <v>131</v>
      </c>
      <c r="J53" s="19">
        <v>0</v>
      </c>
      <c r="K53" s="8" t="s">
        <v>130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62</v>
      </c>
      <c r="B54" s="18">
        <v>55379</v>
      </c>
      <c r="C54" s="19">
        <v>0</v>
      </c>
      <c r="D54" s="8" t="s">
        <v>132</v>
      </c>
      <c r="E54" s="20">
        <v>0</v>
      </c>
      <c r="F54" s="20">
        <v>8</v>
      </c>
      <c r="G54" s="8" t="s">
        <v>54</v>
      </c>
      <c r="H54" s="20">
        <v>8</v>
      </c>
      <c r="I54" s="8" t="s">
        <v>133</v>
      </c>
      <c r="J54" s="19">
        <v>0</v>
      </c>
      <c r="K54" s="8" t="s">
        <v>134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55380</v>
      </c>
      <c r="C55" s="19">
        <v>0</v>
      </c>
      <c r="D55" s="8" t="s">
        <v>135</v>
      </c>
      <c r="E55" s="20">
        <v>0</v>
      </c>
      <c r="F55" s="20">
        <v>0</v>
      </c>
      <c r="G55" s="8" t="s">
        <v>54</v>
      </c>
      <c r="H55" s="20">
        <v>0</v>
      </c>
      <c r="I55" s="8" t="s">
        <v>136</v>
      </c>
      <c r="J55" s="19">
        <v>0</v>
      </c>
      <c r="K55" s="8" t="s">
        <v>135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62</v>
      </c>
      <c r="B56" s="18">
        <v>55381</v>
      </c>
      <c r="C56" s="19">
        <v>0</v>
      </c>
      <c r="D56" s="8" t="s">
        <v>186</v>
      </c>
      <c r="E56" s="20">
        <v>0</v>
      </c>
      <c r="F56" s="20">
        <v>2</v>
      </c>
      <c r="G56" s="8" t="s">
        <v>54</v>
      </c>
      <c r="H56" s="20">
        <v>2</v>
      </c>
      <c r="I56" s="8" t="s">
        <v>187</v>
      </c>
      <c r="J56" s="19">
        <v>0</v>
      </c>
      <c r="K56" s="8" t="s">
        <v>188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62</v>
      </c>
      <c r="B57" s="18">
        <v>55382</v>
      </c>
      <c r="C57" s="19">
        <v>0</v>
      </c>
      <c r="D57" s="8" t="s">
        <v>189</v>
      </c>
      <c r="E57" s="20">
        <v>0</v>
      </c>
      <c r="F57" s="20">
        <v>1</v>
      </c>
      <c r="G57" s="8" t="s">
        <v>54</v>
      </c>
      <c r="H57" s="20">
        <v>1</v>
      </c>
      <c r="I57" s="8" t="s">
        <v>190</v>
      </c>
      <c r="J57" s="19">
        <v>0</v>
      </c>
      <c r="K57" s="8" t="s">
        <v>191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55383</v>
      </c>
      <c r="C58" s="19">
        <v>0</v>
      </c>
      <c r="D58" s="8" t="s">
        <v>63</v>
      </c>
      <c r="E58" s="20">
        <v>0</v>
      </c>
      <c r="F58" s="20">
        <v>0</v>
      </c>
      <c r="G58" s="8" t="s">
        <v>54</v>
      </c>
      <c r="H58" s="20">
        <v>0</v>
      </c>
      <c r="I58" s="8" t="s">
        <v>64</v>
      </c>
      <c r="J58" s="19">
        <v>0</v>
      </c>
      <c r="K58" s="8" t="s">
        <v>65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66</v>
      </c>
      <c r="B59" s="18">
        <v>55384</v>
      </c>
      <c r="C59" s="19">
        <v>0</v>
      </c>
      <c r="D59" s="8" t="s">
        <v>67</v>
      </c>
      <c r="E59" s="20">
        <v>0</v>
      </c>
      <c r="F59" s="20">
        <v>1</v>
      </c>
      <c r="G59" s="8" t="s">
        <v>54</v>
      </c>
      <c r="H59" s="20">
        <v>1</v>
      </c>
      <c r="I59" s="8" t="s">
        <v>68</v>
      </c>
      <c r="J59" s="19">
        <v>0</v>
      </c>
      <c r="K59" s="8" t="s">
        <v>69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/>
    <row r="61" spans="1:14" ht="12.75" customHeight="1" x14ac:dyDescent="0.2">
      <c r="B61" s="8" t="s">
        <v>16</v>
      </c>
      <c r="C61" s="8" t="s">
        <v>159</v>
      </c>
      <c r="E61" s="8" t="s">
        <v>19</v>
      </c>
      <c r="F61" s="8" t="s">
        <v>19</v>
      </c>
      <c r="G61" s="8" t="s">
        <v>21</v>
      </c>
      <c r="H61" s="8" t="s">
        <v>19</v>
      </c>
      <c r="J61" s="8" t="s">
        <v>19</v>
      </c>
    </row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MAKE NOZZLE S2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9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.200</v>
      </c>
      <c r="C26" s="40" t="str">
        <f>'Build Plan w Hours'!D11</f>
        <v>Make lift lugs, ground lugs,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.205</v>
      </c>
      <c r="C32" s="40" t="str">
        <f>'Build Plan w Hours'!D12</f>
        <v>Roll rim angle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(1) LOWER &amp; (2) UPPER CABINET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7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WELD OUTSIDE SEAM WITH COBOT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.350</v>
      </c>
      <c r="C62" s="40" t="str">
        <f>'Build Plan w Hours'!D17</f>
        <v>Build top head/cone_x000D_
CUT ON CNC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.QC4</v>
      </c>
      <c r="C68" s="40" t="str">
        <f>'Build Plan w Hours'!D18</f>
        <v>QC Inspection - Top/Bottom/Cones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.355</v>
      </c>
      <c r="C74" s="40" t="str">
        <f>'Build Plan w Hours'!D19</f>
        <v>Lay out top head, burn and clean holes_x000D_
CUT ON CNC TABLE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.365</v>
      </c>
      <c r="C80" s="40" t="str">
        <f>'Build Plan w Hours'!D20</f>
        <v>Set  nozzles, lift lugs, etc. in top head - tack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.366</v>
      </c>
      <c r="C86" s="40" t="str">
        <f>'Build Plan w Hours'!D21</f>
        <v>Weld out top head nozzles,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.375</v>
      </c>
      <c r="C92" s="40" t="str">
        <f>'Build Plan w Hours'!D22</f>
        <v>Install top stiffeners_x000D_
FIT &amp; WELD TOPE (3) TOP STIFFENERS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.450</v>
      </c>
      <c r="C98" s="40" t="str">
        <f>'Build Plan w Hours'!D23</f>
        <v>Build bottom head/cone_x000D_
CUT ON CNC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.475</v>
      </c>
      <c r="C110" s="40" t="str">
        <f>'Build Plan w Hours'!D25</f>
        <v>Install bottom stiffeners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FIT SLOPED BOTTOM &amp; WELD; FIT &amp; WELD FLAT BOTTOM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10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.615</v>
      </c>
      <c r="C122" s="40" t="str">
        <f>'Build Plan w Hours'!D27</f>
        <v>Install rim angle - tack only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.616</v>
      </c>
      <c r="C128" s="40" t="str">
        <f>'Build Plan w Hours'!D28</f>
        <v>Weld rim angle complete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.620</v>
      </c>
      <c r="C134" s="40" t="str">
        <f>'Build Plan w Hours'!D29</f>
        <v>Lay out shell, burn and clean holes_x000D_
CLEAN UP HOLES CUT ON CNC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.630</v>
      </c>
      <c r="C140" s="40" t="str">
        <f>'Build Plan w Hours'!D30</f>
        <v>Install internals - wear plates, rings, clips, etc._x000D_
INSTALL NOZZLE S3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.QC5</v>
      </c>
      <c r="C146" s="40" t="str">
        <f>'Build Plan w Hours'!D31</f>
        <v>QC Inspection - Internal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.640</v>
      </c>
      <c r="C152" s="40" t="str">
        <f>'Build Plan w Hours'!D32</f>
        <v>Fit top head to shell - tack_x000D_
AND WELD TO RIM ANGLE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.800</v>
      </c>
      <c r="C158" s="40" t="str">
        <f>'Build Plan w Hours'!D33</f>
        <v>Move tank to detail rolls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.717</v>
      </c>
      <c r="C164" s="40" t="str">
        <f>'Build Plan w Hours'!D34</f>
        <v>Install lift lugs on shell_x000D_
INCL REPADS &amp; (1) GROUND LUG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.725</v>
      </c>
      <c r="C170" s="40" t="str">
        <f>'Build Plan w Hours'!D35</f>
        <v>Set nozzles in shell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.726</v>
      </c>
      <c r="C176" s="40" t="str">
        <f>'Build Plan w Hours'!D36</f>
        <v>Weld shell nozzles, manways, etc._x000D_
INCL HOLE WATCH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10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.735</v>
      </c>
      <c r="C182" s="40" t="str">
        <f>'Build Plan w Hours'!D37</f>
        <v>Install dip pipe supports_x000D_
FIT &amp; WELD (3) CABINET SUPPORT HOLDERS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5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.765</v>
      </c>
      <c r="C188" s="40" t="str">
        <f>'Build Plan w Hours'!D38</f>
        <v>Install name tag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.770</v>
      </c>
      <c r="C194" s="40" t="str">
        <f>'Build Plan w Hours'!D39</f>
        <v>Inspect tank, make repairs, get QC inspector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.QC6</v>
      </c>
      <c r="C200" s="40" t="str">
        <f>'Build Plan w Hours'!D40</f>
        <v>QC Inspection - Fabrication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.801</v>
      </c>
      <c r="C206" s="40" t="str">
        <f>'Build Plan w Hours'!D41</f>
        <v>Move to shop test area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.910</v>
      </c>
      <c r="C212" s="40" t="str">
        <f>'Build Plan w Hours'!D42</f>
        <v>Test tank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.QC7</v>
      </c>
      <c r="C218" s="40" t="str">
        <f>'Build Plan w Hours'!D43</f>
        <v>QC Inspection - Test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.920</v>
      </c>
      <c r="C224" s="40" t="str">
        <f>'Build Plan w Hours'!D44</f>
        <v>Clean tank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.QC8</v>
      </c>
      <c r="C230" s="40" t="str">
        <f>'Build Plan w Hours'!D45</f>
        <v>QC Inspection - Clean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.940</v>
      </c>
      <c r="C236" s="40" t="str">
        <f>'Build Plan w Hours'!D46</f>
        <v>Prepare tank for shipment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.950</v>
      </c>
      <c r="C242" s="40" t="str">
        <f>'Build Plan w Hours'!D47</f>
        <v>Check bill of materials and pack loose parts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.QC95</v>
      </c>
      <c r="C248" s="40" t="str">
        <f>'Build Plan w Hours'!D48</f>
        <v>QC Inspection - Final &amp; Loose Items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.960</v>
      </c>
      <c r="C254" s="40" t="str">
        <f>'Build Plan w Hours'!D49</f>
        <v>Load on truck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 t="str">
        <f>'Build Plan w Hours'!E51</f>
        <v/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MAKE NOZZLE S2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.200</v>
      </c>
      <c r="C26" s="40" t="str">
        <f>'Build Plan w Hours'!D11</f>
        <v>Make lift lugs, ground lugs,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.205</v>
      </c>
      <c r="C32" s="40" t="str">
        <f>'Build Plan w Hours'!D12</f>
        <v>Roll rim angle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(1) LOWER &amp; (2) UPPER CABINET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WELD OUTSIDE SEAM WITH COBOT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.350</v>
      </c>
      <c r="C62" s="40" t="str">
        <f>'Build Plan w Hours'!D17</f>
        <v>Build top head/cone_x000D_
CUT ON CNC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.QC4</v>
      </c>
      <c r="C68" s="40" t="str">
        <f>'Build Plan w Hours'!D18</f>
        <v>QC Inspection - Top/Bottom/Cones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.355</v>
      </c>
      <c r="C74" s="40" t="str">
        <f>'Build Plan w Hours'!D19</f>
        <v>Lay out top head, burn and clean holes_x000D_
CUT ON CNC TABLE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.365</v>
      </c>
      <c r="C80" s="40" t="str">
        <f>'Build Plan w Hours'!D20</f>
        <v>Set  nozzles, lift lugs, etc. in top head - tack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.366</v>
      </c>
      <c r="C86" s="40" t="str">
        <f>'Build Plan w Hours'!D21</f>
        <v>Weld out top head nozzles,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.375</v>
      </c>
      <c r="C92" s="40" t="str">
        <f>'Build Plan w Hours'!D22</f>
        <v>Install top stiffeners_x000D_
FIT &amp; WELD TOPE (3) TOP STIFFENERS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.450</v>
      </c>
      <c r="C98" s="40" t="str">
        <f>'Build Plan w Hours'!D23</f>
        <v>Build bottom head/cone_x000D_
CUT ON CNC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.475</v>
      </c>
      <c r="C110" s="40" t="str">
        <f>'Build Plan w Hours'!D25</f>
        <v>Install bottom stiffeners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FIT SLOPED BOTTOM &amp; WELD; FIT &amp; WELD FLAT BOTTOM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.615</v>
      </c>
      <c r="C122" s="40" t="str">
        <f>'Build Plan w Hours'!D27</f>
        <v>Install rim angle - tack only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.616</v>
      </c>
      <c r="C128" s="40" t="str">
        <f>'Build Plan w Hours'!D28</f>
        <v>Weld rim angle complete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.620</v>
      </c>
      <c r="C134" s="40" t="str">
        <f>'Build Plan w Hours'!D29</f>
        <v>Lay out shell, burn and clean holes_x000D_
CLEAN UP HOLES CUT ON CNC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.630</v>
      </c>
      <c r="C140" s="40" t="str">
        <f>'Build Plan w Hours'!D30</f>
        <v>Install internals - wear plates, rings, clips, etc._x000D_
INSTALL NOZZLE S3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.QC5</v>
      </c>
      <c r="C146" s="40" t="str">
        <f>'Build Plan w Hours'!D31</f>
        <v>QC Inspection - Internal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.640</v>
      </c>
      <c r="C152" s="40" t="str">
        <f>'Build Plan w Hours'!D32</f>
        <v>Fit top head to shell - tack_x000D_
AND WELD TO RIM ANGLE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.800</v>
      </c>
      <c r="C158" s="40" t="str">
        <f>'Build Plan w Hours'!D33</f>
        <v>Move tank to detail rolls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.717</v>
      </c>
      <c r="C164" s="40" t="str">
        <f>'Build Plan w Hours'!D34</f>
        <v>Install lift lugs on shell_x000D_
INCL REPADS &amp; (1) GROUND LUG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.725</v>
      </c>
      <c r="C170" s="40" t="str">
        <f>'Build Plan w Hours'!D35</f>
        <v>Set nozzles in shell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.726</v>
      </c>
      <c r="C176" s="40" t="str">
        <f>'Build Plan w Hours'!D36</f>
        <v>Weld shell nozzles, manways, etc._x000D_
INCL HOLE WATCH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.735</v>
      </c>
      <c r="C182" s="40" t="str">
        <f>'Build Plan w Hours'!D37</f>
        <v>Install dip pipe supports_x000D_
FIT &amp; WELD (3) CABINET SUPPORT HOLDERS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.765</v>
      </c>
      <c r="C188" s="40" t="str">
        <f>'Build Plan w Hours'!D38</f>
        <v>Install name tag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.770</v>
      </c>
      <c r="C194" s="40" t="str">
        <f>'Build Plan w Hours'!D39</f>
        <v>Inspect tank, make repairs, get QC inspector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.QC6</v>
      </c>
      <c r="C200" s="40" t="str">
        <f>'Build Plan w Hours'!D40</f>
        <v>QC Inspection - Fabrication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.801</v>
      </c>
      <c r="C206" s="40" t="str">
        <f>'Build Plan w Hours'!D41</f>
        <v>Move to shop test area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.910</v>
      </c>
      <c r="C212" s="40" t="str">
        <f>'Build Plan w Hours'!D42</f>
        <v>Test tank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.QC7</v>
      </c>
      <c r="C218" s="40" t="str">
        <f>'Build Plan w Hours'!D43</f>
        <v>QC Inspection - Test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.920</v>
      </c>
      <c r="C224" s="40" t="str">
        <f>'Build Plan w Hours'!D44</f>
        <v>Clean tank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.QC8</v>
      </c>
      <c r="C230" s="40" t="str">
        <f>'Build Plan w Hours'!D45</f>
        <v>QC Inspection - Clean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.940</v>
      </c>
      <c r="C236" s="40" t="str">
        <f>'Build Plan w Hours'!D46</f>
        <v>Prepare tank for shipment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.950</v>
      </c>
      <c r="C242" s="40" t="str">
        <f>'Build Plan w Hours'!D47</f>
        <v>Check bill of materials and pack loose parts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.QC95</v>
      </c>
      <c r="C248" s="40" t="str">
        <f>'Build Plan w Hours'!D48</f>
        <v>QC Inspection - Final &amp; Loose Items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.960</v>
      </c>
      <c r="C254" s="40" t="str">
        <f>'Build Plan w Hours'!D49</f>
        <v>Load on truck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2025-12-08T19:50:44Z</cp:lastPrinted>
  <dcterms:created xsi:type="dcterms:W3CDTF">2016-06-28T20:53:17Z</dcterms:created>
  <dcterms:modified xsi:type="dcterms:W3CDTF">2025-12-08T19:59:38Z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