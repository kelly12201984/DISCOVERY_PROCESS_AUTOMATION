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88-25 - CIL Isotope Separations - Ballast Tank\"/>
    </mc:Choice>
  </mc:AlternateContent>
  <xr:revisionPtr revIDLastSave="0" documentId="13_ncr:1_{7F3D43CF-8709-4218-B7C6-FE4249B70C0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Hours'!$A$1:$H$45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<sst xmlns="http://schemas.openxmlformats.org/spreadsheetml/2006/main" count="1626" uniqueCount="179">
  <si>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</si>
  <si>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</si>
  <si>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</si>
  <si>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</si>
  <si>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</si>
  <si>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</si>
  <si>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</si>
  <si>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</si>
  <si>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</si>
  <si>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</si>
  <si>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</si>
  <si>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</si>
  <si>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</si>
  <si>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</si>
  <si>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</si>
  <si>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</si>
  <si>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</si>
  <si>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</si>
  <si>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</si>
  <si>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</si>
  <si>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</si>
  <si>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</si>
  <si>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</si>
  <si>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</si>
  <si>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</si>
  <si>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</si>
  <si>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</si>
  <si>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</si>
  <si>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</si>
  <si>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</si>
  <si>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</si>
  <si>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</si>
  <si>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</si>
  <si>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</si>
  <si>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</si>
  <si>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</si>
  <si>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</si>
  <si>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</si>
  <si>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</si>
  <si>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</si>
  <si>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</si>
  <si>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</si>
  <si>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</si>
  <si>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</si>
  <si>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</si>
  <si>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</si>
  <si>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</si>
  <si>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</si>
  <si>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</si>
  <si>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</si>
  <si>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</si>
  <si>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</si>
  <si>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</si>
  <si>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</si>
  <si>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</si>
  <si>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</si>
  <si>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</si>
  <si>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</si>
  <si>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</si>
  <si>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</si>
  <si>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</si>
  <si>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</si>
  <si>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</si>
  <si>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</si>
  <si>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</si>
  <si>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</si>
  <si>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</si>
  <si>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</si>
  <si>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</si>
  <si>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</si>
  <si>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</si>
  <si>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</si>
  <si>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</si>
  <si>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</si>
  <si>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</si>
  <si>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</si>
  <si>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</si>
  <si>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</si>
  <si>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</si>
  <si>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</si>
  <si>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</si>
  <si>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Burn and clean parts:  lugs, supports, repads, base ring, etc. (CHECK!)</t>
  </si>
  <si>
    <t>Bld Lift Lugs, Grd Lugs</t>
  </si>
  <si>
    <t>.200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</si>
  <si>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</si>
  <si>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</si>
  <si>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</si>
  <si>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</si>
  <si>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</si>
  <si>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</si>
  <si>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</si>
  <si>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</si>
  <si>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</si>
  <si>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Fit Bottom Head to Shell</t>
  </si>
  <si>
    <t>.600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</si>
  <si>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</si>
  <si>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</si>
  <si>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</si>
  <si>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</si>
  <si>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</si>
  <si>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</si>
  <si>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</si>
  <si>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</si>
  <si>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</si>
  <si>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</si>
  <si>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</si>
  <si>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</si>
  <si>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</si>
  <si>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</si>
  <si>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</si>
  <si>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</si>
  <si>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</si>
  <si>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</si>
  <si>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</si>
  <si>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</si>
  <si>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</si>
  <si>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</si>
  <si>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</si>
  <si>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</si>
  <si>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</si>
  <si>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</si>
  <si>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</si>
  <si>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</si>
  <si>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</si>
  <si>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</si>
  <si>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</si>
  <si>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</si>
  <si>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</si>
  <si>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</si>
  <si>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</si>
  <si>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</si>
  <si>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</si>
  <si>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</si>
  <si>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Cut Parts on Burn Table</t>
  </si>
  <si>
    <t>Clean &amp; Prep Parts</t>
  </si>
  <si>
    <t>.156</t>
  </si>
  <si>
    <t>Build supports: legs, lugs, saddles</t>
  </si>
  <si>
    <t>L/O Bottom, B&amp;C Holes</t>
  </si>
  <si>
    <t>.455</t>
  </si>
  <si>
    <t>Weld all Outside Seams</t>
  </si>
  <si>
    <t>.645</t>
  </si>
  <si>
    <t>Weld all outside seams</t>
  </si>
  <si>
    <t>088-25</t>
  </si>
  <si>
    <t>BALLAST TANK</t>
  </si>
  <si>
    <t>PO-00002800</t>
  </si>
  <si>
    <t>9286</t>
  </si>
  <si>
    <t>Build nozzles and weld_x000D_
USE COBOT</t>
  </si>
  <si>
    <t>Make lift lugs, ground lugs, etc.</t>
  </si>
  <si>
    <t>Lay out top head, burn and clean holes_x000D_
ON BURN TABLE</t>
  </si>
  <si>
    <t>Bevel Top Head</t>
  </si>
  <si>
    <t>.360</t>
  </si>
  <si>
    <t>Bevel top head_x000D_
PREP FOR FULL PEN WELD</t>
  </si>
  <si>
    <t>Set  nozzles, lift lugs, etc. in top head - tack</t>
  </si>
  <si>
    <t>Weld out top head nozzles, etc. _x000D_
INCL LIFT LUG</t>
  </si>
  <si>
    <t>Lay out bottom head, burn and clean holes_x000D_
ON BURN TABLE</t>
  </si>
  <si>
    <t>Bevel Bottom Head</t>
  </si>
  <si>
    <t>.460</t>
  </si>
  <si>
    <t>Bevel bottom head_x000D_
PREP FOR FULL PEN WELD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</si>
  <si>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</si>
  <si>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</si>
  <si>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</si>
  <si>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</si>
  <si>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</si>
  <si>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</t>
  </si>
  <si>
    <t>ASME Hold Point</t>
  </si>
  <si>
    <t>.OI1</t>
  </si>
  <si>
    <t>Fit bottom head to shell</t>
  </si>
  <si>
    <t>Lay out shell, burn and clean holes_x000D_
AND PREP FOR FULL PEN WELDS</t>
  </si>
  <si>
    <t>Fit top head to shell - tack</t>
  </si>
  <si>
    <t>Install supports - legs, lugs, anchors, saddles, skirt_x000D_
AND WELD COMPLETE</t>
  </si>
  <si>
    <t>Set nozzles in shell - tack</t>
  </si>
  <si>
    <t>Weld shell nozzles, manways, etc._x000D_
MAKE FULL PEN WELDS FROM OUTSIDE</t>
  </si>
  <si>
    <t>ASME Inspection Internal</t>
  </si>
  <si>
    <t>.OI2</t>
  </si>
  <si>
    <t>ASME Inspection Test</t>
  </si>
  <si>
    <t>.OI3</t>
  </si>
  <si>
    <t>Prepare Tank for Shipment</t>
  </si>
  <si>
    <t>.940</t>
  </si>
  <si>
    <t>Prepare tank for shipment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</si>
</sst>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45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142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BALLAST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2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USE COBOT</v>
      </c>
      <c r="E8" s="13">
        <f>'Sheet2-PASTE HERE!'!F18</f>
        <v>3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.155</v>
      </c>
      <c r="D9" s="22" t="str">
        <f>'Sheet2-PASTE HERE!'!K19</f>
        <v>Burn and clean parts:  lugs, supports, repads, base ring, etc. (CHECK!)</v>
      </c>
      <c r="E9" s="13">
        <f>'Sheet2-PASTE HERE!'!F19</f>
        <v>2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.156</v>
      </c>
      <c r="D10" s="22">
        <f>'Sheet2-PASTE HERE!'!K20</f>
        <v>0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.165</v>
      </c>
      <c r="D11" s="22" t="str">
        <f>'Sheet2-PASTE HERE!'!K21</f>
        <v>Build supports: legs, lugs, saddles</v>
      </c>
      <c r="E11" s="13">
        <f>'Sheet2-PASTE HERE!'!F21</f>
        <v>5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.200</v>
      </c>
      <c r="D12" s="22" t="str">
        <f>'Sheet2-PASTE HERE!'!K22</f>
        <v>Make lift lugs, ground lugs, etc.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INSPECTION</v>
      </c>
      <c r="B13" s="11"/>
      <c r="C13" s="17" t="str">
        <f>'Sheet2-PASTE HERE!'!I23</f>
        <v>.QC4</v>
      </c>
      <c r="D13" s="22" t="str">
        <f>'Sheet2-PASTE HERE!'!K23</f>
        <v>QC Inspection - Top/Bottom/Cones</v>
      </c>
      <c r="E13" s="13">
        <f>'Sheet2-PASTE HERE!'!F23</f>
        <v>0</v>
      </c>
      <c r="F13" s="12"/>
      <c r="G13" s="12"/>
      <c r="H13" s="12"/>
      <c r="K13">
        <f t="shared" si="0"/>
        <v>1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.355</v>
      </c>
      <c r="D14" s="22" t="str">
        <f>'Sheet2-PASTE HERE!'!K24</f>
        <v>Lay out top head, burn and clean holes_x000D_
ON BURN TABLE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.360</v>
      </c>
      <c r="D15" s="22" t="str">
        <f>'Sheet2-PASTE HERE!'!K25</f>
        <v>Bevel top head_x000D_
PREP FOR FULL PEN WELD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.365</v>
      </c>
      <c r="D16" s="22" t="str">
        <f>'Sheet2-PASTE HERE!'!K26</f>
        <v>Set  nozzles, lift lugs, etc. in top head - tack</v>
      </c>
      <c r="E16" s="13">
        <f>'Sheet2-PASTE HERE!'!F26</f>
        <v>1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.366</v>
      </c>
      <c r="D17" s="22" t="str">
        <f>'Sheet2-PASTE HERE!'!K27</f>
        <v>Weld out top head nozzles, etc. _x000D_
INCL LIFT LUG</v>
      </c>
      <c r="E17" s="13">
        <f>'Sheet2-PASTE HERE!'!F27</f>
        <v>2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.QC4</v>
      </c>
      <c r="D18" s="22" t="str">
        <f>'Sheet2-PASTE HERE!'!K28</f>
        <v>QC Inspection - Top/Bottom/Cones</v>
      </c>
      <c r="E18" s="13">
        <f>'Sheet2-PASTE HERE!'!F28</f>
        <v>0</v>
      </c>
      <c r="F18" s="12"/>
      <c r="G18" s="12"/>
      <c r="H18" s="12"/>
      <c r="K18">
        <f t="shared" si="2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.455</v>
      </c>
      <c r="D19" s="22" t="str">
        <f>'Sheet2-PASTE HERE!'!K29</f>
        <v>Lay out bottom head, burn and clean holes_x000D_
ON BURN TABLE</v>
      </c>
      <c r="E19" s="13">
        <f>'Sheet2-PASTE HERE!'!F29</f>
        <v>2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.460</v>
      </c>
      <c r="D20" s="22" t="str">
        <f>'Sheet2-PASTE HERE!'!K30</f>
        <v>Bevel bottom head_x000D_
PREP FOR FULL PEN WELD</v>
      </c>
      <c r="E20" s="13">
        <f>'Sheet2-PASTE HERE!'!F30</f>
        <v>1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.465</v>
      </c>
      <c r="D21" s="22" t="str">
        <f>'Sheet2-PASTE HERE!'!K31</f>
        <v>Set  nozzles in bottom head - tack</v>
      </c>
      <c r="E21" s="13">
        <f>'Sheet2-PASTE HERE!'!F31</f>
        <v>1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.466</v>
      </c>
      <c r="D22" s="22" t="str">
        <f>'Sheet2-PASTE HERE!'!K32</f>
        <v>Weld nozzles in bottom head; weld complete</v>
      </c>
      <c r="E22" s="13">
        <f>'Sheet2-PASTE HERE!'!F32</f>
        <v>1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INSPECTION</v>
      </c>
      <c r="B23" s="11"/>
      <c r="C23" s="17" t="str">
        <f>'Sheet2-PASTE HERE!'!I33</f>
        <v>.OI1</v>
      </c>
      <c r="D23" s="22" t="str">
        <f>'Sheet2-PASTE HERE!'!K33</f>
        <v>ASME Hold Point</v>
      </c>
      <c r="E23" s="13">
        <f>'Sheet2-PASTE HERE!'!F33</f>
        <v>0</v>
      </c>
      <c r="F23" s="12"/>
      <c r="G23" s="12"/>
      <c r="H23" s="12"/>
      <c r="K23">
        <f t="shared" si="2"/>
        <v>1</v>
      </c>
      <c r="L23">
        <f t="shared" si="1"/>
        <v>1</v>
      </c>
    </row>
    <row r="24" spans="1:12" ht="26.25" customHeight="1" x14ac:dyDescent="0.2">
      <c r="A24" s="10" t="str">
        <f>'Sheet2-PASTE HERE!'!A34</f>
        <v>FIT</v>
      </c>
      <c r="B24" s="11"/>
      <c r="C24" s="17" t="str">
        <f>'Sheet2-PASTE HERE!'!I34</f>
        <v>.600</v>
      </c>
      <c r="D24" s="22" t="str">
        <f>'Sheet2-PASTE HERE!'!K34</f>
        <v>Fit bottom head to shell</v>
      </c>
      <c r="E24" s="13">
        <f>'Sheet2-PASTE HERE!'!F34</f>
        <v>1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FIT</v>
      </c>
      <c r="B25" s="11"/>
      <c r="C25" s="17" t="str">
        <f>'Sheet2-PASTE HERE!'!I35</f>
        <v>.620</v>
      </c>
      <c r="D25" s="22" t="str">
        <f>'Sheet2-PASTE HERE!'!K35</f>
        <v>Lay out shell, burn and clean holes_x000D_
AND PREP FOR FULL PEN WELDS</v>
      </c>
      <c r="E25" s="13">
        <f>'Sheet2-PASTE HERE!'!F35</f>
        <v>3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INSPECTION</v>
      </c>
      <c r="B26" s="11"/>
      <c r="C26" s="17" t="str">
        <f>'Sheet2-PASTE HERE!'!I36</f>
        <v>.QC5</v>
      </c>
      <c r="D26" s="22" t="str">
        <f>'Sheet2-PASTE HERE!'!K36</f>
        <v>QC Inspection - Internal</v>
      </c>
      <c r="E26" s="13">
        <f>'Sheet2-PASTE HERE!'!F36</f>
        <v>0</v>
      </c>
      <c r="F26" s="12"/>
      <c r="G26" s="12"/>
      <c r="H26" s="12"/>
      <c r="K26">
        <f t="shared" si="2"/>
        <v>1</v>
      </c>
      <c r="L26">
        <f t="shared" si="1"/>
        <v>0</v>
      </c>
    </row>
    <row r="27" spans="1:12" ht="26.25" customHeight="1" x14ac:dyDescent="0.2">
      <c r="A27" s="10" t="str">
        <f>'Sheet2-PASTE HERE!'!A37</f>
        <v>FIT</v>
      </c>
      <c r="B27" s="11"/>
      <c r="C27" s="17" t="str">
        <f>'Sheet2-PASTE HERE!'!I37</f>
        <v>.640</v>
      </c>
      <c r="D27" s="22" t="str">
        <f>'Sheet2-PASTE HERE!'!K37</f>
        <v>Fit top head to shell - tack</v>
      </c>
      <c r="E27" s="13">
        <f>'Sheet2-PASTE HERE!'!F37</f>
        <v>1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FIT</v>
      </c>
      <c r="B28" s="11"/>
      <c r="C28" s="17" t="str">
        <f>'Sheet2-PASTE HERE!'!I38</f>
        <v>.645</v>
      </c>
      <c r="D28" s="22" t="str">
        <f>'Sheet2-PASTE HERE!'!K38</f>
        <v>Weld all outside seams</v>
      </c>
      <c r="E28" s="13">
        <f>'Sheet2-PASTE HERE!'!F38</f>
        <v>3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MOVE TANK</v>
      </c>
      <c r="B29" s="11"/>
      <c r="C29" s="17" t="str">
        <f>'Sheet2-PASTE HERE!'!I39</f>
        <v>.800</v>
      </c>
      <c r="D29" s="22" t="str">
        <f>'Sheet2-PASTE HERE!'!K39</f>
        <v>Move tank to detail rolls</v>
      </c>
      <c r="E29" s="13">
        <f>'Sheet2-PASTE HERE!'!F39</f>
        <v>1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FIT</v>
      </c>
      <c r="B30" s="11"/>
      <c r="C30" s="17" t="str">
        <f>'Sheet2-PASTE HERE!'!I40</f>
        <v>.720</v>
      </c>
      <c r="D30" s="22" t="str">
        <f>'Sheet2-PASTE HERE!'!K40</f>
        <v>Install supports - legs, lugs, anchors, saddles, skirt_x000D_
AND WELD COMPLETE</v>
      </c>
      <c r="E30" s="13">
        <f>'Sheet2-PASTE HERE!'!F40</f>
        <v>5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.725</v>
      </c>
      <c r="D31" s="22" t="str">
        <f>'Sheet2-PASTE HERE!'!K41</f>
        <v>Set nozzles in shell - tack</v>
      </c>
      <c r="E31" s="13">
        <f>'Sheet2-PASTE HERE!'!F41</f>
        <v>1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.726</v>
      </c>
      <c r="D32" s="22" t="str">
        <f>'Sheet2-PASTE HERE!'!K42</f>
        <v>Weld shell nozzles, manways, etc._x000D_
MAKE FULL PEN WELDS FROM OUTSIDE</v>
      </c>
      <c r="E32" s="13">
        <f>'Sheet2-PASTE HERE!'!F42</f>
        <v>3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FINISHING</v>
      </c>
      <c r="B33" s="11"/>
      <c r="C33" s="17" t="str">
        <f>'Sheet2-PASTE HERE!'!I43</f>
        <v>.765</v>
      </c>
      <c r="D33" s="22" t="str">
        <f>'Sheet2-PASTE HERE!'!K43</f>
        <v>Install name tag</v>
      </c>
      <c r="E33" s="13">
        <f>'Sheet2-PASTE HERE!'!F43</f>
        <v>1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.770</v>
      </c>
      <c r="D34" s="22" t="str">
        <f>'Sheet2-PASTE HERE!'!K44</f>
        <v>Inspect tank, make repairs, get QC inspector</v>
      </c>
      <c r="E34" s="13">
        <f>'Sheet2-PASTE HERE!'!F44</f>
        <v>1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.QC6</v>
      </c>
      <c r="D35" s="22" t="str">
        <f>'Sheet2-PASTE HERE!'!K45</f>
        <v>QC Inspection - Fabrication</v>
      </c>
      <c r="E35" s="13">
        <f>'Sheet2-PASTE HERE!'!F45</f>
        <v>0</v>
      </c>
      <c r="F35" s="12"/>
      <c r="G35" s="12"/>
      <c r="H35" s="12"/>
      <c r="K35">
        <f t="shared" si="2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INSPECTION</v>
      </c>
      <c r="B36" s="11"/>
      <c r="C36" s="17" t="str">
        <f>'Sheet2-PASTE HERE!'!I46</f>
        <v>.OI2</v>
      </c>
      <c r="D36" s="22" t="str">
        <f>'Sheet2-PASTE HERE!'!K46</f>
        <v>ASME Inspection Internal</v>
      </c>
      <c r="E36" s="13">
        <f>'Sheet2-PASTE HERE!'!F46</f>
        <v>0</v>
      </c>
      <c r="F36" s="12"/>
      <c r="G36" s="12"/>
      <c r="H36" s="12"/>
      <c r="K36">
        <f t="shared" si="2"/>
        <v>1</v>
      </c>
      <c r="L36">
        <f t="shared" si="1"/>
        <v>1</v>
      </c>
    </row>
    <row r="37" spans="1:12" ht="26.25" customHeight="1" x14ac:dyDescent="0.2">
      <c r="A37" s="10" t="str">
        <f>'Sheet2-PASTE HERE!'!A47</f>
        <v>MOVE TANK</v>
      </c>
      <c r="B37" s="11"/>
      <c r="C37" s="17" t="str">
        <f>'Sheet2-PASTE HERE!'!I47</f>
        <v>.801</v>
      </c>
      <c r="D37" s="22" t="str">
        <f>'Sheet2-PASTE HERE!'!K47</f>
        <v>Move to shop test area</v>
      </c>
      <c r="E37" s="13">
        <f>'Sheet2-PASTE HERE!'!F47</f>
        <v>1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FINISHING</v>
      </c>
      <c r="B38" s="11"/>
      <c r="C38" s="17" t="str">
        <f>'Sheet2-PASTE HERE!'!I48</f>
        <v>.910</v>
      </c>
      <c r="D38" s="22" t="str">
        <f>'Sheet2-PASTE HERE!'!K48</f>
        <v>Test tank</v>
      </c>
      <c r="E38" s="13">
        <f>'Sheet2-PASTE HERE!'!F48</f>
        <v>5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INSPECTION</v>
      </c>
      <c r="B39" s="11"/>
      <c r="C39" s="17" t="str">
        <f>'Sheet2-PASTE HERE!'!I49</f>
        <v>.QC7</v>
      </c>
      <c r="D39" s="22" t="str">
        <f>'Sheet2-PASTE HERE!'!K49</f>
        <v>QC Inspection - Test</v>
      </c>
      <c r="E39" s="13">
        <f>'Sheet2-PASTE HERE!'!F49</f>
        <v>0</v>
      </c>
      <c r="F39" s="12"/>
      <c r="G39" s="12"/>
      <c r="H39" s="12"/>
      <c r="K39">
        <f t="shared" si="2"/>
        <v>1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.OI3</v>
      </c>
      <c r="D40" s="22" t="str">
        <f>'Sheet2-PASTE HERE!'!K50</f>
        <v>ASME Inspection Test</v>
      </c>
      <c r="E40" s="13">
        <f>'Sheet2-PASTE HERE!'!F50</f>
        <v>0</v>
      </c>
      <c r="F40" s="12"/>
      <c r="G40" s="12"/>
      <c r="H40" s="12"/>
      <c r="K40">
        <f t="shared" si="2"/>
        <v>1</v>
      </c>
      <c r="L40">
        <f t="shared" si="1"/>
        <v>1</v>
      </c>
    </row>
    <row r="41" spans="1:12" ht="26.25" customHeight="1" x14ac:dyDescent="0.2">
      <c r="A41" s="10" t="str">
        <f>'Sheet2-PASTE HERE!'!A51</f>
        <v>FINISHING</v>
      </c>
      <c r="B41" s="11"/>
      <c r="C41" s="17" t="str">
        <f>'Sheet2-PASTE HERE!'!I51</f>
        <v>.920</v>
      </c>
      <c r="D41" s="22" t="str">
        <f>'Sheet2-PASTE HERE!'!K51</f>
        <v>Clean tank complete</v>
      </c>
      <c r="E41" s="13">
        <f>'Sheet2-PASTE HERE!'!F51</f>
        <v>5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INSPECTION</v>
      </c>
      <c r="B42" s="11"/>
      <c r="C42" s="17" t="str">
        <f>'Sheet2-PASTE HERE!'!I52</f>
        <v>.QC8</v>
      </c>
      <c r="D42" s="22" t="str">
        <f>'Sheet2-PASTE HERE!'!K52</f>
        <v>QC Inspection - Clean</v>
      </c>
      <c r="E42" s="13">
        <f>'Sheet2-PASTE HERE!'!F52</f>
        <v>0</v>
      </c>
      <c r="F42" s="12"/>
      <c r="G42" s="12"/>
      <c r="H42" s="12"/>
      <c r="K42">
        <f t="shared" si="2"/>
        <v>1</v>
      </c>
      <c r="L42">
        <f t="shared" si="1"/>
        <v>0</v>
      </c>
    </row>
    <row r="43" spans="1:12" ht="26.25" customHeight="1" x14ac:dyDescent="0.2">
      <c r="A43" s="10" t="str">
        <f>'Sheet2-PASTE HERE!'!A53</f>
        <v>FINISHING</v>
      </c>
      <c r="B43" s="11"/>
      <c r="C43" s="17" t="str">
        <f>'Sheet2-PASTE HERE!'!I53</f>
        <v>.940</v>
      </c>
      <c r="D43" s="22" t="str">
        <f>'Sheet2-PASTE HERE!'!K53</f>
        <v>Prepare tank for shipment</v>
      </c>
      <c r="E43" s="13">
        <f>'Sheet2-PASTE HERE!'!F53</f>
        <v>1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INSPECTION</v>
      </c>
      <c r="B44" s="11"/>
      <c r="C44" s="17" t="str">
        <f>'Sheet2-PASTE HERE!'!I54</f>
        <v>.QC95</v>
      </c>
      <c r="D44" s="22" t="str">
        <f>'Sheet2-PASTE HERE!'!K54</f>
        <v>QC Inspection - Final &amp; Loose Items</v>
      </c>
      <c r="E44" s="13">
        <f>'Sheet2-PASTE HERE!'!F54</f>
        <v>0</v>
      </c>
      <c r="F44" s="12"/>
      <c r="G44" s="12"/>
      <c r="H44" s="12"/>
      <c r="K44">
        <f t="shared" si="2"/>
        <v>1</v>
      </c>
      <c r="L44">
        <f t="shared" si="1"/>
        <v>0</v>
      </c>
    </row>
    <row r="45" spans="1:12" ht="26.25" customHeight="1" x14ac:dyDescent="0.2">
      <c r="A45" s="10" t="str">
        <f>'Sheet2-PASTE HERE!'!A55</f>
        <v>SHIPPING</v>
      </c>
      <c r="B45" s="11"/>
      <c r="C45" s="17" t="str">
        <f>'Sheet2-PASTE HERE!'!I55</f>
        <v>.960</v>
      </c>
      <c r="D45" s="22" t="str">
        <f>'Sheet2-PASTE HERE!'!K55</f>
        <v>Load on truck</v>
      </c>
      <c r="E45" s="13">
        <f>'Sheet2-PASTE HERE!'!F55</f>
        <v>1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 t="str">
        <f>'Sheet2-PASTE HERE!'!F57</f>
        <v/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142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BALLAST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2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USE COBOT</v>
      </c>
      <c r="E8" s="13">
        <f>'Sheet2-PASTE HERE!'!F18</f>
        <v>3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.155</v>
      </c>
      <c r="D9" s="22" t="str">
        <f>'Sheet2-PASTE HERE!'!K19</f>
        <v>Burn and clean parts:  lugs, supports, repads, base ring, etc. (CHECK!)</v>
      </c>
      <c r="E9" s="13">
        <f>'Sheet2-PASTE HERE!'!F19</f>
        <v>2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.156</v>
      </c>
      <c r="D10" s="22">
        <f>'Sheet2-PASTE HERE!'!K20</f>
        <v>0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.165</v>
      </c>
      <c r="D11" s="22" t="str">
        <f>'Sheet2-PASTE HERE!'!K21</f>
        <v>Build supports: legs, lugs, saddles</v>
      </c>
      <c r="E11" s="13">
        <f>'Sheet2-PASTE HERE!'!F21</f>
        <v>5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.200</v>
      </c>
      <c r="D12" s="22" t="str">
        <f>'Sheet2-PASTE HERE!'!K22</f>
        <v>Make lift lugs, ground lugs, etc.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INSPECTION</v>
      </c>
      <c r="B13" s="11"/>
      <c r="C13" s="17" t="str">
        <f>'Sheet2-PASTE HERE!'!I23</f>
        <v>.QC4</v>
      </c>
      <c r="D13" s="22" t="str">
        <f>'Sheet2-PASTE HERE!'!K23</f>
        <v>QC Inspection - Top/Bottom/Cones</v>
      </c>
      <c r="E13" s="13">
        <f>'Sheet2-PASTE HERE!'!F23</f>
        <v>0</v>
      </c>
      <c r="F13" s="12"/>
      <c r="G13" s="12"/>
      <c r="H13" s="12"/>
      <c r="K13">
        <f t="shared" si="0"/>
        <v>1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.355</v>
      </c>
      <c r="D14" s="22" t="str">
        <f>'Sheet2-PASTE HERE!'!K24</f>
        <v>Lay out top head, burn and clean holes_x000D_
ON BURN TABLE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.360</v>
      </c>
      <c r="D15" s="22" t="str">
        <f>'Sheet2-PASTE HERE!'!K25</f>
        <v>Bevel top head_x000D_
PREP FOR FULL PEN WELD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.365</v>
      </c>
      <c r="D16" s="22" t="str">
        <f>'Sheet2-PASTE HERE!'!K26</f>
        <v>Set  nozzles, lift lugs, etc. in top head - tack</v>
      </c>
      <c r="E16" s="13">
        <f>'Sheet2-PASTE HERE!'!F26</f>
        <v>1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.366</v>
      </c>
      <c r="D17" s="22" t="str">
        <f>'Sheet2-PASTE HERE!'!K27</f>
        <v>Weld out top head nozzles, etc. _x000D_
INCL LIFT LUG</v>
      </c>
      <c r="E17" s="13">
        <f>'Sheet2-PASTE HERE!'!F27</f>
        <v>2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.QC4</v>
      </c>
      <c r="D18" s="22" t="str">
        <f>'Sheet2-PASTE HERE!'!K28</f>
        <v>QC Inspection - Top/Bottom/Cones</v>
      </c>
      <c r="E18" s="13">
        <f>'Sheet2-PASTE HERE!'!F28</f>
        <v>0</v>
      </c>
      <c r="F18" s="12"/>
      <c r="G18" s="12"/>
      <c r="H18" s="12"/>
      <c r="K18">
        <f t="shared" si="0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.455</v>
      </c>
      <c r="D19" s="22" t="str">
        <f>'Sheet2-PASTE HERE!'!K29</f>
        <v>Lay out bottom head, burn and clean holes_x000D_
ON BURN TABLE</v>
      </c>
      <c r="E19" s="13">
        <f>'Sheet2-PASTE HERE!'!F29</f>
        <v>2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.460</v>
      </c>
      <c r="D20" s="22" t="str">
        <f>'Sheet2-PASTE HERE!'!K30</f>
        <v>Bevel bottom head_x000D_
PREP FOR FULL PEN WELD</v>
      </c>
      <c r="E20" s="13">
        <f>'Sheet2-PASTE HERE!'!F30</f>
        <v>1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.465</v>
      </c>
      <c r="D21" s="22" t="str">
        <f>'Sheet2-PASTE HERE!'!K31</f>
        <v>Set  nozzles in bottom head - tack</v>
      </c>
      <c r="E21" s="13">
        <f>'Sheet2-PASTE HERE!'!F31</f>
        <v>1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.466</v>
      </c>
      <c r="D22" s="22" t="str">
        <f>'Sheet2-PASTE HERE!'!K32</f>
        <v>Weld nozzles in bottom head; weld complete</v>
      </c>
      <c r="E22" s="13">
        <f>'Sheet2-PASTE HERE!'!F32</f>
        <v>1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INSPECTION</v>
      </c>
      <c r="B23" s="11"/>
      <c r="C23" s="17" t="str">
        <f>'Sheet2-PASTE HERE!'!I33</f>
        <v>.OI1</v>
      </c>
      <c r="D23" s="22" t="str">
        <f>'Sheet2-PASTE HERE!'!K33</f>
        <v>ASME Hold Point</v>
      </c>
      <c r="E23" s="13">
        <f>'Sheet2-PASTE HERE!'!F33</f>
        <v>0</v>
      </c>
      <c r="F23" s="12"/>
      <c r="G23" s="12"/>
      <c r="H23" s="12"/>
      <c r="K23">
        <f t="shared" si="0"/>
        <v>1</v>
      </c>
      <c r="L23">
        <f t="shared" si="1"/>
        <v>1</v>
      </c>
    </row>
    <row r="24" spans="1:12" ht="26.25" customHeight="1" x14ac:dyDescent="0.2">
      <c r="A24" s="10" t="str">
        <f>'Sheet2-PASTE HERE!'!A34</f>
        <v>FIT</v>
      </c>
      <c r="B24" s="11"/>
      <c r="C24" s="17" t="str">
        <f>'Sheet2-PASTE HERE!'!I34</f>
        <v>.600</v>
      </c>
      <c r="D24" s="22" t="str">
        <f>'Sheet2-PASTE HERE!'!K34</f>
        <v>Fit bottom head to shell</v>
      </c>
      <c r="E24" s="13">
        <f>'Sheet2-PASTE HERE!'!F34</f>
        <v>1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FIT</v>
      </c>
      <c r="B25" s="11"/>
      <c r="C25" s="17" t="str">
        <f>'Sheet2-PASTE HERE!'!I35</f>
        <v>.620</v>
      </c>
      <c r="D25" s="22" t="str">
        <f>'Sheet2-PASTE HERE!'!K35</f>
        <v>Lay out shell, burn and clean holes_x000D_
AND PREP FOR FULL PEN WELDS</v>
      </c>
      <c r="E25" s="13">
        <f>'Sheet2-PASTE HERE!'!F35</f>
        <v>3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INSPECTION</v>
      </c>
      <c r="B26" s="11"/>
      <c r="C26" s="17" t="str">
        <f>'Sheet2-PASTE HERE!'!I36</f>
        <v>.QC5</v>
      </c>
      <c r="D26" s="22" t="str">
        <f>'Sheet2-PASTE HERE!'!K36</f>
        <v>QC Inspection - Internal</v>
      </c>
      <c r="E26" s="13">
        <f>'Sheet2-PASTE HERE!'!F36</f>
        <v>0</v>
      </c>
      <c r="F26" s="12"/>
      <c r="G26" s="12"/>
      <c r="H26" s="12"/>
      <c r="K26">
        <f t="shared" si="0"/>
        <v>1</v>
      </c>
      <c r="L26">
        <f t="shared" si="1"/>
        <v>0</v>
      </c>
    </row>
    <row r="27" spans="1:12" ht="26.25" customHeight="1" x14ac:dyDescent="0.2">
      <c r="A27" s="10" t="str">
        <f>'Sheet2-PASTE HERE!'!A37</f>
        <v>FIT</v>
      </c>
      <c r="B27" s="11"/>
      <c r="C27" s="17" t="str">
        <f>'Sheet2-PASTE HERE!'!I37</f>
        <v>.640</v>
      </c>
      <c r="D27" s="22" t="str">
        <f>'Sheet2-PASTE HERE!'!K37</f>
        <v>Fit top head to shell - tack</v>
      </c>
      <c r="E27" s="13">
        <f>'Sheet2-PASTE HERE!'!F37</f>
        <v>1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FIT</v>
      </c>
      <c r="B28" s="11"/>
      <c r="C28" s="17" t="str">
        <f>'Sheet2-PASTE HERE!'!I38</f>
        <v>.645</v>
      </c>
      <c r="D28" s="22" t="str">
        <f>'Sheet2-PASTE HERE!'!K38</f>
        <v>Weld all outside seams</v>
      </c>
      <c r="E28" s="13">
        <f>'Sheet2-PASTE HERE!'!F38</f>
        <v>3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MOVE TANK</v>
      </c>
      <c r="B29" s="11"/>
      <c r="C29" s="17" t="str">
        <f>'Sheet2-PASTE HERE!'!I39</f>
        <v>.800</v>
      </c>
      <c r="D29" s="22" t="str">
        <f>'Sheet2-PASTE HERE!'!K39</f>
        <v>Move tank to detail rolls</v>
      </c>
      <c r="E29" s="13">
        <f>'Sheet2-PASTE HERE!'!F39</f>
        <v>1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FIT</v>
      </c>
      <c r="B30" s="11"/>
      <c r="C30" s="17" t="str">
        <f>'Sheet2-PASTE HERE!'!I40</f>
        <v>.720</v>
      </c>
      <c r="D30" s="22" t="str">
        <f>'Sheet2-PASTE HERE!'!K40</f>
        <v>Install supports - legs, lugs, anchors, saddles, skirt_x000D_
AND WELD COMPLETE</v>
      </c>
      <c r="E30" s="13">
        <f>'Sheet2-PASTE HERE!'!F40</f>
        <v>5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.725</v>
      </c>
      <c r="D31" s="22" t="str">
        <f>'Sheet2-PASTE HERE!'!K41</f>
        <v>Set nozzles in shell - tack</v>
      </c>
      <c r="E31" s="13">
        <f>'Sheet2-PASTE HERE!'!F41</f>
        <v>1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.726</v>
      </c>
      <c r="D32" s="22" t="str">
        <f>'Sheet2-PASTE HERE!'!K42</f>
        <v>Weld shell nozzles, manways, etc._x000D_
MAKE FULL PEN WELDS FROM OUTSIDE</v>
      </c>
      <c r="E32" s="13">
        <f>'Sheet2-PASTE HERE!'!F42</f>
        <v>3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FINISHING</v>
      </c>
      <c r="B33" s="11"/>
      <c r="C33" s="17" t="str">
        <f>'Sheet2-PASTE HERE!'!I43</f>
        <v>.765</v>
      </c>
      <c r="D33" s="22" t="str">
        <f>'Sheet2-PASTE HERE!'!K43</f>
        <v>Install name tag</v>
      </c>
      <c r="E33" s="13">
        <f>'Sheet2-PASTE HERE!'!F43</f>
        <v>1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.770</v>
      </c>
      <c r="D34" s="22" t="str">
        <f>'Sheet2-PASTE HERE!'!K44</f>
        <v>Inspect tank, make repairs, get QC inspector</v>
      </c>
      <c r="E34" s="13">
        <f>'Sheet2-PASTE HERE!'!F44</f>
        <v>1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.QC6</v>
      </c>
      <c r="D35" s="22" t="str">
        <f>'Sheet2-PASTE HERE!'!K45</f>
        <v>QC Inspection - Fabrication</v>
      </c>
      <c r="E35" s="13">
        <f>'Sheet2-PASTE HERE!'!F45</f>
        <v>0</v>
      </c>
      <c r="F35" s="12"/>
      <c r="G35" s="12"/>
      <c r="H35" s="12"/>
      <c r="K35">
        <f t="shared" si="0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INSPECTION</v>
      </c>
      <c r="B36" s="11"/>
      <c r="C36" s="17" t="str">
        <f>'Sheet2-PASTE HERE!'!I46</f>
        <v>.OI2</v>
      </c>
      <c r="D36" s="22" t="str">
        <f>'Sheet2-PASTE HERE!'!K46</f>
        <v>ASME Inspection Internal</v>
      </c>
      <c r="E36" s="13">
        <f>'Sheet2-PASTE HERE!'!F46</f>
        <v>0</v>
      </c>
      <c r="F36" s="12"/>
      <c r="G36" s="12"/>
      <c r="H36" s="12"/>
      <c r="K36">
        <f t="shared" si="0"/>
        <v>1</v>
      </c>
      <c r="L36">
        <f t="shared" si="1"/>
        <v>1</v>
      </c>
    </row>
    <row r="37" spans="1:12" ht="26.25" customHeight="1" x14ac:dyDescent="0.2">
      <c r="A37" s="10" t="str">
        <f>'Sheet2-PASTE HERE!'!A47</f>
        <v>MOVE TANK</v>
      </c>
      <c r="B37" s="11"/>
      <c r="C37" s="17" t="str">
        <f>'Sheet2-PASTE HERE!'!I47</f>
        <v>.801</v>
      </c>
      <c r="D37" s="22" t="str">
        <f>'Sheet2-PASTE HERE!'!K47</f>
        <v>Move to shop test area</v>
      </c>
      <c r="E37" s="13">
        <f>'Sheet2-PASTE HERE!'!F47</f>
        <v>1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FINISHING</v>
      </c>
      <c r="B38" s="11"/>
      <c r="C38" s="17" t="str">
        <f>'Sheet2-PASTE HERE!'!I48</f>
        <v>.910</v>
      </c>
      <c r="D38" s="22" t="str">
        <f>'Sheet2-PASTE HERE!'!K48</f>
        <v>Test tank</v>
      </c>
      <c r="E38" s="13">
        <f>'Sheet2-PASTE HERE!'!F48</f>
        <v>5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INSPECTION</v>
      </c>
      <c r="B39" s="11"/>
      <c r="C39" s="17" t="str">
        <f>'Sheet2-PASTE HERE!'!I49</f>
        <v>.QC7</v>
      </c>
      <c r="D39" s="22" t="str">
        <f>'Sheet2-PASTE HERE!'!K49</f>
        <v>QC Inspection - Test</v>
      </c>
      <c r="E39" s="13">
        <f>'Sheet2-PASTE HERE!'!F49</f>
        <v>0</v>
      </c>
      <c r="F39" s="12"/>
      <c r="G39" s="12"/>
      <c r="H39" s="12"/>
      <c r="K39">
        <f t="shared" si="0"/>
        <v>1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.OI3</v>
      </c>
      <c r="D40" s="22" t="str">
        <f>'Sheet2-PASTE HERE!'!K50</f>
        <v>ASME Inspection Test</v>
      </c>
      <c r="E40" s="13">
        <f>'Sheet2-PASTE HERE!'!F50</f>
        <v>0</v>
      </c>
      <c r="F40" s="12"/>
      <c r="G40" s="12"/>
      <c r="H40" s="12"/>
      <c r="K40">
        <f t="shared" si="0"/>
        <v>1</v>
      </c>
      <c r="L40">
        <f t="shared" si="1"/>
        <v>1</v>
      </c>
    </row>
    <row r="41" spans="1:12" ht="26.25" customHeight="1" x14ac:dyDescent="0.2">
      <c r="A41" s="10" t="str">
        <f>'Sheet2-PASTE HERE!'!A51</f>
        <v>FINISHING</v>
      </c>
      <c r="B41" s="11"/>
      <c r="C41" s="17" t="str">
        <f>'Sheet2-PASTE HERE!'!I51</f>
        <v>.920</v>
      </c>
      <c r="D41" s="22" t="str">
        <f>'Sheet2-PASTE HERE!'!K51</f>
        <v>Clean tank complete</v>
      </c>
      <c r="E41" s="13">
        <f>'Sheet2-PASTE HERE!'!F51</f>
        <v>5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INSPECTION</v>
      </c>
      <c r="B42" s="11"/>
      <c r="C42" s="17" t="str">
        <f>'Sheet2-PASTE HERE!'!I52</f>
        <v>.QC8</v>
      </c>
      <c r="D42" s="22" t="str">
        <f>'Sheet2-PASTE HERE!'!K52</f>
        <v>QC Inspection - Clean</v>
      </c>
      <c r="E42" s="13">
        <f>'Sheet2-PASTE HERE!'!F52</f>
        <v>0</v>
      </c>
      <c r="F42" s="12"/>
      <c r="G42" s="12"/>
      <c r="H42" s="12"/>
      <c r="K42">
        <f t="shared" si="0"/>
        <v>1</v>
      </c>
      <c r="L42">
        <f t="shared" si="1"/>
        <v>0</v>
      </c>
    </row>
    <row r="43" spans="1:12" ht="26.25" customHeight="1" x14ac:dyDescent="0.2">
      <c r="A43" s="10" t="str">
        <f>'Sheet2-PASTE HERE!'!A53</f>
        <v>FINISHING</v>
      </c>
      <c r="B43" s="11"/>
      <c r="C43" s="17" t="str">
        <f>'Sheet2-PASTE HERE!'!I53</f>
        <v>.940</v>
      </c>
      <c r="D43" s="22" t="str">
        <f>'Sheet2-PASTE HERE!'!K53</f>
        <v>Prepare tank for shipment</v>
      </c>
      <c r="E43" s="13">
        <f>'Sheet2-PASTE HERE!'!F53</f>
        <v>1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INSPECTION</v>
      </c>
      <c r="B44" s="11"/>
      <c r="C44" s="17" t="str">
        <f>'Sheet2-PASTE HERE!'!I54</f>
        <v>.QC95</v>
      </c>
      <c r="D44" s="22" t="str">
        <f>'Sheet2-PASTE HERE!'!K54</f>
        <v>QC Inspection - Final &amp; Loose Items</v>
      </c>
      <c r="E44" s="13">
        <f>'Sheet2-PASTE HERE!'!F54</f>
        <v>0</v>
      </c>
      <c r="F44" s="12"/>
      <c r="G44" s="12"/>
      <c r="H44" s="12"/>
      <c r="K44">
        <f t="shared" si="0"/>
        <v>1</v>
      </c>
      <c r="L44">
        <f t="shared" si="1"/>
        <v>0</v>
      </c>
    </row>
    <row r="45" spans="1:12" ht="26.25" customHeight="1" x14ac:dyDescent="0.2">
      <c r="A45" s="10" t="str">
        <f>'Sheet2-PASTE HERE!'!A55</f>
        <v>SHIPPING</v>
      </c>
      <c r="B45" s="11"/>
      <c r="C45" s="17" t="str">
        <f>'Sheet2-PASTE HERE!'!I55</f>
        <v>.960</v>
      </c>
      <c r="D45" s="22" t="str">
        <f>'Sheet2-PASTE HERE!'!K55</f>
        <v>Load on truck</v>
      </c>
      <c r="E45" s="13">
        <f>'Sheet2-PASTE HERE!'!F55</f>
        <v>1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 t="str">
        <f>'Sheet2-PASTE HERE!'!F57</f>
        <v/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143</v>
      </c>
      <c r="C1" s="8" t="s">
        <v>17</v>
      </c>
      <c r="D1" s="8" t="s">
        <v>144</v>
      </c>
      <c r="E1" s="8" t="s">
        <v>18</v>
      </c>
      <c r="F1" s="8" t="s">
        <v>145</v>
      </c>
      <c r="G1" s="8" t="s">
        <v>143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45882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58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54417</v>
      </c>
      <c r="C15" s="19">
        <v>0</v>
      </c>
      <c r="D15" s="8" t="s">
        <v>73</v>
      </c>
      <c r="E15" s="20">
        <v>0</v>
      </c>
      <c r="F15" s="20">
        <v>0</v>
      </c>
      <c r="G15" s="8" t="s">
        <v>54</v>
      </c>
      <c r="H15" s="20">
        <v>0</v>
      </c>
      <c r="I15" s="8" t="s">
        <v>74</v>
      </c>
      <c r="J15" s="19">
        <v>0</v>
      </c>
      <c r="K15" s="8" t="s">
        <v>73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54418</v>
      </c>
      <c r="C16" s="19">
        <v>0</v>
      </c>
      <c r="D16" s="8" t="s">
        <v>75</v>
      </c>
      <c r="E16" s="20">
        <v>0</v>
      </c>
      <c r="F16" s="20">
        <v>0</v>
      </c>
      <c r="G16" s="8" t="s">
        <v>54</v>
      </c>
      <c r="H16" s="20">
        <v>0</v>
      </c>
      <c r="I16" s="8" t="s">
        <v>76</v>
      </c>
      <c r="J16" s="19">
        <v>0</v>
      </c>
      <c r="K16" s="8" t="s">
        <v>77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54419</v>
      </c>
      <c r="C17" s="19">
        <v>0</v>
      </c>
      <c r="D17" s="8" t="s">
        <v>57</v>
      </c>
      <c r="E17" s="20">
        <v>0</v>
      </c>
      <c r="F17" s="20">
        <v>2</v>
      </c>
      <c r="G17" s="8" t="s">
        <v>54</v>
      </c>
      <c r="H17" s="20">
        <v>2</v>
      </c>
      <c r="I17" s="8" t="s">
        <v>58</v>
      </c>
      <c r="J17" s="19">
        <v>0</v>
      </c>
      <c r="K17" s="8" t="s">
        <v>78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54420</v>
      </c>
      <c r="C18" s="19">
        <v>0</v>
      </c>
      <c r="D18" s="8" t="s">
        <v>79</v>
      </c>
      <c r="E18" s="20">
        <v>0</v>
      </c>
      <c r="F18" s="20">
        <v>3</v>
      </c>
      <c r="G18" s="8" t="s">
        <v>54</v>
      </c>
      <c r="H18" s="20">
        <v>3</v>
      </c>
      <c r="I18" s="8" t="s">
        <v>80</v>
      </c>
      <c r="J18" s="19">
        <v>0</v>
      </c>
      <c r="K18" s="8" t="s">
        <v>146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54421</v>
      </c>
      <c r="C19" s="19">
        <v>0</v>
      </c>
      <c r="D19" s="8" t="s">
        <v>133</v>
      </c>
      <c r="E19" s="20">
        <v>0</v>
      </c>
      <c r="F19" s="20">
        <v>2</v>
      </c>
      <c r="G19" s="8" t="s">
        <v>54</v>
      </c>
      <c r="H19" s="20">
        <v>2</v>
      </c>
      <c r="I19" s="8" t="s">
        <v>59</v>
      </c>
      <c r="J19" s="19">
        <v>0</v>
      </c>
      <c r="K19" s="8" t="s">
        <v>81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54422</v>
      </c>
      <c r="C20" s="19">
        <v>0</v>
      </c>
      <c r="D20" s="8" t="s">
        <v>134</v>
      </c>
      <c r="E20" s="20">
        <v>0</v>
      </c>
      <c r="F20" s="20">
        <v>1</v>
      </c>
      <c r="G20" s="8" t="s">
        <v>54</v>
      </c>
      <c r="H20" s="20">
        <v>1</v>
      </c>
      <c r="I20" s="8" t="s">
        <v>135</v>
      </c>
      <c r="J20" s="19">
        <v>0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54423</v>
      </c>
      <c r="C21" s="19">
        <v>0</v>
      </c>
      <c r="D21" s="8" t="s">
        <v>60</v>
      </c>
      <c r="E21" s="20">
        <v>0</v>
      </c>
      <c r="F21" s="20">
        <v>5</v>
      </c>
      <c r="G21" s="8" t="s">
        <v>54</v>
      </c>
      <c r="H21" s="20">
        <v>5</v>
      </c>
      <c r="I21" s="8" t="s">
        <v>61</v>
      </c>
      <c r="J21" s="19">
        <v>0</v>
      </c>
      <c r="K21" s="8" t="s">
        <v>136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54424</v>
      </c>
      <c r="C22" s="19">
        <v>0</v>
      </c>
      <c r="D22" s="8" t="s">
        <v>82</v>
      </c>
      <c r="E22" s="20">
        <v>0</v>
      </c>
      <c r="F22" s="20">
        <v>1</v>
      </c>
      <c r="G22" s="8" t="s">
        <v>54</v>
      </c>
      <c r="H22" s="20">
        <v>1</v>
      </c>
      <c r="I22" s="8" t="s">
        <v>83</v>
      </c>
      <c r="J22" s="19">
        <v>0</v>
      </c>
      <c r="K22" s="8" t="s">
        <v>147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53</v>
      </c>
      <c r="B23" s="18">
        <v>54425</v>
      </c>
      <c r="C23" s="19">
        <v>0</v>
      </c>
      <c r="D23" s="8" t="s">
        <v>84</v>
      </c>
      <c r="E23" s="20">
        <v>0</v>
      </c>
      <c r="F23" s="20">
        <v>0</v>
      </c>
      <c r="G23" s="8" t="s">
        <v>54</v>
      </c>
      <c r="H23" s="20">
        <v>0</v>
      </c>
      <c r="I23" s="8" t="s">
        <v>85</v>
      </c>
      <c r="J23" s="19">
        <v>0</v>
      </c>
      <c r="K23" s="8" t="s">
        <v>86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54426</v>
      </c>
      <c r="C24" s="19">
        <v>0</v>
      </c>
      <c r="D24" s="8" t="s">
        <v>87</v>
      </c>
      <c r="E24" s="20">
        <v>0</v>
      </c>
      <c r="F24" s="20">
        <v>2</v>
      </c>
      <c r="G24" s="8" t="s">
        <v>54</v>
      </c>
      <c r="H24" s="20">
        <v>2</v>
      </c>
      <c r="I24" s="8" t="s">
        <v>88</v>
      </c>
      <c r="J24" s="19">
        <v>0</v>
      </c>
      <c r="K24" s="8" t="s">
        <v>148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54427</v>
      </c>
      <c r="C25" s="19">
        <v>0</v>
      </c>
      <c r="D25" s="8" t="s">
        <v>149</v>
      </c>
      <c r="E25" s="20">
        <v>0</v>
      </c>
      <c r="F25" s="20">
        <v>1</v>
      </c>
      <c r="G25" s="8" t="s">
        <v>54</v>
      </c>
      <c r="H25" s="20">
        <v>1</v>
      </c>
      <c r="I25" s="8" t="s">
        <v>150</v>
      </c>
      <c r="J25" s="19">
        <v>0</v>
      </c>
      <c r="K25" s="8" t="s">
        <v>151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54428</v>
      </c>
      <c r="C26" s="19">
        <v>0</v>
      </c>
      <c r="D26" s="8" t="s">
        <v>89</v>
      </c>
      <c r="E26" s="20">
        <v>0</v>
      </c>
      <c r="F26" s="20">
        <v>1</v>
      </c>
      <c r="G26" s="8" t="s">
        <v>54</v>
      </c>
      <c r="H26" s="20">
        <v>1</v>
      </c>
      <c r="I26" s="8" t="s">
        <v>90</v>
      </c>
      <c r="J26" s="19">
        <v>0</v>
      </c>
      <c r="K26" s="8" t="s">
        <v>152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54429</v>
      </c>
      <c r="C27" s="19">
        <v>0</v>
      </c>
      <c r="D27" s="8" t="s">
        <v>91</v>
      </c>
      <c r="E27" s="20">
        <v>0</v>
      </c>
      <c r="F27" s="20">
        <v>2</v>
      </c>
      <c r="G27" s="8" t="s">
        <v>54</v>
      </c>
      <c r="H27" s="20">
        <v>2</v>
      </c>
      <c r="I27" s="8" t="s">
        <v>92</v>
      </c>
      <c r="J27" s="19">
        <v>0</v>
      </c>
      <c r="K27" s="8" t="s">
        <v>153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53</v>
      </c>
      <c r="B28" s="18">
        <v>54430</v>
      </c>
      <c r="C28" s="19">
        <v>0</v>
      </c>
      <c r="D28" s="8" t="s">
        <v>84</v>
      </c>
      <c r="E28" s="20">
        <v>0</v>
      </c>
      <c r="F28" s="20">
        <v>0</v>
      </c>
      <c r="G28" s="8" t="s">
        <v>54</v>
      </c>
      <c r="H28" s="20">
        <v>0</v>
      </c>
      <c r="I28" s="8" t="s">
        <v>85</v>
      </c>
      <c r="J28" s="19">
        <v>0</v>
      </c>
      <c r="K28" s="8" t="s">
        <v>86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54431</v>
      </c>
      <c r="C29" s="19">
        <v>0</v>
      </c>
      <c r="D29" s="8" t="s">
        <v>137</v>
      </c>
      <c r="E29" s="20">
        <v>0</v>
      </c>
      <c r="F29" s="20">
        <v>2</v>
      </c>
      <c r="G29" s="8" t="s">
        <v>54</v>
      </c>
      <c r="H29" s="20">
        <v>2</v>
      </c>
      <c r="I29" s="8" t="s">
        <v>138</v>
      </c>
      <c r="J29" s="19">
        <v>0</v>
      </c>
      <c r="K29" s="8" t="s">
        <v>154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54432</v>
      </c>
      <c r="C30" s="19">
        <v>0</v>
      </c>
      <c r="D30" s="8" t="s">
        <v>155</v>
      </c>
      <c r="E30" s="20">
        <v>0</v>
      </c>
      <c r="F30" s="20">
        <v>1</v>
      </c>
      <c r="G30" s="8" t="s">
        <v>54</v>
      </c>
      <c r="H30" s="20">
        <v>1</v>
      </c>
      <c r="I30" s="8" t="s">
        <v>156</v>
      </c>
      <c r="J30" s="19">
        <v>0</v>
      </c>
      <c r="K30" s="8" t="s">
        <v>157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54433</v>
      </c>
      <c r="C31" s="19">
        <v>0</v>
      </c>
      <c r="D31" s="8" t="s">
        <v>158</v>
      </c>
      <c r="E31" s="20">
        <v>0</v>
      </c>
      <c r="F31" s="20">
        <v>1</v>
      </c>
      <c r="G31" s="8" t="s">
        <v>54</v>
      </c>
      <c r="H31" s="20">
        <v>1</v>
      </c>
      <c r="I31" s="8" t="s">
        <v>159</v>
      </c>
      <c r="J31" s="19">
        <v>0</v>
      </c>
      <c r="K31" s="8" t="s">
        <v>160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54434</v>
      </c>
      <c r="C32" s="19">
        <v>0</v>
      </c>
      <c r="D32" s="8" t="s">
        <v>161</v>
      </c>
      <c r="E32" s="20">
        <v>0</v>
      </c>
      <c r="F32" s="20">
        <v>1</v>
      </c>
      <c r="G32" s="8" t="s">
        <v>54</v>
      </c>
      <c r="H32" s="20">
        <v>1</v>
      </c>
      <c r="I32" s="8" t="s">
        <v>162</v>
      </c>
      <c r="J32" s="19">
        <v>0</v>
      </c>
      <c r="K32" s="8" t="s">
        <v>163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53</v>
      </c>
      <c r="B33" s="18">
        <v>54435</v>
      </c>
      <c r="C33" s="19">
        <v>0</v>
      </c>
      <c r="D33" s="8" t="s">
        <v>164</v>
      </c>
      <c r="E33" s="20">
        <v>0</v>
      </c>
      <c r="F33" s="20">
        <v>0</v>
      </c>
      <c r="G33" s="8" t="s">
        <v>54</v>
      </c>
      <c r="H33" s="20">
        <v>0</v>
      </c>
      <c r="I33" s="8" t="s">
        <v>165</v>
      </c>
      <c r="J33" s="19">
        <v>0</v>
      </c>
      <c r="K33" s="8" t="s">
        <v>164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72</v>
      </c>
      <c r="B34" s="18">
        <v>54436</v>
      </c>
      <c r="C34" s="19">
        <v>0</v>
      </c>
      <c r="D34" s="8" t="s">
        <v>93</v>
      </c>
      <c r="E34" s="20">
        <v>0</v>
      </c>
      <c r="F34" s="20">
        <v>1</v>
      </c>
      <c r="G34" s="8" t="s">
        <v>54</v>
      </c>
      <c r="H34" s="20">
        <v>1</v>
      </c>
      <c r="I34" s="8" t="s">
        <v>94</v>
      </c>
      <c r="J34" s="19">
        <v>0</v>
      </c>
      <c r="K34" s="8" t="s">
        <v>166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72</v>
      </c>
      <c r="B35" s="18">
        <v>54437</v>
      </c>
      <c r="C35" s="19">
        <v>0</v>
      </c>
      <c r="D35" s="8" t="s">
        <v>95</v>
      </c>
      <c r="E35" s="20">
        <v>0</v>
      </c>
      <c r="F35" s="20">
        <v>3</v>
      </c>
      <c r="G35" s="8" t="s">
        <v>54</v>
      </c>
      <c r="H35" s="20">
        <v>3</v>
      </c>
      <c r="I35" s="8" t="s">
        <v>96</v>
      </c>
      <c r="J35" s="19">
        <v>0</v>
      </c>
      <c r="K35" s="8" t="s">
        <v>167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53</v>
      </c>
      <c r="B36" s="18">
        <v>54438</v>
      </c>
      <c r="C36" s="19">
        <v>0</v>
      </c>
      <c r="D36" s="8" t="s">
        <v>97</v>
      </c>
      <c r="E36" s="20">
        <v>0</v>
      </c>
      <c r="F36" s="20">
        <v>0</v>
      </c>
      <c r="G36" s="8" t="s">
        <v>54</v>
      </c>
      <c r="H36" s="20">
        <v>0</v>
      </c>
      <c r="I36" s="8" t="s">
        <v>98</v>
      </c>
      <c r="J36" s="19">
        <v>0</v>
      </c>
      <c r="K36" s="8" t="s">
        <v>97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72</v>
      </c>
      <c r="B37" s="18">
        <v>54439</v>
      </c>
      <c r="C37" s="19">
        <v>0</v>
      </c>
      <c r="D37" s="8" t="s">
        <v>99</v>
      </c>
      <c r="E37" s="20">
        <v>0</v>
      </c>
      <c r="F37" s="20">
        <v>1</v>
      </c>
      <c r="G37" s="8" t="s">
        <v>54</v>
      </c>
      <c r="H37" s="20">
        <v>1</v>
      </c>
      <c r="I37" s="8" t="s">
        <v>100</v>
      </c>
      <c r="J37" s="19">
        <v>0</v>
      </c>
      <c r="K37" s="8" t="s">
        <v>168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72</v>
      </c>
      <c r="B38" s="18">
        <v>54440</v>
      </c>
      <c r="C38" s="19">
        <v>0</v>
      </c>
      <c r="D38" s="8" t="s">
        <v>139</v>
      </c>
      <c r="E38" s="20">
        <v>0</v>
      </c>
      <c r="F38" s="20">
        <v>3</v>
      </c>
      <c r="G38" s="8" t="s">
        <v>54</v>
      </c>
      <c r="H38" s="20">
        <v>3</v>
      </c>
      <c r="I38" s="8" t="s">
        <v>140</v>
      </c>
      <c r="J38" s="19">
        <v>0</v>
      </c>
      <c r="K38" s="8" t="s">
        <v>141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101</v>
      </c>
      <c r="B39" s="18">
        <v>54441</v>
      </c>
      <c r="C39" s="19">
        <v>0</v>
      </c>
      <c r="D39" s="8" t="s">
        <v>102</v>
      </c>
      <c r="E39" s="20">
        <v>0</v>
      </c>
      <c r="F39" s="20">
        <v>1</v>
      </c>
      <c r="G39" s="8" t="s">
        <v>54</v>
      </c>
      <c r="H39" s="20">
        <v>1</v>
      </c>
      <c r="I39" s="8" t="s">
        <v>103</v>
      </c>
      <c r="J39" s="19">
        <v>0</v>
      </c>
      <c r="K39" s="8" t="s">
        <v>104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72</v>
      </c>
      <c r="B40" s="18">
        <v>54442</v>
      </c>
      <c r="C40" s="19">
        <v>0</v>
      </c>
      <c r="D40" s="8" t="s">
        <v>105</v>
      </c>
      <c r="E40" s="20">
        <v>0</v>
      </c>
      <c r="F40" s="20">
        <v>5</v>
      </c>
      <c r="G40" s="8" t="s">
        <v>54</v>
      </c>
      <c r="H40" s="20">
        <v>5</v>
      </c>
      <c r="I40" s="8" t="s">
        <v>106</v>
      </c>
      <c r="J40" s="19">
        <v>0</v>
      </c>
      <c r="K40" s="8" t="s">
        <v>169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72</v>
      </c>
      <c r="B41" s="18">
        <v>54443</v>
      </c>
      <c r="C41" s="19">
        <v>0</v>
      </c>
      <c r="D41" s="8" t="s">
        <v>107</v>
      </c>
      <c r="E41" s="20">
        <v>0</v>
      </c>
      <c r="F41" s="20">
        <v>1</v>
      </c>
      <c r="G41" s="8" t="s">
        <v>54</v>
      </c>
      <c r="H41" s="20">
        <v>1</v>
      </c>
      <c r="I41" s="8" t="s">
        <v>108</v>
      </c>
      <c r="J41" s="19">
        <v>0</v>
      </c>
      <c r="K41" s="8" t="s">
        <v>170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72</v>
      </c>
      <c r="B42" s="18">
        <v>54444</v>
      </c>
      <c r="C42" s="19">
        <v>0</v>
      </c>
      <c r="D42" s="8" t="s">
        <v>109</v>
      </c>
      <c r="E42" s="20">
        <v>0</v>
      </c>
      <c r="F42" s="20">
        <v>3</v>
      </c>
      <c r="G42" s="8" t="s">
        <v>54</v>
      </c>
      <c r="H42" s="20">
        <v>3</v>
      </c>
      <c r="I42" s="8" t="s">
        <v>110</v>
      </c>
      <c r="J42" s="19">
        <v>0</v>
      </c>
      <c r="K42" s="8" t="s">
        <v>171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62</v>
      </c>
      <c r="B43" s="18">
        <v>54445</v>
      </c>
      <c r="C43" s="19">
        <v>0</v>
      </c>
      <c r="D43" s="8" t="s">
        <v>111</v>
      </c>
      <c r="E43" s="20">
        <v>0</v>
      </c>
      <c r="F43" s="20">
        <v>1</v>
      </c>
      <c r="G43" s="8" t="s">
        <v>54</v>
      </c>
      <c r="H43" s="20">
        <v>1</v>
      </c>
      <c r="I43" s="8" t="s">
        <v>112</v>
      </c>
      <c r="J43" s="19">
        <v>0</v>
      </c>
      <c r="K43" s="8" t="s">
        <v>113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72</v>
      </c>
      <c r="B44" s="18">
        <v>54446</v>
      </c>
      <c r="C44" s="19">
        <v>0</v>
      </c>
      <c r="D44" s="8" t="s">
        <v>114</v>
      </c>
      <c r="E44" s="20">
        <v>0</v>
      </c>
      <c r="F44" s="20">
        <v>1</v>
      </c>
      <c r="G44" s="8" t="s">
        <v>54</v>
      </c>
      <c r="H44" s="20">
        <v>1</v>
      </c>
      <c r="I44" s="8" t="s">
        <v>115</v>
      </c>
      <c r="J44" s="19">
        <v>0</v>
      </c>
      <c r="K44" s="8" t="s">
        <v>116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53</v>
      </c>
      <c r="B45" s="18">
        <v>54447</v>
      </c>
      <c r="C45" s="19">
        <v>0</v>
      </c>
      <c r="D45" s="8" t="s">
        <v>117</v>
      </c>
      <c r="E45" s="20">
        <v>0</v>
      </c>
      <c r="F45" s="20">
        <v>0</v>
      </c>
      <c r="G45" s="8" t="s">
        <v>54</v>
      </c>
      <c r="H45" s="20">
        <v>0</v>
      </c>
      <c r="I45" s="8" t="s">
        <v>118</v>
      </c>
      <c r="J45" s="19">
        <v>0</v>
      </c>
      <c r="K45" s="8" t="s">
        <v>119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53</v>
      </c>
      <c r="B46" s="18">
        <v>54448</v>
      </c>
      <c r="C46" s="19">
        <v>0</v>
      </c>
      <c r="D46" s="8" t="s">
        <v>172</v>
      </c>
      <c r="E46" s="20">
        <v>0</v>
      </c>
      <c r="F46" s="20">
        <v>0</v>
      </c>
      <c r="G46" s="8" t="s">
        <v>54</v>
      </c>
      <c r="H46" s="20">
        <v>0</v>
      </c>
      <c r="I46" s="8" t="s">
        <v>173</v>
      </c>
      <c r="J46" s="19">
        <v>0</v>
      </c>
      <c r="K46" s="8" t="s">
        <v>172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101</v>
      </c>
      <c r="B47" s="18">
        <v>54449</v>
      </c>
      <c r="C47" s="19">
        <v>0</v>
      </c>
      <c r="D47" s="8" t="s">
        <v>120</v>
      </c>
      <c r="E47" s="20">
        <v>0</v>
      </c>
      <c r="F47" s="20">
        <v>1</v>
      </c>
      <c r="G47" s="8" t="s">
        <v>54</v>
      </c>
      <c r="H47" s="20">
        <v>1</v>
      </c>
      <c r="I47" s="8" t="s">
        <v>121</v>
      </c>
      <c r="J47" s="19">
        <v>0</v>
      </c>
      <c r="K47" s="8" t="s">
        <v>122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62</v>
      </c>
      <c r="B48" s="18">
        <v>54450</v>
      </c>
      <c r="C48" s="19">
        <v>0</v>
      </c>
      <c r="D48" s="8" t="s">
        <v>123</v>
      </c>
      <c r="E48" s="20">
        <v>0</v>
      </c>
      <c r="F48" s="20">
        <v>5</v>
      </c>
      <c r="G48" s="8" t="s">
        <v>54</v>
      </c>
      <c r="H48" s="20">
        <v>5</v>
      </c>
      <c r="I48" s="8" t="s">
        <v>124</v>
      </c>
      <c r="J48" s="19">
        <v>0</v>
      </c>
      <c r="K48" s="8" t="s">
        <v>125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53</v>
      </c>
      <c r="B49" s="18">
        <v>54451</v>
      </c>
      <c r="C49" s="19">
        <v>0</v>
      </c>
      <c r="D49" s="8" t="s">
        <v>126</v>
      </c>
      <c r="E49" s="20">
        <v>0</v>
      </c>
      <c r="F49" s="20">
        <v>0</v>
      </c>
      <c r="G49" s="8" t="s">
        <v>54</v>
      </c>
      <c r="H49" s="20">
        <v>0</v>
      </c>
      <c r="I49" s="8" t="s">
        <v>127</v>
      </c>
      <c r="J49" s="19">
        <v>0</v>
      </c>
      <c r="K49" s="8" t="s">
        <v>126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53</v>
      </c>
      <c r="B50" s="18">
        <v>54452</v>
      </c>
      <c r="C50" s="19">
        <v>0</v>
      </c>
      <c r="D50" s="8" t="s">
        <v>174</v>
      </c>
      <c r="E50" s="20">
        <v>0</v>
      </c>
      <c r="F50" s="20">
        <v>0</v>
      </c>
      <c r="G50" s="8" t="s">
        <v>54</v>
      </c>
      <c r="H50" s="20">
        <v>0</v>
      </c>
      <c r="I50" s="8" t="s">
        <v>175</v>
      </c>
      <c r="J50" s="19">
        <v>0</v>
      </c>
      <c r="K50" s="8" t="s">
        <v>174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62</v>
      </c>
      <c r="B51" s="18">
        <v>54453</v>
      </c>
      <c r="C51" s="19">
        <v>0</v>
      </c>
      <c r="D51" s="8" t="s">
        <v>128</v>
      </c>
      <c r="E51" s="20">
        <v>0</v>
      </c>
      <c r="F51" s="20">
        <v>5</v>
      </c>
      <c r="G51" s="8" t="s">
        <v>54</v>
      </c>
      <c r="H51" s="20">
        <v>5</v>
      </c>
      <c r="I51" s="8" t="s">
        <v>129</v>
      </c>
      <c r="J51" s="19">
        <v>0</v>
      </c>
      <c r="K51" s="8" t="s">
        <v>130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53</v>
      </c>
      <c r="B52" s="18">
        <v>54454</v>
      </c>
      <c r="C52" s="19">
        <v>0</v>
      </c>
      <c r="D52" s="8" t="s">
        <v>131</v>
      </c>
      <c r="E52" s="20">
        <v>0</v>
      </c>
      <c r="F52" s="20">
        <v>0</v>
      </c>
      <c r="G52" s="8" t="s">
        <v>54</v>
      </c>
      <c r="H52" s="20">
        <v>0</v>
      </c>
      <c r="I52" s="8" t="s">
        <v>132</v>
      </c>
      <c r="J52" s="19">
        <v>0</v>
      </c>
      <c r="K52" s="8" t="s">
        <v>131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62</v>
      </c>
      <c r="B53" s="18">
        <v>54455</v>
      </c>
      <c r="C53" s="19">
        <v>0</v>
      </c>
      <c r="D53" s="8" t="s">
        <v>176</v>
      </c>
      <c r="E53" s="20">
        <v>0</v>
      </c>
      <c r="F53" s="20">
        <v>1</v>
      </c>
      <c r="G53" s="8" t="s">
        <v>54</v>
      </c>
      <c r="H53" s="20">
        <v>1</v>
      </c>
      <c r="I53" s="8" t="s">
        <v>177</v>
      </c>
      <c r="J53" s="19">
        <v>0</v>
      </c>
      <c r="K53" s="8" t="s">
        <v>178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53</v>
      </c>
      <c r="B54" s="18">
        <v>54456</v>
      </c>
      <c r="C54" s="19">
        <v>0</v>
      </c>
      <c r="D54" s="8" t="s">
        <v>63</v>
      </c>
      <c r="E54" s="20">
        <v>0</v>
      </c>
      <c r="F54" s="20">
        <v>0</v>
      </c>
      <c r="G54" s="8" t="s">
        <v>54</v>
      </c>
      <c r="H54" s="20">
        <v>0</v>
      </c>
      <c r="I54" s="8" t="s">
        <v>64</v>
      </c>
      <c r="J54" s="19">
        <v>0</v>
      </c>
      <c r="K54" s="8" t="s">
        <v>65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66</v>
      </c>
      <c r="B55" s="18">
        <v>54457</v>
      </c>
      <c r="C55" s="19">
        <v>0</v>
      </c>
      <c r="D55" s="8" t="s">
        <v>67</v>
      </c>
      <c r="E55" s="20">
        <v>0</v>
      </c>
      <c r="F55" s="20">
        <v>1</v>
      </c>
      <c r="G55" s="8" t="s">
        <v>54</v>
      </c>
      <c r="H55" s="20">
        <v>1</v>
      </c>
      <c r="I55" s="8" t="s">
        <v>68</v>
      </c>
      <c r="J55" s="19">
        <v>0</v>
      </c>
      <c r="K55" s="8" t="s">
        <v>69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/>
    <row r="57" spans="1:14" ht="12.75" customHeight="1" x14ac:dyDescent="0.2">
      <c r="B57" s="8" t="s">
        <v>16</v>
      </c>
      <c r="C57" s="8" t="s">
        <v>143</v>
      </c>
      <c r="E57" s="8" t="s">
        <v>19</v>
      </c>
      <c r="F57" s="8" t="s">
        <v>19</v>
      </c>
      <c r="G57" s="8" t="s">
        <v>21</v>
      </c>
      <c r="H57" s="8" t="s">
        <v>19</v>
      </c>
      <c r="J57" s="8" t="s">
        <v>19</v>
      </c>
    </row>
    <row r="58" spans="1:14" ht="12.75" customHeight="1" x14ac:dyDescent="0.2"/>
    <row r="59" spans="1:14" ht="12.75" customHeight="1" x14ac:dyDescent="0.2"/>
    <row r="60" spans="1:14" ht="12.75" customHeight="1" x14ac:dyDescent="0.2"/>
    <row r="61" spans="1:14" ht="12.75" customHeight="1" x14ac:dyDescent="0.2"/>
    <row r="62" spans="1:14" ht="12.75" customHeight="1" x14ac:dyDescent="0.2"/>
    <row r="63" spans="1:14" ht="12.75" customHeight="1" x14ac:dyDescent="0.2"/>
    <row r="64" spans="1:1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088-25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70</v>
      </c>
      <c r="B4" s="38">
        <f>'Build Plan w Hours'!E7</f>
        <v>2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088-25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USE COBOT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70</v>
      </c>
      <c r="B10" s="38">
        <f>'Build Plan w Hours'!E8</f>
        <v>3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088-25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.155</v>
      </c>
      <c r="C14" s="40" t="str">
        <f>'Build Plan w Hours'!D9</f>
        <v>Burn and clean parts:  lugs, supports, repads, base ring, etc. (CHECK!)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70</v>
      </c>
      <c r="B16" s="38">
        <f>'Build Plan w Hours'!E9</f>
        <v>2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088-25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.156</v>
      </c>
      <c r="C20" s="40">
        <f>'Build Plan w Hours'!D10</f>
        <v>0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70</v>
      </c>
      <c r="B22" s="38">
        <f>'Build Plan w Hours'!E10</f>
        <v>1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088-25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.165</v>
      </c>
      <c r="C26" s="40" t="str">
        <f>'Build Plan w Hours'!D11</f>
        <v>Build supports: legs, lugs, saddles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70</v>
      </c>
      <c r="B28" s="38">
        <f>'Build Plan w Hours'!E11</f>
        <v>5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088-25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.200</v>
      </c>
      <c r="C32" s="40" t="str">
        <f>'Build Plan w Hours'!D12</f>
        <v>Make lift lugs, ground lugs,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70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088-25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.QC4</v>
      </c>
      <c r="C38" s="40" t="str">
        <f>'Build Plan w Hours'!D13</f>
        <v>QC Inspection - Top/Bottom/Cones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70</v>
      </c>
      <c r="B40" s="38">
        <f>'Build Plan w Hours'!E13</f>
        <v>0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088-25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.355</v>
      </c>
      <c r="C44" s="40" t="str">
        <f>'Build Plan w Hours'!D14</f>
        <v>Lay out top head, burn and clean holes_x000D_
ON BURN TABLE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70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088-25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.360</v>
      </c>
      <c r="C50" s="40" t="str">
        <f>'Build Plan w Hours'!D15</f>
        <v>Bevel top head_x000D_
PREP FOR FULL PEN WELD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70</v>
      </c>
      <c r="B52" s="38">
        <f>'Build Plan w Hours'!E15</f>
        <v>1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088-25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.365</v>
      </c>
      <c r="C56" s="40" t="str">
        <f>'Build Plan w Hours'!D16</f>
        <v>Set  nozzles, lift lugs, etc. in top head - tack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70</v>
      </c>
      <c r="B58" s="38">
        <f>'Build Plan w Hours'!E16</f>
        <v>1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088-25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.366</v>
      </c>
      <c r="C62" s="40" t="str">
        <f>'Build Plan w Hours'!D17</f>
        <v>Weld out top head nozzles, etc. _x000D_
INCL LIFT LUG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70</v>
      </c>
      <c r="B64" s="38">
        <f>'Build Plan w Hours'!E17</f>
        <v>2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088-25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.QC4</v>
      </c>
      <c r="C68" s="40" t="str">
        <f>'Build Plan w Hours'!D18</f>
        <v>QC Inspection - Top/Bottom/Cones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70</v>
      </c>
      <c r="B70" s="38">
        <f>'Build Plan w Hours'!E18</f>
        <v>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088-25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.455</v>
      </c>
      <c r="C74" s="40" t="str">
        <f>'Build Plan w Hours'!D19</f>
        <v>Lay out bottom head, burn and clean holes_x000D_
ON BURN TABLE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70</v>
      </c>
      <c r="B76" s="38">
        <f>'Build Plan w Hours'!E19</f>
        <v>2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088-25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.460</v>
      </c>
      <c r="C80" s="40" t="str">
        <f>'Build Plan w Hours'!D20</f>
        <v>Bevel bottom head_x000D_
PREP FOR FULL PEN WELD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70</v>
      </c>
      <c r="B82" s="38">
        <f>'Build Plan w Hours'!E20</f>
        <v>1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088-25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.465</v>
      </c>
      <c r="C86" s="40" t="str">
        <f>'Build Plan w Hours'!D21</f>
        <v>Set  nozzles in bottom head - tack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70</v>
      </c>
      <c r="B88" s="38">
        <f>'Build Plan w Hours'!E21</f>
        <v>1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088-25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.466</v>
      </c>
      <c r="C92" s="40" t="str">
        <f>'Build Plan w Hours'!D22</f>
        <v>Weld nozzles in bottom head; weld complete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70</v>
      </c>
      <c r="B94" s="38">
        <f>'Build Plan w Hours'!E22</f>
        <v>1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088-25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.OI1</v>
      </c>
      <c r="C98" s="40" t="str">
        <f>'Build Plan w Hours'!D23</f>
        <v>ASME Hold Point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70</v>
      </c>
      <c r="B100" s="38">
        <f>'Build Plan w Hours'!E23</f>
        <v>0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088-25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.600</v>
      </c>
      <c r="C104" s="40" t="str">
        <f>'Build Plan w Hours'!D24</f>
        <v>Fit bottom head to shell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70</v>
      </c>
      <c r="B106" s="38">
        <f>'Build Plan w Hours'!E24</f>
        <v>1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088-25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.620</v>
      </c>
      <c r="C110" s="40" t="str">
        <f>'Build Plan w Hours'!D25</f>
        <v>Lay out shell, burn and clean holes_x000D_
AND PREP FOR FULL PEN WELDS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70</v>
      </c>
      <c r="B112" s="38">
        <f>'Build Plan w Hours'!E25</f>
        <v>3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088-25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.QC5</v>
      </c>
      <c r="C116" s="40" t="str">
        <f>'Build Plan w Hours'!D26</f>
        <v>QC Inspection - Internal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70</v>
      </c>
      <c r="B118" s="38">
        <f>'Build Plan w Hours'!E26</f>
        <v>0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088-25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.640</v>
      </c>
      <c r="C122" s="40" t="str">
        <f>'Build Plan w Hours'!D27</f>
        <v>Fit top head to shell - tack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70</v>
      </c>
      <c r="B124" s="38">
        <f>'Build Plan w Hours'!E27</f>
        <v>1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088-25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.645</v>
      </c>
      <c r="C128" s="40" t="str">
        <f>'Build Plan w Hours'!D28</f>
        <v>Weld all outside seams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70</v>
      </c>
      <c r="B130" s="38">
        <f>'Build Plan w Hours'!E28</f>
        <v>3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088-25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.800</v>
      </c>
      <c r="C134" s="40" t="str">
        <f>'Build Plan w Hours'!D29</f>
        <v>Move tank to detail rolls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70</v>
      </c>
      <c r="B136" s="38">
        <f>'Build Plan w Hours'!E29</f>
        <v>1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088-25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.720</v>
      </c>
      <c r="C140" s="40" t="str">
        <f>'Build Plan w Hours'!D30</f>
        <v>Install supports - legs, lugs, anchors, saddles, skirt_x000D_
AND WELD COMPLETE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70</v>
      </c>
      <c r="B142" s="38">
        <f>'Build Plan w Hours'!E30</f>
        <v>5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088-25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.725</v>
      </c>
      <c r="C146" s="40" t="str">
        <f>'Build Plan w Hours'!D31</f>
        <v>Set nozzles in shell - tack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70</v>
      </c>
      <c r="B148" s="38">
        <f>'Build Plan w Hours'!E31</f>
        <v>1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088-25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.726</v>
      </c>
      <c r="C152" s="40" t="str">
        <f>'Build Plan w Hours'!D32</f>
        <v>Weld shell nozzles, manways, etc._x000D_
MAKE FULL PEN WELDS FROM OUTSIDE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70</v>
      </c>
      <c r="B154" s="38">
        <f>'Build Plan w Hours'!E32</f>
        <v>3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088-25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.765</v>
      </c>
      <c r="C158" s="40" t="str">
        <f>'Build Plan w Hours'!D33</f>
        <v>Install name tag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70</v>
      </c>
      <c r="B160" s="38">
        <f>'Build Plan w Hours'!E33</f>
        <v>1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088-25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.770</v>
      </c>
      <c r="C164" s="40" t="str">
        <f>'Build Plan w Hours'!D34</f>
        <v>Inspect tank, make repairs, get QC inspector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70</v>
      </c>
      <c r="B166" s="38">
        <f>'Build Plan w Hours'!E34</f>
        <v>1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088-25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.QC6</v>
      </c>
      <c r="C170" s="40" t="str">
        <f>'Build Plan w Hours'!D35</f>
        <v>QC Inspection - Fabrication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70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088-25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.OI2</v>
      </c>
      <c r="C176" s="40" t="str">
        <f>'Build Plan w Hours'!D36</f>
        <v>ASME Inspection Internal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70</v>
      </c>
      <c r="B178" s="38">
        <f>'Build Plan w Hours'!E36</f>
        <v>0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088-25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.801</v>
      </c>
      <c r="C182" s="40" t="str">
        <f>'Build Plan w Hours'!D37</f>
        <v>Move to shop test area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70</v>
      </c>
      <c r="B184" s="38">
        <f>'Build Plan w Hours'!E37</f>
        <v>1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088-25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.910</v>
      </c>
      <c r="C188" s="40" t="str">
        <f>'Build Plan w Hours'!D38</f>
        <v>Test tank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70</v>
      </c>
      <c r="B190" s="38">
        <f>'Build Plan w Hours'!E38</f>
        <v>5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088-25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.QC7</v>
      </c>
      <c r="C194" s="40" t="str">
        <f>'Build Plan w Hours'!D39</f>
        <v>QC Inspection - Test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70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088-25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.OI3</v>
      </c>
      <c r="C200" s="40" t="str">
        <f>'Build Plan w Hours'!D40</f>
        <v>ASME Inspection Test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70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088-25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.920</v>
      </c>
      <c r="C206" s="40" t="str">
        <f>'Build Plan w Hours'!D41</f>
        <v>Clean tank complete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70</v>
      </c>
      <c r="B208" s="38">
        <f>'Build Plan w Hours'!E41</f>
        <v>5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088-25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.QC8</v>
      </c>
      <c r="C212" s="40" t="str">
        <f>'Build Plan w Hours'!D42</f>
        <v>QC Inspection - Clean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70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088-25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.940</v>
      </c>
      <c r="C218" s="40" t="str">
        <f>'Build Plan w Hours'!D43</f>
        <v>Prepare tank for shipment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70</v>
      </c>
      <c r="B220" s="38">
        <f>'Build Plan w Hours'!E43</f>
        <v>1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088-25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.QC95</v>
      </c>
      <c r="C224" s="40" t="str">
        <f>'Build Plan w Hours'!D44</f>
        <v>QC Inspection - Final &amp; Loose Items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70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088-25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 t="str">
        <f>'Build Plan w Hours'!C45</f>
        <v>.960</v>
      </c>
      <c r="C230" s="40" t="str">
        <f>'Build Plan w Hours'!D45</f>
        <v>Load on truck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70</v>
      </c>
      <c r="B232" s="38">
        <f>'Build Plan w Hours'!E45</f>
        <v>1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088-25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70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088-25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70</v>
      </c>
      <c r="B244" s="38" t="str">
        <f>'Build Plan w Hours'!E47</f>
        <v/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088-25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70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088-25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70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088-25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70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088-25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70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088-25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70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088-25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70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088-25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70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088-25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70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088-25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70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088-25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70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088-25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70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088-25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70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088-25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70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088-25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70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088-25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70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088-25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70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088-25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70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088-25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70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088-25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70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088-25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70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088-25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70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088-25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70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088-25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70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088-25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70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088-25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70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088-25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70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088-25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70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088-25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70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088-25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70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088-25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70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088-25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70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088-25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70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088-25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70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088-25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70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088-25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70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088-25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70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088-25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70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088-25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70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088-25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70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088-25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088-25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USE COBOT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088-25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.155</v>
      </c>
      <c r="C14" s="40" t="str">
        <f>'Build Plan w Hours'!D9</f>
        <v>Burn and clean parts:  lugs, supports, repads, base ring, etc. (CHECK!)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088-25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.156</v>
      </c>
      <c r="C20" s="40">
        <f>'Build Plan w Hours'!D10</f>
        <v>0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088-25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.165</v>
      </c>
      <c r="C26" s="40" t="str">
        <f>'Build Plan w Hours'!D11</f>
        <v>Build supports: legs, lugs, saddles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088-25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.200</v>
      </c>
      <c r="C32" s="40" t="str">
        <f>'Build Plan w Hours'!D12</f>
        <v>Make lift lugs, ground lugs,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088-25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.QC4</v>
      </c>
      <c r="C38" s="40" t="str">
        <f>'Build Plan w Hours'!D13</f>
        <v>QC Inspection - Top/Bottom/Cones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088-25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.355</v>
      </c>
      <c r="C44" s="40" t="str">
        <f>'Build Plan w Hours'!D14</f>
        <v>Lay out top head, burn and clean holes_x000D_
ON BURN TABLE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088-25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.360</v>
      </c>
      <c r="C50" s="40" t="str">
        <f>'Build Plan w Hours'!D15</f>
        <v>Bevel top head_x000D_
PREP FOR FULL PEN WELD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088-25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.365</v>
      </c>
      <c r="C56" s="40" t="str">
        <f>'Build Plan w Hours'!D16</f>
        <v>Set  nozzles, lift lugs, etc. in top head - tack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088-25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.366</v>
      </c>
      <c r="C62" s="40" t="str">
        <f>'Build Plan w Hours'!D17</f>
        <v>Weld out top head nozzles, etc. _x000D_
INCL LIFT LUG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088-25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.QC4</v>
      </c>
      <c r="C68" s="40" t="str">
        <f>'Build Plan w Hours'!D18</f>
        <v>QC Inspection - Top/Bottom/Cones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088-25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.455</v>
      </c>
      <c r="C74" s="40" t="str">
        <f>'Build Plan w Hours'!D19</f>
        <v>Lay out bottom head, burn and clean holes_x000D_
ON BURN TABLE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088-25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.460</v>
      </c>
      <c r="C80" s="40" t="str">
        <f>'Build Plan w Hours'!D20</f>
        <v>Bevel bottom head_x000D_
PREP FOR FULL PEN WELD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088-25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.465</v>
      </c>
      <c r="C86" s="40" t="str">
        <f>'Build Plan w Hours'!D21</f>
        <v>Set  nozzles in bottom head - tack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088-25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.466</v>
      </c>
      <c r="C92" s="40" t="str">
        <f>'Build Plan w Hours'!D22</f>
        <v>Weld nozzles in bottom head; weld complete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088-25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.OI1</v>
      </c>
      <c r="C98" s="40" t="str">
        <f>'Build Plan w Hours'!D23</f>
        <v>ASME Hold Point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088-25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.600</v>
      </c>
      <c r="C104" s="40" t="str">
        <f>'Build Plan w Hours'!D24</f>
        <v>Fit bottom head to shell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088-25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.620</v>
      </c>
      <c r="C110" s="40" t="str">
        <f>'Build Plan w Hours'!D25</f>
        <v>Lay out shell, burn and clean holes_x000D_
AND PREP FOR FULL PEN WELDS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088-25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.QC5</v>
      </c>
      <c r="C116" s="40" t="str">
        <f>'Build Plan w Hours'!D26</f>
        <v>QC Inspection - Internal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088-25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.640</v>
      </c>
      <c r="C122" s="40" t="str">
        <f>'Build Plan w Hours'!D27</f>
        <v>Fit top head to shell - tack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088-25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.645</v>
      </c>
      <c r="C128" s="40" t="str">
        <f>'Build Plan w Hours'!D28</f>
        <v>Weld all outside seams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088-25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.800</v>
      </c>
      <c r="C134" s="40" t="str">
        <f>'Build Plan w Hours'!D29</f>
        <v>Move tank to detail rolls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088-25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.720</v>
      </c>
      <c r="C140" s="40" t="str">
        <f>'Build Plan w Hours'!D30</f>
        <v>Install supports - legs, lugs, anchors, saddles, skirt_x000D_
AND WELD COMPLETE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088-25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.725</v>
      </c>
      <c r="C146" s="40" t="str">
        <f>'Build Plan w Hours'!D31</f>
        <v>Set nozzles in shell - tack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088-25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.726</v>
      </c>
      <c r="C152" s="40" t="str">
        <f>'Build Plan w Hours'!D32</f>
        <v>Weld shell nozzles, manways, etc._x000D_
MAKE FULL PEN WELDS FROM OUTSIDE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088-25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.765</v>
      </c>
      <c r="C158" s="40" t="str">
        <f>'Build Plan w Hours'!D33</f>
        <v>Install name tag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088-25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.770</v>
      </c>
      <c r="C164" s="40" t="str">
        <f>'Build Plan w Hours'!D34</f>
        <v>Inspect tank, make repairs, get QC inspector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088-25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.QC6</v>
      </c>
      <c r="C170" s="40" t="str">
        <f>'Build Plan w Hours'!D35</f>
        <v>QC Inspection - Fabrication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088-25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.OI2</v>
      </c>
      <c r="C176" s="40" t="str">
        <f>'Build Plan w Hours'!D36</f>
        <v>ASME Inspection Internal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088-25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.801</v>
      </c>
      <c r="C182" s="40" t="str">
        <f>'Build Plan w Hours'!D37</f>
        <v>Move to shop test area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088-25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.910</v>
      </c>
      <c r="C188" s="40" t="str">
        <f>'Build Plan w Hours'!D38</f>
        <v>Test tank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088-25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.QC7</v>
      </c>
      <c r="C194" s="40" t="str">
        <f>'Build Plan w Hours'!D39</f>
        <v>QC Inspection - Test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088-25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.OI3</v>
      </c>
      <c r="C200" s="40" t="str">
        <f>'Build Plan w Hours'!D40</f>
        <v>ASME Inspection Test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088-25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.920</v>
      </c>
      <c r="C206" s="40" t="str">
        <f>'Build Plan w Hours'!D41</f>
        <v>Clean tank complete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088-25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.QC8</v>
      </c>
      <c r="C212" s="40" t="str">
        <f>'Build Plan w Hours'!D42</f>
        <v>QC Inspection - Clean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088-25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.940</v>
      </c>
      <c r="C218" s="40" t="str">
        <f>'Build Plan w Hours'!D43</f>
        <v>Prepare tank for shipment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088-25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.QC95</v>
      </c>
      <c r="C224" s="40" t="str">
        <f>'Build Plan w Hours'!D44</f>
        <v>QC Inspection - Final &amp; Loose Items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088-25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 t="str">
        <f>'Build Plan w Hours'!C45</f>
        <v>.960</v>
      </c>
      <c r="C230" s="40" t="str">
        <f>'Build Plan w Hours'!D45</f>
        <v>Load on truck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088-25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088-25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088-25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088-25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088-25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088-25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088-25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088-25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088-25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088-25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088-25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088-25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088-25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088-25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088-25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088-25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088-25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088-25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088-25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088-25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088-25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088-25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088-25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088-25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088-25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088-25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088-25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088-25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088-25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088-25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088-25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088-25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088-25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088-25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088-25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088-25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088-25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088-25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088-25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088-25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088-25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088-25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71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088-25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71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2025-09-23T15:42:43Z</cp:lastPrinted>
  <dcterms:created xsi:type="dcterms:W3CDTF">2016-06-28T20:53:17Z</dcterms:created>
  <dcterms:modified xsi:type="dcterms:W3CDTF">2025-09-23T15:49:41Z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