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6-24 - Solvay - DTBPO Portable Tank\"/>
    </mc:Choice>
  </mc:AlternateContent>
  <xr:revisionPtr revIDLastSave="0" documentId="8_{A4C5387D-E287-42A9-A4EE-5EABEAC4110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Hours'!$A$1:$H$49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<sst xmlns="http://schemas.openxmlformats.org/spreadsheetml/2006/main" count="1646" uniqueCount="187">
  <si>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</si>
  <si>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</si>
  <si>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</si>
  <si>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</si>
  <si>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</si>
  <si>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</si>
  <si>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</si>
  <si>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</si>
  <si>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</si>
  <si>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</si>
  <si>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</si>
  <si>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</si>
  <si>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</si>
  <si>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</si>
  <si>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</si>
  <si>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</si>
  <si>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</si>
  <si>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</si>
  <si>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</si>
  <si>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</si>
  <si>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</si>
  <si>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</si>
  <si>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</si>
  <si>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</si>
  <si>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</si>
  <si>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</si>
  <si>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</si>
  <si>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</si>
  <si>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</si>
  <si>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</si>
  <si>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</si>
  <si>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</si>
  <si>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</si>
  <si>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</si>
  <si>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</si>
  <si>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</si>
  <si>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</si>
  <si>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</si>
  <si>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</si>
  <si>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</si>
  <si>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</si>
  <si>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</si>
  <si>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</si>
  <si>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</si>
  <si>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</si>
  <si>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</si>
  <si>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</si>
  <si>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</si>
  <si>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</si>
  <si>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</si>
  <si>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</si>
  <si>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</si>
  <si>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</si>
  <si>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</si>
  <si>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</si>
  <si>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</si>
  <si>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</si>
  <si>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</si>
  <si>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</si>
  <si>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</si>
  <si>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</si>
  <si>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</si>
  <si>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</si>
  <si>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</si>
  <si>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</si>
  <si>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</si>
  <si>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</si>
  <si>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</si>
  <si>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</si>
  <si>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</si>
  <si>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</si>
  <si>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</si>
  <si>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</si>
  <si>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</si>
  <si>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</si>
  <si>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</si>
  <si>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</si>
  <si>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</si>
  <si>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</si>
  <si>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</si>
  <si>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</si>
  <si>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</si>
  <si>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</si>
  <si>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</si>
  <si>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</si>
  <si>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</si>
  <si>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</si>
  <si>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</si>
  <si>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</si>
  <si>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</si>
  <si>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</si>
  <si>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</si>
  <si>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</si>
  <si>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</si>
  <si>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</si>
  <si>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</si>
  <si>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</si>
  <si>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</si>
  <si>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</si>
  <si>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</si>
  <si>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</si>
  <si>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</si>
  <si>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</si>
  <si>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</si>
  <si>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Fit Bottom Head to Shell</t>
  </si>
  <si>
    <t>.600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</si>
  <si>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</si>
  <si>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</si>
  <si>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</si>
  <si>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</si>
  <si>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</si>
  <si>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</si>
  <si>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</si>
  <si>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</si>
  <si>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</si>
  <si>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</si>
  <si>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</si>
  <si>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</si>
  <si>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</si>
  <si>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</si>
  <si>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</si>
  <si>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</si>
  <si>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</si>
  <si>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</si>
  <si>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</si>
  <si>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</si>
  <si>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</si>
  <si>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</si>
  <si>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</si>
  <si>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</si>
  <si>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</si>
  <si>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</si>
  <si>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</si>
  <si>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</si>
  <si>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</si>
  <si>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</si>
  <si>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</si>
  <si>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</si>
  <si>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</si>
  <si>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Build Repads for Nozzles</t>
  </si>
  <si>
    <t>.107</t>
  </si>
  <si>
    <t>Fab Miscellaneous Parts</t>
  </si>
  <si>
    <t>.252</t>
  </si>
  <si>
    <t>Install Bottom Stiffeners</t>
  </si>
  <si>
    <t>.475</t>
  </si>
  <si>
    <t>DTBPO PORTABLE TANK</t>
  </si>
  <si>
    <t>4504914969</t>
  </si>
  <si>
    <t>8776.1</t>
  </si>
  <si>
    <t>10</t>
  </si>
  <si>
    <t>Build Repads for Nozzles, drill and tap holes_x000D_
WEAR PLATE FOR NOZZLE A</t>
  </si>
  <si>
    <t>Cut Parts on Burn Table</t>
  </si>
  <si>
    <t>Clean &amp; Prep Parts</t>
  </si>
  <si>
    <t>.156</t>
  </si>
  <si>
    <t>Build supports: legs, lugs, saddles_x000D_
MAKE (4) ANGLE LEGS</t>
  </si>
  <si>
    <t>Fabricate miscellaneous parts_x000D_
MAKE BASE FOR FORKLIFT</t>
  </si>
  <si>
    <t>Wrap Top &amp; Bottom Heads</t>
  </si>
  <si>
    <t>.300</t>
  </si>
  <si>
    <t>Wrap top and bottom heads</t>
  </si>
  <si>
    <t>Shells: bring in plate, square, trim and clean_x000D_
PREP SHELL FOR ROLL</t>
  </si>
  <si>
    <t>Roll shells, tack and weld inside seams_x000D_
ROLL (1) SHELL</t>
  </si>
  <si>
    <t>Lay out top head, burn and clean holes_x000D_
ON BURN TABLE</t>
  </si>
  <si>
    <t>Weld out top head nozzles, etc. _x000D_
INCL LIFT LUGS</t>
  </si>
  <si>
    <t>L/O Bottom, B&amp;C Holes</t>
  </si>
  <si>
    <t>.455</t>
  </si>
  <si>
    <t>Lay out bottom head, burn and clean holes_x000D_
ON BURN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</si>
  <si>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</si>
  <si>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</si>
  <si>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</si>
  <si>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</si>
  <si>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</si>
  <si>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</si>
  <si>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Install bottom stiffeners_x000D_
BRACE FOR NOZZLE D</t>
  </si>
  <si>
    <t>Fit bottom head to shell_x000D_
AND WELD INSIDE</t>
  </si>
  <si>
    <t>Install Internal Parts</t>
  </si>
  <si>
    <t>.630</t>
  </si>
  <si>
    <t>Install internals - wear plates, rings, clips, etc._x000D_
WEAR PLATE &amp; BRACE FOR NOZZLE A</t>
  </si>
  <si>
    <t>Fit top head to shell - tack</t>
  </si>
  <si>
    <t>Weld all Outside Seams</t>
  </si>
  <si>
    <t>.645</t>
  </si>
  <si>
    <t>Weld all outside seams</t>
  </si>
  <si>
    <t>Install Insul/Vac Rings</t>
  </si>
  <si>
    <t>.715</t>
  </si>
  <si>
    <t>Install insulation/vacuum rings - tack_x000D_
AND WELD</t>
  </si>
  <si>
    <t>Install supports - legs, lugs, anchors, saddles, skirt_x000D_
FIT &amp; WELD LEGS TO TANK; FIT &amp; WELD TANK TO BASE</t>
  </si>
  <si>
    <t>UT Components</t>
  </si>
  <si>
    <t>.QC51</t>
  </si>
  <si>
    <t>006-24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</si>
</sst>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49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186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DTBPO PORTABLE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holes_x000D_
WEAR PLATE FOR NOZZLE A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.155</v>
      </c>
      <c r="D12" s="22" t="str">
        <f>'Sheet2-PASTE HERE!'!K22</f>
        <v>Burn and clean parts:  lugs, supports, repads, base ring, etc. (CHECK!)</v>
      </c>
      <c r="E12" s="13">
        <f>'Sheet2-PASTE HERE!'!F22</f>
        <v>6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.156</v>
      </c>
      <c r="D13" s="22" t="str">
        <f>'Sheet2-PASTE HERE!'!K23</f>
        <v/>
      </c>
      <c r="E13" s="13">
        <f>'Sheet2-PASTE HERE!'!F23</f>
        <v>7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.165</v>
      </c>
      <c r="D14" s="22" t="str">
        <f>'Sheet2-PASTE HERE!'!K24</f>
        <v>Build supports: legs, lugs, saddles_x000D_
MAKE (4) ANGLE LEGS</v>
      </c>
      <c r="E14" s="13">
        <f>'Sheet2-PASTE HERE!'!F24</f>
        <v>3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.200</v>
      </c>
      <c r="D15" s="22" t="str">
        <f>'Sheet2-PASTE HERE!'!K25</f>
        <v>Make lift lugs, ground lugs, etc.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.252</v>
      </c>
      <c r="D16" s="22" t="str">
        <f>'Sheet2-PASTE HERE!'!K26</f>
        <v>Fabricate miscellaneous parts_x000D_
MAKE BASE FOR FORKLIFT</v>
      </c>
      <c r="E16" s="13">
        <f>'Sheet2-PASTE HERE!'!F26</f>
        <v>10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1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clean_x000D_
PREP SHELL FOR ROLL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.315</v>
      </c>
      <c r="D20" s="22" t="str">
        <f>'Sheet2-PASTE HERE!'!K30</f>
        <v>Roll shells, tack and weld inside seams_x000D_
ROLL (1) SHELL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.QC4</v>
      </c>
      <c r="D21" s="22" t="str">
        <f>'Sheet2-PASTE HERE!'!K31</f>
        <v>QC Inspection - Top/Bottom/Cones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.355</v>
      </c>
      <c r="D22" s="22" t="str">
        <f>'Sheet2-PASTE HERE!'!K32</f>
        <v>Lay out top head, burn and clean holes_x000D_
ON BURN TABLE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.365</v>
      </c>
      <c r="D23" s="22" t="str">
        <f>'Sheet2-PASTE HERE!'!K33</f>
        <v>Set  nozzles, lift lugs, etc. in top head - tack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.366</v>
      </c>
      <c r="D24" s="22" t="str">
        <f>'Sheet2-PASTE HERE!'!K34</f>
        <v>Weld out top head nozzles, etc. _x000D_
INCL LIFT LUGS</v>
      </c>
      <c r="E24" s="13">
        <f>'Sheet2-PASTE HERE!'!F34</f>
        <v>6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.455</v>
      </c>
      <c r="D26" s="22" t="str">
        <f>'Sheet2-PASTE HERE!'!K36</f>
        <v>Lay out bottom head, burn and clean holes_x000D_
ON BURN TABLE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.465</v>
      </c>
      <c r="D27" s="22" t="str">
        <f>'Sheet2-PASTE HERE!'!K37</f>
        <v>Set  nozzles in bottom head - tack</v>
      </c>
      <c r="E27" s="13">
        <f>'Sheet2-PASTE HERE!'!F37</f>
        <v>1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.466</v>
      </c>
      <c r="D28" s="22" t="str">
        <f>'Sheet2-PASTE HERE!'!K38</f>
        <v>Weld nozzles in bottom head; weld complete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.475</v>
      </c>
      <c r="D29" s="22" t="str">
        <f>'Sheet2-PASTE HERE!'!K39</f>
        <v>Install bottom stiffeners_x000D_
BRACE FOR NOZZLE 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.600</v>
      </c>
      <c r="D30" s="22" t="str">
        <f>'Sheet2-PASTE HERE!'!K40</f>
        <v>Fit bottom head to shell_x000D_
AND WELD INSIDE</v>
      </c>
      <c r="E30" s="13">
        <f>'Sheet2-PASTE HERE!'!F40</f>
        <v>4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.630</v>
      </c>
      <c r="D31" s="22" t="str">
        <f>'Sheet2-PASTE HERE!'!K41</f>
        <v>Install internals - wear plates, rings, clips, etc._x000D_
WEAR PLATE &amp; BRACE FOR NOZZLE A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.QC5</v>
      </c>
      <c r="D32" s="22" t="str">
        <f>'Sheet2-PASTE HERE!'!K42</f>
        <v>QC Inspection - Internal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.640</v>
      </c>
      <c r="D33" s="22" t="str">
        <f>'Sheet2-PASTE HERE!'!K43</f>
        <v>Fit top head to shell - tack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.645</v>
      </c>
      <c r="D34" s="22" t="str">
        <f>'Sheet2-PASTE HERE!'!K44</f>
        <v>Weld all outside seams</v>
      </c>
      <c r="E34" s="13">
        <f>'Sheet2-PASTE HERE!'!F44</f>
        <v>5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MOVE TANK</v>
      </c>
      <c r="B35" s="11"/>
      <c r="C35" s="17" t="str">
        <f>'Sheet2-PASTE HERE!'!I45</f>
        <v>.800</v>
      </c>
      <c r="D35" s="22" t="str">
        <f>'Sheet2-PASTE HERE!'!K45</f>
        <v>Move tank to detail rolls</v>
      </c>
      <c r="E35" s="13">
        <f>'Sheet2-PASTE HERE!'!F45</f>
        <v>1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.715</v>
      </c>
      <c r="D36" s="22" t="str">
        <f>'Sheet2-PASTE HERE!'!K46</f>
        <v>Install insulation/vacuum rings - tack_x000D_
AND WELD</v>
      </c>
      <c r="E36" s="13">
        <f>'Sheet2-PASTE HERE!'!F46</f>
        <v>3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.720</v>
      </c>
      <c r="D37" s="22" t="str">
        <f>'Sheet2-PASTE HERE!'!K47</f>
        <v>Install supports - legs, lugs, anchors, saddles, skirt_x000D_
FIT &amp; WELD LEGS TO TANK; FIT &amp; WELD TANK TO BASE</v>
      </c>
      <c r="E37" s="13">
        <f>'Sheet2-PASTE HERE!'!F47</f>
        <v>7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.QC51</v>
      </c>
      <c r="D38" s="22" t="str">
        <f>'Sheet2-PASTE HERE!'!K48</f>
        <v>UT Components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FINISHING</v>
      </c>
      <c r="B39" s="11"/>
      <c r="C39" s="17" t="str">
        <f>'Sheet2-PASTE HERE!'!I49</f>
        <v>.765</v>
      </c>
      <c r="D39" s="22" t="str">
        <f>'Sheet2-PASTE HERE!'!K49</f>
        <v>Install name tag</v>
      </c>
      <c r="E39" s="13">
        <f>'Sheet2-PASTE HERE!'!F49</f>
        <v>1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.770</v>
      </c>
      <c r="D40" s="22" t="str">
        <f>'Sheet2-PASTE HERE!'!K50</f>
        <v>Inspect tank, make repairs, get QC inspector</v>
      </c>
      <c r="E40" s="13">
        <f>'Sheet2-PASTE HERE!'!F50</f>
        <v>1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.QC6</v>
      </c>
      <c r="D41" s="22" t="str">
        <f>'Sheet2-PASTE HERE!'!K51</f>
        <v>QC Inspection - Fabrication</v>
      </c>
      <c r="E41" s="13">
        <f>'Sheet2-PASTE HERE!'!F51</f>
        <v>0</v>
      </c>
      <c r="F41" s="12"/>
      <c r="G41" s="12"/>
      <c r="H41" s="12"/>
      <c r="K41">
        <f t="shared" si="2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MOVE TANK</v>
      </c>
      <c r="B42" s="11"/>
      <c r="C42" s="17" t="str">
        <f>'Sheet2-PASTE HERE!'!I52</f>
        <v>.801</v>
      </c>
      <c r="D42" s="22" t="str">
        <f>'Sheet2-PASTE HERE!'!K52</f>
        <v>Move to shop test area</v>
      </c>
      <c r="E42" s="13">
        <f>'Sheet2-PASTE HERE!'!F52</f>
        <v>1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.910</v>
      </c>
      <c r="D43" s="22" t="str">
        <f>'Sheet2-PASTE HERE!'!K53</f>
        <v>Test tank</v>
      </c>
      <c r="E43" s="13">
        <f>'Sheet2-PASTE HERE!'!F53</f>
        <v>6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.QC7</v>
      </c>
      <c r="D44" s="22" t="str">
        <f>'Sheet2-PASTE HERE!'!K54</f>
        <v>QC Inspection - Test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.920</v>
      </c>
      <c r="D45" s="22" t="str">
        <f>'Sheet2-PASTE HERE!'!K55</f>
        <v>Clean tank complete</v>
      </c>
      <c r="E45" s="13">
        <f>'Sheet2-PASTE HERE!'!F55</f>
        <v>6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.QC8</v>
      </c>
      <c r="D46" s="22" t="str">
        <f>'Sheet2-PASTE HERE!'!K56</f>
        <v>QC Inspection - Clean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.940</v>
      </c>
      <c r="D47" s="22" t="str">
        <f>'Sheet2-PASTE HERE!'!K57</f>
        <v>Prepare tank for shipment</v>
      </c>
      <c r="E47" s="13">
        <f>'Sheet2-PASTE HERE!'!F57</f>
        <v>1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.QC95</v>
      </c>
      <c r="D48" s="22" t="str">
        <f>'Sheet2-PASTE HERE!'!K58</f>
        <v>QC Inspection - Final &amp; Loose Items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SHIPPING</v>
      </c>
      <c r="B49" s="11"/>
      <c r="C49" s="17" t="str">
        <f>'Sheet2-PASTE HERE!'!I59</f>
        <v>.960</v>
      </c>
      <c r="D49" s="22" t="str">
        <f>'Sheet2-PASTE HERE!'!K59</f>
        <v>Load on truck</v>
      </c>
      <c r="E49" s="13">
        <f>'Sheet2-PASTE HERE!'!F59</f>
        <v>1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 t="str">
        <f>'Sheet2-PASTE HERE!'!F61</f>
        <v/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186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DTBPO PORTABLE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holes_x000D_
WEAR PLATE FOR NOZZLE A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.155</v>
      </c>
      <c r="D12" s="22" t="str">
        <f>'Sheet2-PASTE HERE!'!K22</f>
        <v>Burn and clean parts:  lugs, supports, repads, base ring, etc. (CHECK!)</v>
      </c>
      <c r="E12" s="13">
        <f>'Sheet2-PASTE HERE!'!F22</f>
        <v>6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.156</v>
      </c>
      <c r="D13" s="22" t="str">
        <f>'Sheet2-PASTE HERE!'!K23</f>
        <v/>
      </c>
      <c r="E13" s="13">
        <f>'Sheet2-PASTE HERE!'!F23</f>
        <v>7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.165</v>
      </c>
      <c r="D14" s="22" t="str">
        <f>'Sheet2-PASTE HERE!'!K24</f>
        <v>Build supports: legs, lugs, saddles_x000D_
MAKE (4) ANGLE LEGS</v>
      </c>
      <c r="E14" s="13">
        <f>'Sheet2-PASTE HERE!'!F24</f>
        <v>3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.200</v>
      </c>
      <c r="D15" s="22" t="str">
        <f>'Sheet2-PASTE HERE!'!K25</f>
        <v>Make lift lugs, ground lugs, etc.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.252</v>
      </c>
      <c r="D16" s="22" t="str">
        <f>'Sheet2-PASTE HERE!'!K26</f>
        <v>Fabricate miscellaneous parts_x000D_
MAKE BASE FOR FORKLIFT</v>
      </c>
      <c r="E16" s="13">
        <f>'Sheet2-PASTE HERE!'!F26</f>
        <v>10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1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clean_x000D_
PREP SHELL FOR ROLL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.315</v>
      </c>
      <c r="D20" s="22" t="str">
        <f>'Sheet2-PASTE HERE!'!K30</f>
        <v>Roll shells, tack and weld inside seams_x000D_
ROLL (1) SHELL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.QC4</v>
      </c>
      <c r="D21" s="22" t="str">
        <f>'Sheet2-PASTE HERE!'!K31</f>
        <v>QC Inspection - Top/Bottom/Cones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.355</v>
      </c>
      <c r="D22" s="22" t="str">
        <f>'Sheet2-PASTE HERE!'!K32</f>
        <v>Lay out top head, burn and clean holes_x000D_
ON BURN TABLE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.365</v>
      </c>
      <c r="D23" s="22" t="str">
        <f>'Sheet2-PASTE HERE!'!K33</f>
        <v>Set  nozzles, lift lugs, etc. in top head - tack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.366</v>
      </c>
      <c r="D24" s="22" t="str">
        <f>'Sheet2-PASTE HERE!'!K34</f>
        <v>Weld out top head nozzles, etc. _x000D_
INCL LIFT LUGS</v>
      </c>
      <c r="E24" s="13">
        <f>'Sheet2-PASTE HERE!'!F34</f>
        <v>6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.455</v>
      </c>
      <c r="D26" s="22" t="str">
        <f>'Sheet2-PASTE HERE!'!K36</f>
        <v>Lay out bottom head, burn and clean holes_x000D_
ON BURN TABLE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.465</v>
      </c>
      <c r="D27" s="22" t="str">
        <f>'Sheet2-PASTE HERE!'!K37</f>
        <v>Set  nozzles in bottom head - tack</v>
      </c>
      <c r="E27" s="13">
        <f>'Sheet2-PASTE HERE!'!F37</f>
        <v>1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.466</v>
      </c>
      <c r="D28" s="22" t="str">
        <f>'Sheet2-PASTE HERE!'!K38</f>
        <v>Weld nozzles in bottom head; weld complete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.475</v>
      </c>
      <c r="D29" s="22" t="str">
        <f>'Sheet2-PASTE HERE!'!K39</f>
        <v>Install bottom stiffeners_x000D_
BRACE FOR NOZZLE 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.600</v>
      </c>
      <c r="D30" s="22" t="str">
        <f>'Sheet2-PASTE HERE!'!K40</f>
        <v>Fit bottom head to shell_x000D_
AND WELD INSIDE</v>
      </c>
      <c r="E30" s="13">
        <f>'Sheet2-PASTE HERE!'!F40</f>
        <v>4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.630</v>
      </c>
      <c r="D31" s="22" t="str">
        <f>'Sheet2-PASTE HERE!'!K41</f>
        <v>Install internals - wear plates, rings, clips, etc._x000D_
WEAR PLATE &amp; BRACE FOR NOZZLE A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.QC5</v>
      </c>
      <c r="D32" s="22" t="str">
        <f>'Sheet2-PASTE HERE!'!K42</f>
        <v>QC Inspection - Internal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.640</v>
      </c>
      <c r="D33" s="22" t="str">
        <f>'Sheet2-PASTE HERE!'!K43</f>
        <v>Fit top head to shell - tack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.645</v>
      </c>
      <c r="D34" s="22" t="str">
        <f>'Sheet2-PASTE HERE!'!K44</f>
        <v>Weld all outside seams</v>
      </c>
      <c r="E34" s="13">
        <f>'Sheet2-PASTE HERE!'!F44</f>
        <v>5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MOVE TANK</v>
      </c>
      <c r="B35" s="11"/>
      <c r="C35" s="17" t="str">
        <f>'Sheet2-PASTE HERE!'!I45</f>
        <v>.800</v>
      </c>
      <c r="D35" s="22" t="str">
        <f>'Sheet2-PASTE HERE!'!K45</f>
        <v>Move tank to detail rolls</v>
      </c>
      <c r="E35" s="13">
        <f>'Sheet2-PASTE HERE!'!F45</f>
        <v>1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.715</v>
      </c>
      <c r="D36" s="22" t="str">
        <f>'Sheet2-PASTE HERE!'!K46</f>
        <v>Install insulation/vacuum rings - tack_x000D_
AND WELD</v>
      </c>
      <c r="E36" s="13">
        <f>'Sheet2-PASTE HERE!'!F46</f>
        <v>3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.720</v>
      </c>
      <c r="D37" s="22" t="str">
        <f>'Sheet2-PASTE HERE!'!K47</f>
        <v>Install supports - legs, lugs, anchors, saddles, skirt_x000D_
FIT &amp; WELD LEGS TO TANK; FIT &amp; WELD TANK TO BASE</v>
      </c>
      <c r="E37" s="13">
        <f>'Sheet2-PASTE HERE!'!F47</f>
        <v>7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.QC51</v>
      </c>
      <c r="D38" s="22" t="str">
        <f>'Sheet2-PASTE HERE!'!K48</f>
        <v>UT Components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FINISHING</v>
      </c>
      <c r="B39" s="11"/>
      <c r="C39" s="17" t="str">
        <f>'Sheet2-PASTE HERE!'!I49</f>
        <v>.765</v>
      </c>
      <c r="D39" s="22" t="str">
        <f>'Sheet2-PASTE HERE!'!K49</f>
        <v>Install name tag</v>
      </c>
      <c r="E39" s="13">
        <f>'Sheet2-PASTE HERE!'!F49</f>
        <v>1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.770</v>
      </c>
      <c r="D40" s="22" t="str">
        <f>'Sheet2-PASTE HERE!'!K50</f>
        <v>Inspect tank, make repairs, get QC inspector</v>
      </c>
      <c r="E40" s="13">
        <f>'Sheet2-PASTE HERE!'!F50</f>
        <v>1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.QC6</v>
      </c>
      <c r="D41" s="22" t="str">
        <f>'Sheet2-PASTE HERE!'!K51</f>
        <v>QC Inspection - Fabrication</v>
      </c>
      <c r="E41" s="13">
        <f>'Sheet2-PASTE HERE!'!F51</f>
        <v>0</v>
      </c>
      <c r="F41" s="12"/>
      <c r="G41" s="12"/>
      <c r="H41" s="12"/>
      <c r="K41">
        <f t="shared" si="0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MOVE TANK</v>
      </c>
      <c r="B42" s="11"/>
      <c r="C42" s="17" t="str">
        <f>'Sheet2-PASTE HERE!'!I52</f>
        <v>.801</v>
      </c>
      <c r="D42" s="22" t="str">
        <f>'Sheet2-PASTE HERE!'!K52</f>
        <v>Move to shop test area</v>
      </c>
      <c r="E42" s="13">
        <f>'Sheet2-PASTE HERE!'!F52</f>
        <v>1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.910</v>
      </c>
      <c r="D43" s="22" t="str">
        <f>'Sheet2-PASTE HERE!'!K53</f>
        <v>Test tank</v>
      </c>
      <c r="E43" s="13">
        <f>'Sheet2-PASTE HERE!'!F53</f>
        <v>6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.QC7</v>
      </c>
      <c r="D44" s="22" t="str">
        <f>'Sheet2-PASTE HERE!'!K54</f>
        <v>QC Inspection - Test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.920</v>
      </c>
      <c r="D45" s="22" t="str">
        <f>'Sheet2-PASTE HERE!'!K55</f>
        <v>Clean tank complete</v>
      </c>
      <c r="E45" s="13">
        <f>'Sheet2-PASTE HERE!'!F55</f>
        <v>6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.QC8</v>
      </c>
      <c r="D46" s="22" t="str">
        <f>'Sheet2-PASTE HERE!'!K56</f>
        <v>QC Inspection - Clean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.940</v>
      </c>
      <c r="D47" s="22" t="str">
        <f>'Sheet2-PASTE HERE!'!K57</f>
        <v>Prepare tank for shipment</v>
      </c>
      <c r="E47" s="13">
        <f>'Sheet2-PASTE HERE!'!F57</f>
        <v>1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.QC95</v>
      </c>
      <c r="D48" s="22" t="str">
        <f>'Sheet2-PASTE HERE!'!K58</f>
        <v>QC Inspection - Final &amp; Loose Items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SHIPPING</v>
      </c>
      <c r="B49" s="11"/>
      <c r="C49" s="17" t="str">
        <f>'Sheet2-PASTE HERE!'!I59</f>
        <v>.960</v>
      </c>
      <c r="D49" s="22" t="str">
        <f>'Sheet2-PASTE HERE!'!K59</f>
        <v>Load on truck</v>
      </c>
      <c r="E49" s="13">
        <f>'Sheet2-PASTE HERE!'!F59</f>
        <v>1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 t="str">
        <f>'Sheet2-PASTE HERE!'!F61</f>
        <v/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145</v>
      </c>
      <c r="C1" s="8" t="s">
        <v>17</v>
      </c>
      <c r="D1" s="8" t="s">
        <v>146</v>
      </c>
      <c r="E1" s="8" t="s">
        <v>18</v>
      </c>
      <c r="F1" s="8" t="s">
        <v>147</v>
      </c>
      <c r="G1" s="8" t="s">
        <v>145</v>
      </c>
      <c r="H1" s="8" t="s">
        <v>20</v>
      </c>
      <c r="I1" s="8" t="s">
        <v>148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45342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99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48841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48842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48843</v>
      </c>
      <c r="C19" s="19">
        <v>0</v>
      </c>
      <c r="D19" s="8" t="s">
        <v>57</v>
      </c>
      <c r="E19" s="20">
        <v>0</v>
      </c>
      <c r="F19" s="20">
        <v>3</v>
      </c>
      <c r="G19" s="8" t="s">
        <v>54</v>
      </c>
      <c r="H19" s="20">
        <v>3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48844</v>
      </c>
      <c r="C20" s="19">
        <v>0</v>
      </c>
      <c r="D20" s="8" t="s">
        <v>81</v>
      </c>
      <c r="E20" s="20">
        <v>0</v>
      </c>
      <c r="F20" s="20">
        <v>7</v>
      </c>
      <c r="G20" s="8" t="s">
        <v>54</v>
      </c>
      <c r="H20" s="20">
        <v>7</v>
      </c>
      <c r="I20" s="8" t="s">
        <v>82</v>
      </c>
      <c r="J20" s="19">
        <v>0</v>
      </c>
      <c r="K20" s="8" t="s">
        <v>83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48845</v>
      </c>
      <c r="C21" s="19">
        <v>0</v>
      </c>
      <c r="D21" s="8" t="s">
        <v>139</v>
      </c>
      <c r="E21" s="20">
        <v>0</v>
      </c>
      <c r="F21" s="20">
        <v>1</v>
      </c>
      <c r="G21" s="8" t="s">
        <v>54</v>
      </c>
      <c r="H21" s="20">
        <v>1</v>
      </c>
      <c r="I21" s="8" t="s">
        <v>140</v>
      </c>
      <c r="J21" s="19">
        <v>0</v>
      </c>
      <c r="K21" s="8" t="s">
        <v>149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48846</v>
      </c>
      <c r="C22" s="19">
        <v>0</v>
      </c>
      <c r="D22" s="8" t="s">
        <v>150</v>
      </c>
      <c r="E22" s="20">
        <v>0</v>
      </c>
      <c r="F22" s="20">
        <v>6</v>
      </c>
      <c r="G22" s="8" t="s">
        <v>54</v>
      </c>
      <c r="H22" s="20">
        <v>6</v>
      </c>
      <c r="I22" s="8" t="s">
        <v>59</v>
      </c>
      <c r="J22" s="19">
        <v>0</v>
      </c>
      <c r="K22" s="8" t="s">
        <v>84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48847</v>
      </c>
      <c r="C23" s="19">
        <v>0</v>
      </c>
      <c r="D23" s="8" t="s">
        <v>151</v>
      </c>
      <c r="E23" s="20">
        <v>0</v>
      </c>
      <c r="F23" s="20">
        <v>7</v>
      </c>
      <c r="G23" s="8" t="s">
        <v>54</v>
      </c>
      <c r="H23" s="20">
        <v>7</v>
      </c>
      <c r="I23" s="8" t="s">
        <v>152</v>
      </c>
      <c r="J23" s="19">
        <v>0</v>
      </c>
      <c r="K23" s="8" t="s">
        <v>19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48848</v>
      </c>
      <c r="C24" s="19">
        <v>0</v>
      </c>
      <c r="D24" s="8" t="s">
        <v>60</v>
      </c>
      <c r="E24" s="20">
        <v>0</v>
      </c>
      <c r="F24" s="20">
        <v>3</v>
      </c>
      <c r="G24" s="8" t="s">
        <v>54</v>
      </c>
      <c r="H24" s="20">
        <v>3</v>
      </c>
      <c r="I24" s="8" t="s">
        <v>61</v>
      </c>
      <c r="J24" s="19">
        <v>0</v>
      </c>
      <c r="K24" s="8" t="s">
        <v>153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48849</v>
      </c>
      <c r="C25" s="19">
        <v>0</v>
      </c>
      <c r="D25" s="8" t="s">
        <v>85</v>
      </c>
      <c r="E25" s="20">
        <v>0</v>
      </c>
      <c r="F25" s="20">
        <v>2</v>
      </c>
      <c r="G25" s="8" t="s">
        <v>54</v>
      </c>
      <c r="H25" s="20">
        <v>2</v>
      </c>
      <c r="I25" s="8" t="s">
        <v>86</v>
      </c>
      <c r="J25" s="19">
        <v>0</v>
      </c>
      <c r="K25" s="8" t="s">
        <v>87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48850</v>
      </c>
      <c r="C26" s="19">
        <v>0</v>
      </c>
      <c r="D26" s="8" t="s">
        <v>141</v>
      </c>
      <c r="E26" s="20">
        <v>0</v>
      </c>
      <c r="F26" s="20">
        <v>10</v>
      </c>
      <c r="G26" s="8" t="s">
        <v>54</v>
      </c>
      <c r="H26" s="20">
        <v>10</v>
      </c>
      <c r="I26" s="8" t="s">
        <v>142</v>
      </c>
      <c r="J26" s="19">
        <v>0</v>
      </c>
      <c r="K26" s="8" t="s">
        <v>154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48851</v>
      </c>
      <c r="C27" s="19">
        <v>0</v>
      </c>
      <c r="D27" s="8" t="s">
        <v>155</v>
      </c>
      <c r="E27" s="20">
        <v>0</v>
      </c>
      <c r="F27" s="20">
        <v>1</v>
      </c>
      <c r="G27" s="8" t="s">
        <v>54</v>
      </c>
      <c r="H27" s="20">
        <v>1</v>
      </c>
      <c r="I27" s="8" t="s">
        <v>156</v>
      </c>
      <c r="J27" s="19">
        <v>0</v>
      </c>
      <c r="K27" s="8" t="s">
        <v>157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48852</v>
      </c>
      <c r="C28" s="19">
        <v>0</v>
      </c>
      <c r="D28" s="8" t="s">
        <v>88</v>
      </c>
      <c r="E28" s="20">
        <v>0</v>
      </c>
      <c r="F28" s="20">
        <v>0</v>
      </c>
      <c r="G28" s="8" t="s">
        <v>54</v>
      </c>
      <c r="H28" s="20">
        <v>0</v>
      </c>
      <c r="I28" s="8" t="s">
        <v>89</v>
      </c>
      <c r="J28" s="19">
        <v>0</v>
      </c>
      <c r="K28" s="8" t="s">
        <v>88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48853</v>
      </c>
      <c r="C29" s="19">
        <v>0</v>
      </c>
      <c r="D29" s="8" t="s">
        <v>90</v>
      </c>
      <c r="E29" s="20">
        <v>0</v>
      </c>
      <c r="F29" s="20">
        <v>2</v>
      </c>
      <c r="G29" s="8" t="s">
        <v>54</v>
      </c>
      <c r="H29" s="20">
        <v>2</v>
      </c>
      <c r="I29" s="8" t="s">
        <v>91</v>
      </c>
      <c r="J29" s="19">
        <v>0</v>
      </c>
      <c r="K29" s="8" t="s">
        <v>158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48854</v>
      </c>
      <c r="C30" s="19">
        <v>0</v>
      </c>
      <c r="D30" s="8" t="s">
        <v>92</v>
      </c>
      <c r="E30" s="20">
        <v>0</v>
      </c>
      <c r="F30" s="20">
        <v>2</v>
      </c>
      <c r="G30" s="8" t="s">
        <v>54</v>
      </c>
      <c r="H30" s="20">
        <v>2</v>
      </c>
      <c r="I30" s="8" t="s">
        <v>93</v>
      </c>
      <c r="J30" s="19">
        <v>0</v>
      </c>
      <c r="K30" s="8" t="s">
        <v>159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48855</v>
      </c>
      <c r="C31" s="19">
        <v>0</v>
      </c>
      <c r="D31" s="8" t="s">
        <v>94</v>
      </c>
      <c r="E31" s="20">
        <v>0</v>
      </c>
      <c r="F31" s="20">
        <v>0</v>
      </c>
      <c r="G31" s="8" t="s">
        <v>54</v>
      </c>
      <c r="H31" s="20">
        <v>0</v>
      </c>
      <c r="I31" s="8" t="s">
        <v>95</v>
      </c>
      <c r="J31" s="19">
        <v>0</v>
      </c>
      <c r="K31" s="8" t="s">
        <v>96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48856</v>
      </c>
      <c r="C32" s="19">
        <v>0</v>
      </c>
      <c r="D32" s="8" t="s">
        <v>97</v>
      </c>
      <c r="E32" s="20">
        <v>0</v>
      </c>
      <c r="F32" s="20">
        <v>1</v>
      </c>
      <c r="G32" s="8" t="s">
        <v>54</v>
      </c>
      <c r="H32" s="20">
        <v>1</v>
      </c>
      <c r="I32" s="8" t="s">
        <v>98</v>
      </c>
      <c r="J32" s="19">
        <v>0</v>
      </c>
      <c r="K32" s="8" t="s">
        <v>160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48857</v>
      </c>
      <c r="C33" s="19">
        <v>0</v>
      </c>
      <c r="D33" s="8" t="s">
        <v>99</v>
      </c>
      <c r="E33" s="20">
        <v>0</v>
      </c>
      <c r="F33" s="20">
        <v>3</v>
      </c>
      <c r="G33" s="8" t="s">
        <v>54</v>
      </c>
      <c r="H33" s="20">
        <v>3</v>
      </c>
      <c r="I33" s="8" t="s">
        <v>100</v>
      </c>
      <c r="J33" s="19">
        <v>0</v>
      </c>
      <c r="K33" s="8" t="s">
        <v>101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48858</v>
      </c>
      <c r="C34" s="19">
        <v>0</v>
      </c>
      <c r="D34" s="8" t="s">
        <v>102</v>
      </c>
      <c r="E34" s="20">
        <v>0</v>
      </c>
      <c r="F34" s="20">
        <v>6</v>
      </c>
      <c r="G34" s="8" t="s">
        <v>54</v>
      </c>
      <c r="H34" s="20">
        <v>6</v>
      </c>
      <c r="I34" s="8" t="s">
        <v>103</v>
      </c>
      <c r="J34" s="19">
        <v>0</v>
      </c>
      <c r="K34" s="8" t="s">
        <v>161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48859</v>
      </c>
      <c r="C35" s="19">
        <v>0</v>
      </c>
      <c r="D35" s="8" t="s">
        <v>94</v>
      </c>
      <c r="E35" s="20">
        <v>0</v>
      </c>
      <c r="F35" s="20">
        <v>0</v>
      </c>
      <c r="G35" s="8" t="s">
        <v>54</v>
      </c>
      <c r="H35" s="20">
        <v>0</v>
      </c>
      <c r="I35" s="8" t="s">
        <v>95</v>
      </c>
      <c r="J35" s="19">
        <v>0</v>
      </c>
      <c r="K35" s="8" t="s">
        <v>96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48860</v>
      </c>
      <c r="C36" s="19">
        <v>0</v>
      </c>
      <c r="D36" s="8" t="s">
        <v>162</v>
      </c>
      <c r="E36" s="20">
        <v>0</v>
      </c>
      <c r="F36" s="20">
        <v>1</v>
      </c>
      <c r="G36" s="8" t="s">
        <v>54</v>
      </c>
      <c r="H36" s="20">
        <v>1</v>
      </c>
      <c r="I36" s="8" t="s">
        <v>163</v>
      </c>
      <c r="J36" s="19">
        <v>0</v>
      </c>
      <c r="K36" s="8" t="s">
        <v>164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48861</v>
      </c>
      <c r="C37" s="19">
        <v>0</v>
      </c>
      <c r="D37" s="8" t="s">
        <v>165</v>
      </c>
      <c r="E37" s="20">
        <v>0</v>
      </c>
      <c r="F37" s="20">
        <v>1</v>
      </c>
      <c r="G37" s="8" t="s">
        <v>54</v>
      </c>
      <c r="H37" s="20">
        <v>1</v>
      </c>
      <c r="I37" s="8" t="s">
        <v>166</v>
      </c>
      <c r="J37" s="19">
        <v>0</v>
      </c>
      <c r="K37" s="8" t="s">
        <v>167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48862</v>
      </c>
      <c r="C38" s="19">
        <v>0</v>
      </c>
      <c r="D38" s="8" t="s">
        <v>168</v>
      </c>
      <c r="E38" s="20">
        <v>0</v>
      </c>
      <c r="F38" s="20">
        <v>1</v>
      </c>
      <c r="G38" s="8" t="s">
        <v>54</v>
      </c>
      <c r="H38" s="20">
        <v>1</v>
      </c>
      <c r="I38" s="8" t="s">
        <v>169</v>
      </c>
      <c r="J38" s="19">
        <v>0</v>
      </c>
      <c r="K38" s="8" t="s">
        <v>170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48863</v>
      </c>
      <c r="C39" s="19">
        <v>0</v>
      </c>
      <c r="D39" s="8" t="s">
        <v>143</v>
      </c>
      <c r="E39" s="20">
        <v>0</v>
      </c>
      <c r="F39" s="20">
        <v>1</v>
      </c>
      <c r="G39" s="8" t="s">
        <v>54</v>
      </c>
      <c r="H39" s="20">
        <v>1</v>
      </c>
      <c r="I39" s="8" t="s">
        <v>144</v>
      </c>
      <c r="J39" s="19">
        <v>0</v>
      </c>
      <c r="K39" s="8" t="s">
        <v>171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74</v>
      </c>
      <c r="B40" s="18">
        <v>48864</v>
      </c>
      <c r="C40" s="19">
        <v>0</v>
      </c>
      <c r="D40" s="8" t="s">
        <v>104</v>
      </c>
      <c r="E40" s="20">
        <v>0</v>
      </c>
      <c r="F40" s="20">
        <v>4</v>
      </c>
      <c r="G40" s="8" t="s">
        <v>54</v>
      </c>
      <c r="H40" s="20">
        <v>4</v>
      </c>
      <c r="I40" s="8" t="s">
        <v>105</v>
      </c>
      <c r="J40" s="19">
        <v>0</v>
      </c>
      <c r="K40" s="8" t="s">
        <v>172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74</v>
      </c>
      <c r="B41" s="18">
        <v>48865</v>
      </c>
      <c r="C41" s="19">
        <v>0</v>
      </c>
      <c r="D41" s="8" t="s">
        <v>173</v>
      </c>
      <c r="E41" s="20">
        <v>0</v>
      </c>
      <c r="F41" s="20">
        <v>2</v>
      </c>
      <c r="G41" s="8" t="s">
        <v>54</v>
      </c>
      <c r="H41" s="20">
        <v>2</v>
      </c>
      <c r="I41" s="8" t="s">
        <v>174</v>
      </c>
      <c r="J41" s="19">
        <v>0</v>
      </c>
      <c r="K41" s="8" t="s">
        <v>175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48866</v>
      </c>
      <c r="C42" s="19">
        <v>0</v>
      </c>
      <c r="D42" s="8" t="s">
        <v>106</v>
      </c>
      <c r="E42" s="20">
        <v>0</v>
      </c>
      <c r="F42" s="20">
        <v>0</v>
      </c>
      <c r="G42" s="8" t="s">
        <v>54</v>
      </c>
      <c r="H42" s="20">
        <v>0</v>
      </c>
      <c r="I42" s="8" t="s">
        <v>107</v>
      </c>
      <c r="J42" s="19">
        <v>0</v>
      </c>
      <c r="K42" s="8" t="s">
        <v>106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74</v>
      </c>
      <c r="B43" s="18">
        <v>48867</v>
      </c>
      <c r="C43" s="19">
        <v>0</v>
      </c>
      <c r="D43" s="8" t="s">
        <v>108</v>
      </c>
      <c r="E43" s="20">
        <v>0</v>
      </c>
      <c r="F43" s="20">
        <v>2</v>
      </c>
      <c r="G43" s="8" t="s">
        <v>54</v>
      </c>
      <c r="H43" s="20">
        <v>2</v>
      </c>
      <c r="I43" s="8" t="s">
        <v>109</v>
      </c>
      <c r="J43" s="19">
        <v>0</v>
      </c>
      <c r="K43" s="8" t="s">
        <v>176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74</v>
      </c>
      <c r="B44" s="18">
        <v>48868</v>
      </c>
      <c r="C44" s="19">
        <v>0</v>
      </c>
      <c r="D44" s="8" t="s">
        <v>177</v>
      </c>
      <c r="E44" s="20">
        <v>0</v>
      </c>
      <c r="F44" s="20">
        <v>5</v>
      </c>
      <c r="G44" s="8" t="s">
        <v>54</v>
      </c>
      <c r="H44" s="20">
        <v>5</v>
      </c>
      <c r="I44" s="8" t="s">
        <v>178</v>
      </c>
      <c r="J44" s="19">
        <v>0</v>
      </c>
      <c r="K44" s="8" t="s">
        <v>179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110</v>
      </c>
      <c r="B45" s="18">
        <v>48869</v>
      </c>
      <c r="C45" s="19">
        <v>0</v>
      </c>
      <c r="D45" s="8" t="s">
        <v>111</v>
      </c>
      <c r="E45" s="20">
        <v>0</v>
      </c>
      <c r="F45" s="20">
        <v>1</v>
      </c>
      <c r="G45" s="8" t="s">
        <v>54</v>
      </c>
      <c r="H45" s="20">
        <v>1</v>
      </c>
      <c r="I45" s="8" t="s">
        <v>112</v>
      </c>
      <c r="J45" s="19">
        <v>0</v>
      </c>
      <c r="K45" s="8" t="s">
        <v>113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74</v>
      </c>
      <c r="B46" s="18">
        <v>48870</v>
      </c>
      <c r="C46" s="19">
        <v>0</v>
      </c>
      <c r="D46" s="8" t="s">
        <v>180</v>
      </c>
      <c r="E46" s="20">
        <v>0</v>
      </c>
      <c r="F46" s="20">
        <v>3</v>
      </c>
      <c r="G46" s="8" t="s">
        <v>54</v>
      </c>
      <c r="H46" s="20">
        <v>3</v>
      </c>
      <c r="I46" s="8" t="s">
        <v>181</v>
      </c>
      <c r="J46" s="19">
        <v>0</v>
      </c>
      <c r="K46" s="8" t="s">
        <v>182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48871</v>
      </c>
      <c r="C47" s="19">
        <v>0</v>
      </c>
      <c r="D47" s="8" t="s">
        <v>114</v>
      </c>
      <c r="E47" s="20">
        <v>0</v>
      </c>
      <c r="F47" s="20">
        <v>7</v>
      </c>
      <c r="G47" s="8" t="s">
        <v>54</v>
      </c>
      <c r="H47" s="20">
        <v>7</v>
      </c>
      <c r="I47" s="8" t="s">
        <v>115</v>
      </c>
      <c r="J47" s="19">
        <v>0</v>
      </c>
      <c r="K47" s="8" t="s">
        <v>183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48872</v>
      </c>
      <c r="C48" s="19">
        <v>0</v>
      </c>
      <c r="D48" s="8" t="s">
        <v>184</v>
      </c>
      <c r="E48" s="20">
        <v>0</v>
      </c>
      <c r="F48" s="20">
        <v>0</v>
      </c>
      <c r="G48" s="8" t="s">
        <v>54</v>
      </c>
      <c r="H48" s="20">
        <v>0</v>
      </c>
      <c r="I48" s="8" t="s">
        <v>185</v>
      </c>
      <c r="J48" s="19">
        <v>0</v>
      </c>
      <c r="K48" s="8" t="s">
        <v>184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62</v>
      </c>
      <c r="B49" s="18">
        <v>48873</v>
      </c>
      <c r="C49" s="19">
        <v>0</v>
      </c>
      <c r="D49" s="8" t="s">
        <v>116</v>
      </c>
      <c r="E49" s="20">
        <v>0</v>
      </c>
      <c r="F49" s="20">
        <v>1</v>
      </c>
      <c r="G49" s="8" t="s">
        <v>54</v>
      </c>
      <c r="H49" s="20">
        <v>1</v>
      </c>
      <c r="I49" s="8" t="s">
        <v>117</v>
      </c>
      <c r="J49" s="19">
        <v>0</v>
      </c>
      <c r="K49" s="8" t="s">
        <v>118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48874</v>
      </c>
      <c r="C50" s="19">
        <v>0</v>
      </c>
      <c r="D50" s="8" t="s">
        <v>119</v>
      </c>
      <c r="E50" s="20">
        <v>0</v>
      </c>
      <c r="F50" s="20">
        <v>1</v>
      </c>
      <c r="G50" s="8" t="s">
        <v>54</v>
      </c>
      <c r="H50" s="20">
        <v>1</v>
      </c>
      <c r="I50" s="8" t="s">
        <v>120</v>
      </c>
      <c r="J50" s="19">
        <v>0</v>
      </c>
      <c r="K50" s="8" t="s">
        <v>121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53</v>
      </c>
      <c r="B51" s="18">
        <v>48875</v>
      </c>
      <c r="C51" s="19">
        <v>0</v>
      </c>
      <c r="D51" s="8" t="s">
        <v>122</v>
      </c>
      <c r="E51" s="20">
        <v>0</v>
      </c>
      <c r="F51" s="20">
        <v>0</v>
      </c>
      <c r="G51" s="8" t="s">
        <v>54</v>
      </c>
      <c r="H51" s="20">
        <v>0</v>
      </c>
      <c r="I51" s="8" t="s">
        <v>123</v>
      </c>
      <c r="J51" s="19">
        <v>0</v>
      </c>
      <c r="K51" s="8" t="s">
        <v>124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110</v>
      </c>
      <c r="B52" s="18">
        <v>48876</v>
      </c>
      <c r="C52" s="19">
        <v>0</v>
      </c>
      <c r="D52" s="8" t="s">
        <v>125</v>
      </c>
      <c r="E52" s="20">
        <v>0</v>
      </c>
      <c r="F52" s="20">
        <v>1</v>
      </c>
      <c r="G52" s="8" t="s">
        <v>54</v>
      </c>
      <c r="H52" s="20">
        <v>1</v>
      </c>
      <c r="I52" s="8" t="s">
        <v>126</v>
      </c>
      <c r="J52" s="19">
        <v>0</v>
      </c>
      <c r="K52" s="8" t="s">
        <v>127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62</v>
      </c>
      <c r="B53" s="18">
        <v>48877</v>
      </c>
      <c r="C53" s="19">
        <v>0</v>
      </c>
      <c r="D53" s="8" t="s">
        <v>128</v>
      </c>
      <c r="E53" s="20">
        <v>0</v>
      </c>
      <c r="F53" s="20">
        <v>6</v>
      </c>
      <c r="G53" s="8" t="s">
        <v>54</v>
      </c>
      <c r="H53" s="20">
        <v>6</v>
      </c>
      <c r="I53" s="8" t="s">
        <v>129</v>
      </c>
      <c r="J53" s="19">
        <v>0</v>
      </c>
      <c r="K53" s="8" t="s">
        <v>130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53</v>
      </c>
      <c r="B54" s="18">
        <v>48878</v>
      </c>
      <c r="C54" s="19">
        <v>0</v>
      </c>
      <c r="D54" s="8" t="s">
        <v>131</v>
      </c>
      <c r="E54" s="20">
        <v>0</v>
      </c>
      <c r="F54" s="20">
        <v>0</v>
      </c>
      <c r="G54" s="8" t="s">
        <v>54</v>
      </c>
      <c r="H54" s="20">
        <v>0</v>
      </c>
      <c r="I54" s="8" t="s">
        <v>132</v>
      </c>
      <c r="J54" s="19">
        <v>0</v>
      </c>
      <c r="K54" s="8" t="s">
        <v>131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62</v>
      </c>
      <c r="B55" s="18">
        <v>48879</v>
      </c>
      <c r="C55" s="19">
        <v>0</v>
      </c>
      <c r="D55" s="8" t="s">
        <v>133</v>
      </c>
      <c r="E55" s="20">
        <v>0</v>
      </c>
      <c r="F55" s="20">
        <v>6</v>
      </c>
      <c r="G55" s="8" t="s">
        <v>54</v>
      </c>
      <c r="H55" s="20">
        <v>6</v>
      </c>
      <c r="I55" s="8" t="s">
        <v>134</v>
      </c>
      <c r="J55" s="19">
        <v>0</v>
      </c>
      <c r="K55" s="8" t="s">
        <v>135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48880</v>
      </c>
      <c r="C56" s="19">
        <v>0</v>
      </c>
      <c r="D56" s="8" t="s">
        <v>136</v>
      </c>
      <c r="E56" s="20">
        <v>0</v>
      </c>
      <c r="F56" s="20">
        <v>0</v>
      </c>
      <c r="G56" s="8" t="s">
        <v>54</v>
      </c>
      <c r="H56" s="20">
        <v>0</v>
      </c>
      <c r="I56" s="8" t="s">
        <v>137</v>
      </c>
      <c r="J56" s="19">
        <v>0</v>
      </c>
      <c r="K56" s="8" t="s">
        <v>136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62</v>
      </c>
      <c r="B57" s="18">
        <v>48881</v>
      </c>
      <c r="C57" s="19">
        <v>0</v>
      </c>
      <c r="D57" s="8" t="s">
        <v>63</v>
      </c>
      <c r="E57" s="20">
        <v>0</v>
      </c>
      <c r="F57" s="20">
        <v>1</v>
      </c>
      <c r="G57" s="8" t="s">
        <v>54</v>
      </c>
      <c r="H57" s="20">
        <v>1</v>
      </c>
      <c r="I57" s="8" t="s">
        <v>64</v>
      </c>
      <c r="J57" s="19">
        <v>0</v>
      </c>
      <c r="K57" s="8" t="s">
        <v>138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48882</v>
      </c>
      <c r="C58" s="19">
        <v>0</v>
      </c>
      <c r="D58" s="8" t="s">
        <v>65</v>
      </c>
      <c r="E58" s="20">
        <v>0</v>
      </c>
      <c r="F58" s="20">
        <v>0</v>
      </c>
      <c r="G58" s="8" t="s">
        <v>54</v>
      </c>
      <c r="H58" s="20">
        <v>0</v>
      </c>
      <c r="I58" s="8" t="s">
        <v>66</v>
      </c>
      <c r="J58" s="19">
        <v>0</v>
      </c>
      <c r="K58" s="8" t="s">
        <v>67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68</v>
      </c>
      <c r="B59" s="18">
        <v>48883</v>
      </c>
      <c r="C59" s="19">
        <v>0</v>
      </c>
      <c r="D59" s="8" t="s">
        <v>69</v>
      </c>
      <c r="E59" s="20">
        <v>0</v>
      </c>
      <c r="F59" s="20">
        <v>1</v>
      </c>
      <c r="G59" s="8" t="s">
        <v>54</v>
      </c>
      <c r="H59" s="20">
        <v>1</v>
      </c>
      <c r="I59" s="8" t="s">
        <v>70</v>
      </c>
      <c r="J59" s="19">
        <v>0</v>
      </c>
      <c r="K59" s="8" t="s">
        <v>71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/>
    <row r="61" spans="1:14" ht="12.75" customHeight="1" x14ac:dyDescent="0.2">
      <c r="B61" s="8" t="s">
        <v>16</v>
      </c>
      <c r="C61" s="8" t="s">
        <v>145</v>
      </c>
      <c r="E61" s="8" t="s">
        <v>19</v>
      </c>
      <c r="F61" s="8" t="s">
        <v>19</v>
      </c>
      <c r="G61" s="8" t="s">
        <v>21</v>
      </c>
      <c r="H61" s="8" t="s">
        <v>19</v>
      </c>
      <c r="J61" s="8" t="s">
        <v>19</v>
      </c>
    </row>
    <row r="62" spans="1:14" ht="12.75" customHeight="1" x14ac:dyDescent="0.2"/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006-24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006-24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006-24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006-24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7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006-24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holes_x000D_
WEAR PLATE FOR NOZZLE A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006-24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.155</v>
      </c>
      <c r="C32" s="40" t="str">
        <f>'Build Plan w Hours'!D12</f>
        <v>Burn and clean parts:  lugs, supports, repads, base ring, etc. (CHECK!)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6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006-24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.156</v>
      </c>
      <c r="C38" s="40" t="str">
        <f>'Build Plan w Hours'!D13</f>
        <v/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7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006-24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.165</v>
      </c>
      <c r="C44" s="40" t="str">
        <f>'Build Plan w Hours'!D14</f>
        <v>Build supports: legs, lugs, saddles_x000D_
MAKE (4) ANGLE LEGS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3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006-24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.200</v>
      </c>
      <c r="C50" s="40" t="str">
        <f>'Build Plan w Hours'!D15</f>
        <v>Make lift lugs, ground lugs, etc.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006-24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.252</v>
      </c>
      <c r="C56" s="40" t="str">
        <f>'Build Plan w Hours'!D16</f>
        <v>Fabricate miscellaneous parts_x000D_
MAKE BASE FOR FORKLIFT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10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006-24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006-24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006-24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clean_x000D_
PREP SHELL FOR ROLL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006-24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.315</v>
      </c>
      <c r="C80" s="40" t="str">
        <f>'Build Plan w Hours'!D20</f>
        <v>Roll shells, tack and weld inside seams_x000D_
ROLL (1) SHELL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006-24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.QC4</v>
      </c>
      <c r="C86" s="40" t="str">
        <f>'Build Plan w Hours'!D21</f>
        <v>QC Inspection - Top/Bottom/Cones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006-24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.355</v>
      </c>
      <c r="C92" s="40" t="str">
        <f>'Build Plan w Hours'!D22</f>
        <v>Lay out top head, burn and clean holes_x000D_
ON BURN TABLE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006-24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.365</v>
      </c>
      <c r="C98" s="40" t="str">
        <f>'Build Plan w Hours'!D23</f>
        <v>Set  nozzles, lift lugs, etc. in top head - tack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006-24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.366</v>
      </c>
      <c r="C104" s="40" t="str">
        <f>'Build Plan w Hours'!D24</f>
        <v>Weld out top head nozzles, etc. _x000D_
INCL LIFT LUGS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6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006-24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006-24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.455</v>
      </c>
      <c r="C116" s="40" t="str">
        <f>'Build Plan w Hours'!D26</f>
        <v>Lay out bottom head, burn and clean holes_x000D_
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006-24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.465</v>
      </c>
      <c r="C122" s="40" t="str">
        <f>'Build Plan w Hours'!D27</f>
        <v>Set  nozzles in bottom head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1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006-24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.466</v>
      </c>
      <c r="C128" s="40" t="str">
        <f>'Build Plan w Hours'!D28</f>
        <v>Weld nozzles in bottom head; weld complete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006-24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.475</v>
      </c>
      <c r="C134" s="40" t="str">
        <f>'Build Plan w Hours'!D29</f>
        <v>Install bottom stiffeners_x000D_
BRACE FOR NOZZLE 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006-24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.600</v>
      </c>
      <c r="C140" s="40" t="str">
        <f>'Build Plan w Hours'!D30</f>
        <v>Fit bottom head to shell_x000D_
AND WELD INSIDE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4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006-24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.630</v>
      </c>
      <c r="C146" s="40" t="str">
        <f>'Build Plan w Hours'!D31</f>
        <v>Install internals - wear plates, rings, clips, etc._x000D_
WEAR PLATE &amp; BRACE FOR NOZZLE A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006-24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.QC5</v>
      </c>
      <c r="C152" s="40" t="str">
        <f>'Build Plan w Hours'!D32</f>
        <v>QC Inspection - Internal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006-24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.640</v>
      </c>
      <c r="C158" s="40" t="str">
        <f>'Build Plan w Hours'!D33</f>
        <v>Fit top head to shell - tack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006-24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.645</v>
      </c>
      <c r="C164" s="40" t="str">
        <f>'Build Plan w Hours'!D34</f>
        <v>Weld all outside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5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006-24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.800</v>
      </c>
      <c r="C170" s="40" t="str">
        <f>'Build Plan w Hours'!D35</f>
        <v>Move tank to detail rolls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1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006-24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.715</v>
      </c>
      <c r="C176" s="40" t="str">
        <f>'Build Plan w Hours'!D36</f>
        <v>Install insulation/vacuum rings - tack_x000D_
AND WELD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3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006-24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.720</v>
      </c>
      <c r="C182" s="40" t="str">
        <f>'Build Plan w Hours'!D37</f>
        <v>Install supports - legs, lugs, anchors, saddles, skirt_x000D_
FIT &amp; WELD LEGS TO TANK; FIT &amp; WELD TANK TO BASE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7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006-24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.QC51</v>
      </c>
      <c r="C188" s="40" t="str">
        <f>'Build Plan w Hours'!D38</f>
        <v>UT Components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006-24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.765</v>
      </c>
      <c r="C194" s="40" t="str">
        <f>'Build Plan w Hours'!D39</f>
        <v>Install name tag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1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006-24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.770</v>
      </c>
      <c r="C200" s="40" t="str">
        <f>'Build Plan w Hours'!D40</f>
        <v>Inspect tank, make repairs, get QC inspector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1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006-24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.QC6</v>
      </c>
      <c r="C206" s="40" t="str">
        <f>'Build Plan w Hours'!D41</f>
        <v>QC Inspection - Fabrication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006-24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.801</v>
      </c>
      <c r="C212" s="40" t="str">
        <f>'Build Plan w Hours'!D42</f>
        <v>Move to shop test area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1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006-24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.910</v>
      </c>
      <c r="C218" s="40" t="str">
        <f>'Build Plan w Hours'!D43</f>
        <v>Test tank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6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006-24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.QC7</v>
      </c>
      <c r="C224" s="40" t="str">
        <f>'Build Plan w Hours'!D44</f>
        <v>QC Inspection - Test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006-24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.920</v>
      </c>
      <c r="C230" s="40" t="str">
        <f>'Build Plan w Hours'!D45</f>
        <v>Clean tank complete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6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006-24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.QC8</v>
      </c>
      <c r="C236" s="40" t="str">
        <f>'Build Plan w Hours'!D46</f>
        <v>QC Inspection - Clean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006-24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.940</v>
      </c>
      <c r="C242" s="40" t="str">
        <f>'Build Plan w Hours'!D47</f>
        <v>Prepare tank for shipment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1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006-24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.QC95</v>
      </c>
      <c r="C248" s="40" t="str">
        <f>'Build Plan w Hours'!D48</f>
        <v>QC Inspection - Final &amp; Loose Items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006-24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.960</v>
      </c>
      <c r="C254" s="40" t="str">
        <f>'Build Plan w Hours'!D49</f>
        <v>Load on truck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1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006-24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006-24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 t="str">
        <f>'Build Plan w Hours'!E51</f>
        <v/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006-24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006-24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006-24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006-24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006-24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006-24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006-24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006-24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006-24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006-24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006-24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006-24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006-24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006-24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006-24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006-24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006-24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006-24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006-24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006-24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006-24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006-24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006-24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006-24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006-24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006-24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006-24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006-24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006-24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006-24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006-24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006-24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006-24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006-24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006-24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006-24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006-24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006-24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006-24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006-24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holes_x000D_
WEAR PLATE FOR NOZZLE A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006-24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.155</v>
      </c>
      <c r="C32" s="40" t="str">
        <f>'Build Plan w Hours'!D12</f>
        <v>Burn and clean parts:  lugs, supports, repads, base ring, etc. (CHECK!)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006-24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.156</v>
      </c>
      <c r="C38" s="40" t="str">
        <f>'Build Plan w Hours'!D13</f>
        <v/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006-24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.165</v>
      </c>
      <c r="C44" s="40" t="str">
        <f>'Build Plan w Hours'!D14</f>
        <v>Build supports: legs, lugs, saddles_x000D_
MAKE (4) ANGLE LEGS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006-24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.200</v>
      </c>
      <c r="C50" s="40" t="str">
        <f>'Build Plan w Hours'!D15</f>
        <v>Make lift lugs, ground lugs, etc.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006-24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.252</v>
      </c>
      <c r="C56" s="40" t="str">
        <f>'Build Plan w Hours'!D16</f>
        <v>Fabricate miscellaneous parts_x000D_
MAKE BASE FOR FORKLIFT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006-24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006-24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006-24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clean_x000D_
PREP SHELL FOR ROLL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006-24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.315</v>
      </c>
      <c r="C80" s="40" t="str">
        <f>'Build Plan w Hours'!D20</f>
        <v>Roll shells, tack and weld inside seams_x000D_
ROLL (1) SHELL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006-24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.QC4</v>
      </c>
      <c r="C86" s="40" t="str">
        <f>'Build Plan w Hours'!D21</f>
        <v>QC Inspection - Top/Bottom/Cones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006-24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.355</v>
      </c>
      <c r="C92" s="40" t="str">
        <f>'Build Plan w Hours'!D22</f>
        <v>Lay out top head, burn and clean holes_x000D_
ON BURN TABLE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006-24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.365</v>
      </c>
      <c r="C98" s="40" t="str">
        <f>'Build Plan w Hours'!D23</f>
        <v>Set  nozzles, lift lugs, etc. in top head - tack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006-24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.366</v>
      </c>
      <c r="C104" s="40" t="str">
        <f>'Build Plan w Hours'!D24</f>
        <v>Weld out top head nozzles, etc. _x000D_
INCL LIFT LUGS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006-24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006-24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.455</v>
      </c>
      <c r="C116" s="40" t="str">
        <f>'Build Plan w Hours'!D26</f>
        <v>Lay out bottom head, burn and clean holes_x000D_
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006-24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.465</v>
      </c>
      <c r="C122" s="40" t="str">
        <f>'Build Plan w Hours'!D27</f>
        <v>Set  nozzles in bottom head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006-24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.466</v>
      </c>
      <c r="C128" s="40" t="str">
        <f>'Build Plan w Hours'!D28</f>
        <v>Weld nozzles in bottom head; weld complete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006-24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.475</v>
      </c>
      <c r="C134" s="40" t="str">
        <f>'Build Plan w Hours'!D29</f>
        <v>Install bottom stiffeners_x000D_
BRACE FOR NOZZLE 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006-24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.600</v>
      </c>
      <c r="C140" s="40" t="str">
        <f>'Build Plan w Hours'!D30</f>
        <v>Fit bottom head to shell_x000D_
AND WELD INSIDE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006-24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.630</v>
      </c>
      <c r="C146" s="40" t="str">
        <f>'Build Plan w Hours'!D31</f>
        <v>Install internals - wear plates, rings, clips, etc._x000D_
WEAR PLATE &amp; BRACE FOR NOZZLE A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006-24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.QC5</v>
      </c>
      <c r="C152" s="40" t="str">
        <f>'Build Plan w Hours'!D32</f>
        <v>QC Inspection - Internal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006-24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.640</v>
      </c>
      <c r="C158" s="40" t="str">
        <f>'Build Plan w Hours'!D33</f>
        <v>Fit top head to shell - tack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006-24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.645</v>
      </c>
      <c r="C164" s="40" t="str">
        <f>'Build Plan w Hours'!D34</f>
        <v>Weld all outside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006-24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.800</v>
      </c>
      <c r="C170" s="40" t="str">
        <f>'Build Plan w Hours'!D35</f>
        <v>Move tank to detail rolls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006-24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.715</v>
      </c>
      <c r="C176" s="40" t="str">
        <f>'Build Plan w Hours'!D36</f>
        <v>Install insulation/vacuum rings - tack_x000D_
AND WELD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006-24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.720</v>
      </c>
      <c r="C182" s="40" t="str">
        <f>'Build Plan w Hours'!D37</f>
        <v>Install supports - legs, lugs, anchors, saddles, skirt_x000D_
FIT &amp; WELD LEGS TO TANK; FIT &amp; WELD TANK TO BASE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006-24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.QC51</v>
      </c>
      <c r="C188" s="40" t="str">
        <f>'Build Plan w Hours'!D38</f>
        <v>UT Components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006-24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.765</v>
      </c>
      <c r="C194" s="40" t="str">
        <f>'Build Plan w Hours'!D39</f>
        <v>Install name tag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006-24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.770</v>
      </c>
      <c r="C200" s="40" t="str">
        <f>'Build Plan w Hours'!D40</f>
        <v>Inspect tank, make repairs, get QC inspector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006-24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.QC6</v>
      </c>
      <c r="C206" s="40" t="str">
        <f>'Build Plan w Hours'!D41</f>
        <v>QC Inspection - Fabrication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006-24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.801</v>
      </c>
      <c r="C212" s="40" t="str">
        <f>'Build Plan w Hours'!D42</f>
        <v>Move to shop test area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006-24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.910</v>
      </c>
      <c r="C218" s="40" t="str">
        <f>'Build Plan w Hours'!D43</f>
        <v>Test tank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006-24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.QC7</v>
      </c>
      <c r="C224" s="40" t="str">
        <f>'Build Plan w Hours'!D44</f>
        <v>QC Inspection - Test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006-24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.920</v>
      </c>
      <c r="C230" s="40" t="str">
        <f>'Build Plan w Hours'!D45</f>
        <v>Clean tank complete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006-24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.QC8</v>
      </c>
      <c r="C236" s="40" t="str">
        <f>'Build Plan w Hours'!D46</f>
        <v>QC Inspection - Clean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006-24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.940</v>
      </c>
      <c r="C242" s="40" t="str">
        <f>'Build Plan w Hours'!D47</f>
        <v>Prepare tank for shipment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006-24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.QC95</v>
      </c>
      <c r="C248" s="40" t="str">
        <f>'Build Plan w Hours'!D48</f>
        <v>QC Inspection - Final &amp; Loose Items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006-24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.960</v>
      </c>
      <c r="C254" s="40" t="str">
        <f>'Build Plan w Hours'!D49</f>
        <v>Load on truck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006-24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006-24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006-24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006-24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006-24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006-24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006-24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006-24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006-24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006-24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006-24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006-24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006-24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006-24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006-24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006-24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006-24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006-24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006-24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006-24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006-24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006-24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006-24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006-24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006-24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006-24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006-24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006-24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006-24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006-24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006-24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006-24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006-24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006-24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006-24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006-24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006-24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006-24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006-24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2024-06-19T18:25:37Z</cp:lastPrinted>
  <dcterms:created xsi:type="dcterms:W3CDTF">2016-06-28T20:53:17Z</dcterms:created>
  <dcterms:modified xsi:type="dcterms:W3CDTF">2024-06-19T18:26:02Z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