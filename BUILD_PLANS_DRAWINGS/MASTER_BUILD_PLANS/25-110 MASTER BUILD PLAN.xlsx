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110-25 - Epic - T-117\"/>
    </mc:Choice>
  </mc:AlternateContent>
  <xr:revisionPtr revIDLastSave="0" documentId="8_{D8ECE1B2-D217-49B1-9B6E-5EFDA6211D0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Hours'!$A$1:$H$63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<sst xmlns="http://schemas.openxmlformats.org/spreadsheetml/2006/main" count="2233" uniqueCount="408">
  <si>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</si>
  <si>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</si>
  <si>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</si>
  <si>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</si>
  <si>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</si>
  <si>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</si>
  <si>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</si>
  <si>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</si>
  <si>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</si>
  <si>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</si>
  <si>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</si>
  <si>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</si>
  <si>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</si>
  <si>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</si>
  <si>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</si>
  <si>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</si>
  <si>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</si>
  <si>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</si>
  <si>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</si>
  <si>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</si>
  <si>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</si>
  <si>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</si>
  <si>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</si>
  <si>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</si>
  <si>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</si>
  <si>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</si>
  <si>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</si>
  <si>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</si>
  <si>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</si>
  <si>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</si>
  <si>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</si>
  <si>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</si>
  <si>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</si>
  <si>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</si>
  <si>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</si>
  <si>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</si>
  <si>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</si>
  <si>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</si>
  <si>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</si>
  <si>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</si>
  <si>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</si>
  <si>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</si>
  <si>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</si>
  <si>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</si>
  <si>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</si>
  <si>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</si>
  <si>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</si>
  <si>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</si>
  <si>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</si>
  <si>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</si>
  <si>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</si>
  <si>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</si>
  <si>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</si>
  <si>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</si>
  <si>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</si>
  <si>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</si>
  <si>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</si>
  <si>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</si>
  <si>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</si>
  <si>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</si>
  <si>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</si>
  <si>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</si>
  <si>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</si>
  <si>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</si>
  <si>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</si>
  <si>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</si>
  <si>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</si>
  <si>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</si>
  <si>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</si>
  <si>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</si>
  <si>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</si>
  <si>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</si>
  <si>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</si>
  <si>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</si>
  <si>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</si>
  <si>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</si>
  <si>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</si>
  <si>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</si>
  <si>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</si>
  <si>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</si>
  <si>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</si>
  <si>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</si>
  <si>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</si>
  <si>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</si>
  <si>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</si>
  <si>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</si>
  <si>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</si>
  <si>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</si>
  <si>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</si>
  <si>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</si>
  <si>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</si>
  <si>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</si>
  <si>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</si>
  <si>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</si>
  <si>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</si>
  <si>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</si>
  <si>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</si>
  <si>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</si>
  <si>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</si>
  <si>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</si>
  <si>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</si>
  <si>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</si>
  <si>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</si>
  <si>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</si>
  <si>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</si>
  <si>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</si>
  <si>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</si>
  <si>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</si>
  <si>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</si>
  <si>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</si>
  <si>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</si>
  <si>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</si>
  <si>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</si>
  <si>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</si>
  <si>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</si>
  <si>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</si>
  <si>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</si>
  <si>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</si>
  <si>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</si>
  <si>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</si>
  <si>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</si>
  <si>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</si>
  <si>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</si>
  <si>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</si>
  <si>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</si>
  <si>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</si>
  <si>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</si>
  <si>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</si>
  <si>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</si>
  <si>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</si>
  <si>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</si>
  <si>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</si>
  <si>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</si>
  <si>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</si>
  <si>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</si>
  <si>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</si>
  <si>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I&amp;W Repads -Top</t>
  </si>
  <si>
    <t>.370</t>
  </si>
  <si>
    <t>Cut Parts on Burn Table</t>
  </si>
  <si>
    <t>Clean &amp; Prep Parts</t>
  </si>
  <si>
    <t>.156</t>
  </si>
  <si>
    <t>L/O Bottom, B&amp;C Holes</t>
  </si>
  <si>
    <t>.455</t>
  </si>
  <si>
    <t>Weld all Outside Seams</t>
  </si>
  <si>
    <t>.645</t>
  </si>
  <si>
    <t>Weld all outside seams</t>
  </si>
  <si>
    <t xml:space="preserve">|25-110H~ </t>
  </si>
  <si>
    <t>T-117</t>
  </si>
  <si>
    <t>967245922</t>
  </si>
  <si>
    <t>9315.4</t>
  </si>
  <si>
    <t xml:space="preserve">Customer </t>
  </si>
  <si>
    <t>Ship To</t>
  </si>
  <si>
    <t xml:space="preserve">EPIC SYSTEMS GROUP. LLC - P&amp;M_x000D_
4142 MERAMEC BOTTOM ROAD_x000D_
ST. LOUIS, MO 63129_x000D_
US_x000D_
</t>
  </si>
  <si>
    <t>EPIC SYSTEMS GROUP, LLC - P&amp;M_x000D_
4142 MERAMEC BOTTOM ROAD_x000D_
ST. LOUIS,MO  63129_x000D_
United States</t>
  </si>
  <si>
    <t xml:space="preserve">Contact </t>
  </si>
  <si>
    <t>Ship Via</t>
  </si>
  <si>
    <t>Best Way</t>
  </si>
  <si>
    <t>Phone</t>
  </si>
  <si>
    <t>Fax</t>
  </si>
  <si>
    <t>314-845-0077</t>
  </si>
  <si>
    <t xml:space="preserve"> </t>
  </si>
  <si>
    <t>314-845-6166</t>
  </si>
  <si>
    <t xml:space="preserve">|66285-~ </t>
  </si>
  <si>
    <t xml:space="preserve">|662862~ </t>
  </si>
  <si>
    <t xml:space="preserve">|662877~ </t>
  </si>
  <si>
    <t>Build nozzles and weld</t>
  </si>
  <si>
    <t xml:space="preserve">|66288&lt;~ </t>
  </si>
  <si>
    <t>Build Repads for Nozzles</t>
  </si>
  <si>
    <t>.107</t>
  </si>
  <si>
    <t>Build Repads for Nozzles, drill and tap holes</t>
  </si>
  <si>
    <t xml:space="preserve">|66289A~ </t>
  </si>
  <si>
    <t>Build Dip Tubes-Weld</t>
  </si>
  <si>
    <t>.110</t>
  </si>
  <si>
    <t>Build dip tubes and weld</t>
  </si>
  <si>
    <t xml:space="preserve">|66290¥~ </t>
  </si>
  <si>
    <t xml:space="preserve">|66291ª~ </t>
  </si>
  <si>
    <t xml:space="preserve">|66292"~ </t>
  </si>
  <si>
    <t>Build supports: legs, lugs, saddles_x000D_
TACK ONLY</t>
  </si>
  <si>
    <t xml:space="preserve">|66293'~ </t>
  </si>
  <si>
    <t>Make lift lugs, ground lugs, etc.</t>
  </si>
  <si>
    <t xml:space="preserve">|66294,~ </t>
  </si>
  <si>
    <t>Fabricate miscellaneous parts_x000D_
VORTEX BREAKER &amp; (2) WEAR PADS</t>
  </si>
  <si>
    <t xml:space="preserve">|662951~ </t>
  </si>
  <si>
    <t>Wrap Top &amp; Bottom Heads</t>
  </si>
  <si>
    <t>.300</t>
  </si>
  <si>
    <t>Wrap top and bottom heads</t>
  </si>
  <si>
    <t xml:space="preserve">|662966~ </t>
  </si>
  <si>
    <t xml:space="preserve">|66297;~ </t>
  </si>
  <si>
    <t>Shells: bring in plate, square, trim and clean</t>
  </si>
  <si>
    <t xml:space="preserve">|66298@~ </t>
  </si>
  <si>
    <t>Roll shells, tack and weld inside seams_x000D_
WELD OUTSIDE SEAM W/COBOT</t>
  </si>
  <si>
    <t xml:space="preserve">|66299E~ </t>
  </si>
  <si>
    <t>Install Body Flg-Shell</t>
  </si>
  <si>
    <t>.325</t>
  </si>
  <si>
    <t>Install body flange on shell - tack</t>
  </si>
  <si>
    <t xml:space="preserve">|66300^~ </t>
  </si>
  <si>
    <t>Weld Body Flg Shell</t>
  </si>
  <si>
    <t>.326</t>
  </si>
  <si>
    <t>Weld Body Flange on Shell</t>
  </si>
  <si>
    <t xml:space="preserve">|66301c~ </t>
  </si>
  <si>
    <t xml:space="preserve">|66302h~ </t>
  </si>
  <si>
    <t>Lay out top head, burn and clean holes_x000D_
CUT HOLES ON BURN TABLE</t>
  </si>
  <si>
    <t xml:space="preserve">|66303m~ </t>
  </si>
  <si>
    <t>Set  nozzles, lift lugs, etc. in top head - tack_x000D_
INCL (1) LIFT LUG</t>
  </si>
  <si>
    <t xml:space="preserve">|66304r~ </t>
  </si>
  <si>
    <t>Weld out top head nozzles, etc. _x000D_
INCL (1) LIFT LUG</t>
  </si>
  <si>
    <t xml:space="preserve">|66305w~ </t>
  </si>
  <si>
    <t>Install and weld out repads - top head</t>
  </si>
  <si>
    <t xml:space="preserve">|66306¢~ </t>
  </si>
  <si>
    <t>Install Top Stiffeners</t>
  </si>
  <si>
    <t>.375</t>
  </si>
  <si>
    <t>Install top stiffeners_x000D_
INSTALL (4) GUSSETS FOR N7</t>
  </si>
  <si>
    <t xml:space="preserve">|66307§~ </t>
  </si>
  <si>
    <t>Install Body Flange - Top</t>
  </si>
  <si>
    <t>.382</t>
  </si>
  <si>
    <t>Install body flange on top head;  tack</t>
  </si>
  <si>
    <t xml:space="preserve">|66308¬~ </t>
  </si>
  <si>
    <t>Weld Body Flg-Top W/C</t>
  </si>
  <si>
    <t>.383</t>
  </si>
  <si>
    <t>Weld body flange - top head</t>
  </si>
  <si>
    <t xml:space="preserve">|66309$~ </t>
  </si>
  <si>
    <t>Polish I/S Weld Seam-Top</t>
  </si>
  <si>
    <t>.395</t>
  </si>
  <si>
    <t>Polish inside weld seams - top head</t>
  </si>
  <si>
    <t xml:space="preserve">|66310b~ </t>
  </si>
  <si>
    <t xml:space="preserve">|66311g~ </t>
  </si>
  <si>
    <t>Lay out bottom head, burn and clean holes_x000D_
CUT HOLES ON BURN TABLE</t>
  </si>
  <si>
    <t xml:space="preserve">|66312l~ </t>
  </si>
  <si>
    <t>Set Nozzles - Bottom Head</t>
  </si>
  <si>
    <t>.465</t>
  </si>
  <si>
    <t>Set  nozzles in bottom head - tack_x000D_
INCL VORTEX BREAKER</t>
  </si>
  <si>
    <t xml:space="preserve">|66313q~ </t>
  </si>
  <si>
    <t>Weld Nozzles - Bot. Head</t>
  </si>
  <si>
    <t>.466</t>
  </si>
  <si>
    <t>Weld nozzles in bottom head; weld complete_x000D_
INCL VORTEX BREAKER</t>
  </si>
  <si>
    <t xml:space="preserve">|66314v~ </t>
  </si>
  <si>
    <t>Polish I/S Weld Seam-Btm</t>
  </si>
  <si>
    <t>.495</t>
  </si>
  <si>
    <t>Polish inside weld seams - bottom head_x000D_
INCL WEAR PADS</t>
  </si>
  <si>
    <t xml:space="preserve">|66315¡~ </t>
  </si>
  <si>
    <t>ASME Hold Point</t>
  </si>
  <si>
    <t>.OI1</t>
  </si>
  <si>
    <t xml:space="preserve">|66316¦~ </t>
  </si>
  <si>
    <t>Fit bottom head to shell_x000D_
AND WELD INSIDE</t>
  </si>
  <si>
    <t xml:space="preserve">|66317«~ </t>
  </si>
  <si>
    <t>Lay out shell, burn and clean holes_x000D_
ON BURN TABLE</t>
  </si>
  <si>
    <t xml:space="preserve">|66318#~ </t>
  </si>
  <si>
    <t>Polish I/S Weld Seam-Shl</t>
  </si>
  <si>
    <t>.638</t>
  </si>
  <si>
    <t>Polish inside weld seams - shell</t>
  </si>
  <si>
    <t xml:space="preserve">|66319(~ </t>
  </si>
  <si>
    <t xml:space="preserve">|66320f~ </t>
  </si>
  <si>
    <t>Fit top head to shell - tack</t>
  </si>
  <si>
    <t xml:space="preserve">|66321k~ </t>
  </si>
  <si>
    <t>Weld top to shell</t>
  </si>
  <si>
    <t>.641</t>
  </si>
  <si>
    <t>Weld top head to shell - inside_x000D_
MAKE FULL PEN WELD FROM OUTSIDE</t>
  </si>
  <si>
    <t xml:space="preserve">|66322p~ </t>
  </si>
  <si>
    <t xml:space="preserve">|66323u~ </t>
  </si>
  <si>
    <t xml:space="preserve">|66324z~ </t>
  </si>
  <si>
    <t>Install Insul/Vac Rings</t>
  </si>
  <si>
    <t>.715</t>
  </si>
  <si>
    <t>Install insulation/vacuum rings - tack_x000D_
(2) INSULATION RINGS</t>
  </si>
  <si>
    <t xml:space="preserve">|66325¥~ </t>
  </si>
  <si>
    <t>Install supports - legs, lugs, anchors, saddles, skirt_x000D_
AND WELD COMPLETE</t>
  </si>
  <si>
    <t xml:space="preserve">|66326ª~ </t>
  </si>
  <si>
    <t>Set nozzles in shell - tack_x000D_
AND WELD</t>
  </si>
  <si>
    <t xml:space="preserve">|66327"~ </t>
  </si>
  <si>
    <t xml:space="preserve">|66328'~ </t>
  </si>
  <si>
    <t xml:space="preserve">|66329,~ </t>
  </si>
  <si>
    <t xml:space="preserve">|66330j~ </t>
  </si>
  <si>
    <t xml:space="preserve">|66331o~ </t>
  </si>
  <si>
    <t xml:space="preserve">|66332t~ </t>
  </si>
  <si>
    <t>ASME Inspection Test</t>
  </si>
  <si>
    <t>.OI3</t>
  </si>
  <si>
    <t xml:space="preserve">|66333y~ </t>
  </si>
  <si>
    <t xml:space="preserve">|66334¤~ </t>
  </si>
  <si>
    <t xml:space="preserve">|66335©~ </t>
  </si>
  <si>
    <t>Prepare Tank for Shipment</t>
  </si>
  <si>
    <t>.940</t>
  </si>
  <si>
    <t>Prepare tank for shipment</t>
  </si>
  <si>
    <t xml:space="preserve">|66336!~ </t>
  </si>
  <si>
    <t xml:space="preserve">|66337&amp;~ </t>
  </si>
  <si>
    <t xml:space="preserve">|66338+~ </t>
  </si>
  <si>
    <t>Materials</t>
  </si>
  <si>
    <t>Picks</t>
  </si>
  <si>
    <t>Material</t>
  </si>
  <si>
    <t>Primary</t>
  </si>
  <si>
    <t>Requirement Key</t>
  </si>
  <si>
    <t>Location</t>
  </si>
  <si>
    <t>Quantity</t>
  </si>
  <si>
    <t>Detail Number:</t>
  </si>
  <si>
    <t>Buys</t>
  </si>
  <si>
    <t>Material
Description</t>
  </si>
  <si>
    <t>Vendor</t>
  </si>
  <si>
    <t>PO</t>
  </si>
  <si>
    <t>Qty</t>
  </si>
  <si>
    <t>FLANGE 36"150#RFWN SERIES-B B16.47 WITH35-5/8"BORE</t>
  </si>
  <si>
    <t xml:space="preserve">|35618'~ </t>
  </si>
  <si>
    <t>SA182F-316/316L</t>
  </si>
  <si>
    <t>______________</t>
  </si>
  <si>
    <t>40223</t>
  </si>
  <si>
    <t>HEAD</t>
  </si>
  <si>
    <t xml:space="preserve">|35619,~ </t>
  </si>
  <si>
    <t>Build Head to Specifications</t>
  </si>
  <si>
    <t>40225</t>
  </si>
  <si>
    <t>PLT 316L 3/16 X 60 X</t>
  </si>
  <si>
    <t xml:space="preserve">|35620j~ </t>
  </si>
  <si>
    <t>Plate 316L 3/16"x 60"x</t>
  </si>
  <si>
    <t>SA240-316/316L</t>
  </si>
  <si>
    <t>40226</t>
  </si>
  <si>
    <t>EST. FUEL SURCHARGE</t>
  </si>
  <si>
    <t xml:space="preserve">|35621o~ </t>
  </si>
  <si>
    <t>BOLT 5/8" - 11NC X 3" HH</t>
  </si>
  <si>
    <t xml:space="preserve">|39122m~ </t>
  </si>
  <si>
    <t>SA193-B7 (ZINC PLATED)</t>
  </si>
  <si>
    <t>40402</t>
  </si>
  <si>
    <t>STUD 7/8" - 9NC HH</t>
  </si>
  <si>
    <t xml:space="preserve">|39123r~ </t>
  </si>
  <si>
    <t>SA194-2H (ZINC PLATED)</t>
  </si>
  <si>
    <t>STUD 7/8" - 9NC X 7" FULL THREADED</t>
  </si>
  <si>
    <t xml:space="preserve">|39124w~ </t>
  </si>
  <si>
    <t>NUT, 5/8" - 11NC HH</t>
  </si>
  <si>
    <t xml:space="preserve">|39125¢~ </t>
  </si>
  <si>
    <t>NUT 7/8" - 9NC HH</t>
  </si>
  <si>
    <t xml:space="preserve">|39126§~ </t>
  </si>
  <si>
    <t>GASKET RING 1/8X3 150#</t>
  </si>
  <si>
    <t xml:space="preserve">|39127¬~ </t>
  </si>
  <si>
    <t>Gasket Ring 1/8"x3" 150#</t>
  </si>
  <si>
    <t>40403</t>
  </si>
  <si>
    <t>GASKET</t>
  </si>
  <si>
    <t xml:space="preserve">|39128$~ </t>
  </si>
  <si>
    <t>As Specified</t>
  </si>
  <si>
    <t>'FREIGHT</t>
  </si>
  <si>
    <t xml:space="preserve">|39129)~ </t>
  </si>
  <si>
    <t>40443</t>
  </si>
  <si>
    <t>PLT 316L 1/4 X 48 X</t>
  </si>
  <si>
    <t xml:space="preserve">|39130g~ </t>
  </si>
  <si>
    <t>Plate 316L 1/4"x 48"x</t>
  </si>
  <si>
    <t>SA240-316/316L_x000D_
208"</t>
  </si>
  <si>
    <t>40404</t>
  </si>
  <si>
    <t>EST FUEL SURCHARGE</t>
  </si>
  <si>
    <t xml:space="preserve">|39131l~ </t>
  </si>
  <si>
    <t>PIPE 316L 2 SC40 WLD X</t>
  </si>
  <si>
    <t xml:space="preserve">|39136«~ </t>
  </si>
  <si>
    <t>Pipe 316L 2" Sch40 Welded</t>
  </si>
  <si>
    <t>SA312-316/316L</t>
  </si>
  <si>
    <t>40406</t>
  </si>
  <si>
    <t>FLANGE 316L 2"150 RFSO</t>
  </si>
  <si>
    <t xml:space="preserve">|39137#~ </t>
  </si>
  <si>
    <t>Flange 316L 2" 150# RFSO</t>
  </si>
  <si>
    <t>SA182F-316/316L B16.5</t>
  </si>
  <si>
    <t>CPLG 316L 1/2 3000 FULL THRD</t>
  </si>
  <si>
    <t xml:space="preserve">|39138(~ </t>
  </si>
  <si>
    <t>Coupling 316L 1/2"3000 Full Th</t>
  </si>
  <si>
    <t>SA182F-316/316L B16.11</t>
  </si>
  <si>
    <t>STUDPAD 316L 3"150 STD</t>
  </si>
  <si>
    <t xml:space="preserve">|39139-~ </t>
  </si>
  <si>
    <t>Studpad 316L 3" 150# Std</t>
  </si>
  <si>
    <t>FLANGE 316L 3/4"150 RFSO</t>
  </si>
  <si>
    <t xml:space="preserve">|39140k~ </t>
  </si>
  <si>
    <t>Flange 316L 3/4" 150# RFSO</t>
  </si>
  <si>
    <t>FLANGE 316L 1.5"150 RFSO</t>
  </si>
  <si>
    <t xml:space="preserve">|39141p~ </t>
  </si>
  <si>
    <t>Flange 316L 1.5" 150# RFSO</t>
  </si>
  <si>
    <t>FLANGE 316L 3"150 BLIND</t>
  </si>
  <si>
    <t xml:space="preserve">|39142u~ </t>
  </si>
  <si>
    <t>Flange 316L 3" 150# BLIND</t>
  </si>
  <si>
    <t>FLANGE 316L 3"150 RFSO</t>
  </si>
  <si>
    <t xml:space="preserve">|39143z~ </t>
  </si>
  <si>
    <t>Flange 316L 3" 150# RFSO</t>
  </si>
  <si>
    <t>FLANGE 316L 4"150 RFSO</t>
  </si>
  <si>
    <t xml:space="preserve">|39144¥~ </t>
  </si>
  <si>
    <t>Flange 316L 4" 150# RFSO</t>
  </si>
  <si>
    <t>TOE PIPE 316L 1/2 SC40 WLD X</t>
  </si>
  <si>
    <t xml:space="preserve">|39145ª~ </t>
  </si>
  <si>
    <t>TOE Pipe 316L 1/2" Sch40 Welded</t>
  </si>
  <si>
    <t>PIPE 316L 1 SC40 WLD X</t>
  </si>
  <si>
    <t xml:space="preserve">|39146"~ </t>
  </si>
  <si>
    <t>Pipe 316L 1" Sch40 Welded</t>
  </si>
  <si>
    <t>PIPE 316L 3/4 SC40 WLD X</t>
  </si>
  <si>
    <t xml:space="preserve">|39147'~ </t>
  </si>
  <si>
    <t>Pipe 316L 3/4" Sch40 Welded</t>
  </si>
  <si>
    <t>PIPE 316L 1.5 SC40 WLD X</t>
  </si>
  <si>
    <t xml:space="preserve">|39148,~ </t>
  </si>
  <si>
    <t>Pipe 316L 1.5" Sch40 Welded</t>
  </si>
  <si>
    <t>PIPE 316L 3 SC40 WLD X</t>
  </si>
  <si>
    <t xml:space="preserve">|391491~ </t>
  </si>
  <si>
    <t>Pipe 316L 3" Sch40 Welded</t>
  </si>
  <si>
    <t>PIPE 316L 4 SC40 WLD X</t>
  </si>
  <si>
    <t xml:space="preserve">|39150o~ </t>
  </si>
  <si>
    <t>Pipe 316L 4" Sch40 Welded</t>
  </si>
  <si>
    <t>FLANGE 316L 1"150 RFSO</t>
  </si>
  <si>
    <t xml:space="preserve">|39151t~ </t>
  </si>
  <si>
    <t>Flange 316L 1" 150# RFSO</t>
  </si>
  <si>
    <t>WELD-IN THERMOWELL</t>
  </si>
  <si>
    <t xml:space="preserve">|39350u~ </t>
  </si>
  <si>
    <t>WIL12316P1T</t>
  </si>
  <si>
    <t>CC FEES</t>
  </si>
  <si>
    <t xml:space="preserve">|39355'~ </t>
  </si>
  <si>
    <t xml:space="preserve">Components </t>
  </si>
  <si>
    <t>Job</t>
  </si>
  <si>
    <t>Rev</t>
  </si>
  <si>
    <t>Total Est Hrs</t>
  </si>
  <si>
    <t>Make Qty</t>
  </si>
  <si>
    <t>Services</t>
  </si>
  <si>
    <t>Service</t>
  </si>
  <si>
    <t>110-25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</si>
</sst>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3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407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|25-110H~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.107</v>
      </c>
      <c r="D14" s="22" t="str">
        <f>'Sheet2-PASTE HERE!'!K24</f>
        <v>Build Repads for Nozzles, drill and tap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.110</v>
      </c>
      <c r="D15" s="22" t="str">
        <f>'Sheet2-PASTE HERE!'!K25</f>
        <v>Build dip tubes and weld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6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VORTEX BREAKER &amp; (2) WEAR PADS</v>
      </c>
      <c r="E20" s="13">
        <f>'Sheet2-PASTE HERE!'!F30</f>
        <v>2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.300</v>
      </c>
      <c r="D21" s="22" t="str">
        <f>'Sheet2-PASTE HERE!'!K31</f>
        <v>Wrap top and bottom heads</v>
      </c>
      <c r="E21" s="13">
        <f>'Sheet2-PASTE HERE!'!F31</f>
        <v>1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WELD OUTSIDE SEAM W/COBOT</v>
      </c>
      <c r="E24" s="13">
        <f>'Sheet2-PASTE HERE!'!F34</f>
        <v>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.325</v>
      </c>
      <c r="D25" s="22" t="str">
        <f>'Sheet2-PASTE HERE!'!K35</f>
        <v>Install body flange on shell - tack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.326</v>
      </c>
      <c r="D26" s="22" t="str">
        <f>'Sheet2-PASTE HERE!'!K36</f>
        <v>Weld Body Flange on Shell</v>
      </c>
      <c r="E26" s="13">
        <f>'Sheet2-PASTE HERE!'!F36</f>
        <v>4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CUT HOLES ON BURN TABLE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tack_x000D_
INCL (1) LIFT LUG</v>
      </c>
      <c r="E29" s="13">
        <f>'Sheet2-PASTE HERE!'!F39</f>
        <v>6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INCL (1) LIFT LUG</v>
      </c>
      <c r="E30" s="13">
        <f>'Sheet2-PASTE HERE!'!F40</f>
        <v>8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1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INSTALL (4) GUSSETS FOR N7</v>
      </c>
      <c r="E32" s="13">
        <f>'Sheet2-PASTE HERE!'!F42</f>
        <v>2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.382</v>
      </c>
      <c r="D33" s="22" t="str">
        <f>'Sheet2-PASTE HERE!'!K43</f>
        <v>Install body flange on top head;  tack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.383</v>
      </c>
      <c r="D34" s="22" t="str">
        <f>'Sheet2-PASTE HERE!'!K44</f>
        <v>Weld body flange - top head</v>
      </c>
      <c r="E34" s="13">
        <f>'Sheet2-PASTE HERE!'!F44</f>
        <v>4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.395</v>
      </c>
      <c r="D35" s="22" t="str">
        <f>'Sheet2-PASTE HERE!'!K45</f>
        <v>Polish inside weld seams - top head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2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.455</v>
      </c>
      <c r="D37" s="22" t="str">
        <f>'Sheet2-PASTE HERE!'!K47</f>
        <v>Lay out bottom head, burn and clean holes_x000D_
CUT HOLES ON BURN TABLE</v>
      </c>
      <c r="E37" s="13">
        <f>'Sheet2-PASTE HERE!'!F47</f>
        <v>1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.465</v>
      </c>
      <c r="D38" s="22" t="str">
        <f>'Sheet2-PASTE HERE!'!K48</f>
        <v>Set  nozzles in bottom head - tack_x000D_
INCL VORTEX BREAKER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.466</v>
      </c>
      <c r="D39" s="22" t="str">
        <f>'Sheet2-PASTE HERE!'!K49</f>
        <v>Weld nozzles in bottom head; weld complete_x000D_
INCL VORTEX BREAKER</v>
      </c>
      <c r="E39" s="13">
        <f>'Sheet2-PASTE HERE!'!F49</f>
        <v>3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.495</v>
      </c>
      <c r="D40" s="22" t="str">
        <f>'Sheet2-PASTE HERE!'!K50</f>
        <v>Polish inside weld seams - bottom head_x000D_
INCL WEAR PADS</v>
      </c>
      <c r="E40" s="13">
        <f>'Sheet2-PASTE HERE!'!F50</f>
        <v>3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.OI1</v>
      </c>
      <c r="D41" s="22" t="str">
        <f>'Sheet2-PASTE HERE!'!K51</f>
        <v>ASME Hold Point</v>
      </c>
      <c r="E41" s="13">
        <f>'Sheet2-PASTE HERE!'!F51</f>
        <v>0</v>
      </c>
      <c r="F41" s="12"/>
      <c r="G41" s="12"/>
      <c r="H41" s="12"/>
      <c r="K41">
        <f t="shared" si="2"/>
        <v>1</v>
      </c>
      <c r="L41">
        <f t="shared" si="1"/>
        <v>1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.600</v>
      </c>
      <c r="D42" s="22" t="str">
        <f>'Sheet2-PASTE HERE!'!K52</f>
        <v>Fit bottom head to shell_x000D_
AND WELD INSIDE</v>
      </c>
      <c r="E42" s="13">
        <f>'Sheet2-PASTE HERE!'!F52</f>
        <v>5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.620</v>
      </c>
      <c r="D43" s="22" t="str">
        <f>'Sheet2-PASTE HERE!'!K53</f>
        <v>Lay out shell, burn and clean holes_x000D_
ON BURN TABLE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.638</v>
      </c>
      <c r="D44" s="22" t="str">
        <f>'Sheet2-PASTE HERE!'!K54</f>
        <v>Polish inside weld seams - shell</v>
      </c>
      <c r="E44" s="13">
        <f>'Sheet2-PASTE HERE!'!F54</f>
        <v>3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MAKE FULL PEN WELD FROM OUTSIDE</v>
      </c>
      <c r="E47" s="13">
        <f>'Sheet2-PASTE HERE!'!F57</f>
        <v>5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</v>
      </c>
      <c r="E48" s="13">
        <f>'Sheet2-PASTE HERE!'!F58</f>
        <v>3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1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.715</v>
      </c>
      <c r="D50" s="22" t="str">
        <f>'Sheet2-PASTE HERE!'!K60</f>
        <v>Install insulation/vacuum rings - tack_x000D_
(2) INSULATION RINGS</v>
      </c>
      <c r="E50" s="13">
        <f>'Sheet2-PASTE HERE!'!F60</f>
        <v>6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.720</v>
      </c>
      <c r="D51" s="22" t="str">
        <f>'Sheet2-PASTE HERE!'!K61</f>
        <v>Install supports - legs, lugs, anchors, saddles, skirt_x000D_
AND WELD COMPLETE</v>
      </c>
      <c r="E51" s="13">
        <f>'Sheet2-PASTE HERE!'!F61</f>
        <v>8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.725</v>
      </c>
      <c r="D52" s="22" t="str">
        <f>'Sheet2-PASTE HERE!'!K62</f>
        <v>Set nozzles in shell - tack_x000D_
AND WELD</v>
      </c>
      <c r="E52" s="13">
        <f>'Sheet2-PASTE HERE!'!F62</f>
        <v>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.910</v>
      </c>
      <c r="D56" s="22" t="str">
        <f>'Sheet2-PASTE HERE!'!K66</f>
        <v>Test tank</v>
      </c>
      <c r="E56" s="13">
        <f>'Sheet2-PASTE HERE!'!F66</f>
        <v>10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.OI3</v>
      </c>
      <c r="D58" s="22" t="str">
        <f>'Sheet2-PASTE HERE!'!K68</f>
        <v>ASME Inspection Test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1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.920</v>
      </c>
      <c r="D59" s="22" t="str">
        <f>'Sheet2-PASTE HERE!'!K69</f>
        <v>Clean tank complete</v>
      </c>
      <c r="E59" s="13">
        <f>'Sheet2-PASTE HERE!'!F69</f>
        <v>8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.QC8</v>
      </c>
      <c r="D60" s="22" t="str">
        <f>'Sheet2-PASTE HERE!'!K70</f>
        <v>QC Inspection - Clean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.940</v>
      </c>
      <c r="D61" s="22" t="str">
        <f>'Sheet2-PASTE HERE!'!K71</f>
        <v>Prepare tank for shipment</v>
      </c>
      <c r="E61" s="13">
        <f>'Sheet2-PASTE HERE!'!F71</f>
        <v>1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2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 t="str">
        <f>'Sheet2-PASTE HERE!'!I79</f>
        <v>Location</v>
      </c>
      <c r="D69" s="22" t="str">
        <f>'Sheet2-PASTE HERE!'!K79</f>
        <v/>
      </c>
      <c r="E69" s="13" t="str">
        <f>'Sheet2-PASTE HERE!'!F79</f>
        <v>Due Date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/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 t="str">
        <f>'Sheet2-PASTE HERE!'!I85</f>
        <v>Quantity</v>
      </c>
      <c r="D75" s="22" t="str">
        <f>'Sheet2-PASTE HERE!'!K85</f>
        <v>Name</v>
      </c>
      <c r="E75" s="13" t="str">
        <f>'Sheet2-PASTE HERE!'!F85</f>
        <v>Vendor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35618</v>
      </c>
      <c r="B76" s="11"/>
      <c r="C76" s="17" t="str">
        <f>'Sheet2-PASTE HERE!'!I86</f>
        <v>______________</v>
      </c>
      <c r="D76" s="22">
        <f>'Sheet2-PASTE HERE!'!K86</f>
        <v>0</v>
      </c>
      <c r="E76" s="13" t="str">
        <f>'Sheet2-PASTE HERE!'!F86</f>
        <v>SA182F-316/316L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40223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35619</v>
      </c>
      <c r="B79" s="11"/>
      <c r="C79" s="17" t="str">
        <f>'Sheet2-PASTE HERE!'!I89</f>
        <v>______________</v>
      </c>
      <c r="D79" s="22">
        <f>'Sheet2-PASTE HERE!'!K89</f>
        <v>0</v>
      </c>
      <c r="E79" s="13" t="str">
        <f>'Sheet2-PASTE HERE!'!F89</f>
        <v>Build Head to Specifications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40225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35620</v>
      </c>
      <c r="B82" s="11"/>
      <c r="C82" s="17" t="str">
        <f>'Sheet2-PASTE HERE!'!I92</f>
        <v>______________</v>
      </c>
      <c r="D82" s="22">
        <f>'Sheet2-PASTE HERE!'!K92</f>
        <v>0</v>
      </c>
      <c r="E82" s="13" t="str">
        <f>'Sheet2-PASTE HERE!'!F92</f>
        <v>Plate 316L 3/16"x 60"x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SA240-316/316L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40226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35621</v>
      </c>
      <c r="B86" s="11"/>
      <c r="C86" s="17" t="str">
        <f>'Sheet2-PASTE HERE!'!I96</f>
        <v>______________</v>
      </c>
      <c r="D86" s="22">
        <f>'Sheet2-PASTE HERE!'!K96</f>
        <v>0</v>
      </c>
      <c r="E86" s="13" t="str">
        <f>'Sheet2-PASTE HERE!'!F96</f>
        <v/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40226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39122</v>
      </c>
      <c r="B89" s="11"/>
      <c r="C89" s="17" t="str">
        <f>'Sheet2-PASTE HERE!'!I99</f>
        <v>______________</v>
      </c>
      <c r="D89" s="22">
        <f>'Sheet2-PASTE HERE!'!K99</f>
        <v>0</v>
      </c>
      <c r="E89" s="13" t="str">
        <f>'Sheet2-PASTE HERE!'!F99</f>
        <v>SA193-B7 (ZINC PLATED)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 t="str">
        <f>'Sheet2-PASTE HERE!'!A100</f>
        <v>40402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39123</v>
      </c>
      <c r="B92" s="11"/>
      <c r="C92" s="17" t="str">
        <f>'Sheet2-PASTE HERE!'!I102</f>
        <v>______________</v>
      </c>
      <c r="D92" s="22">
        <f>'Sheet2-PASTE HERE!'!K102</f>
        <v>0</v>
      </c>
      <c r="E92" s="13" t="str">
        <f>'Sheet2-PASTE HERE!'!F102</f>
        <v>SA194-2H (ZINC PLATED)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39124</v>
      </c>
      <c r="B95" s="11"/>
      <c r="C95" s="17" t="str">
        <f>'Sheet2-PASTE HERE!'!I105</f>
        <v>______________</v>
      </c>
      <c r="D95" s="22">
        <f>'Sheet2-PASTE HERE!'!K105</f>
        <v>0</v>
      </c>
      <c r="E95" s="13" t="str">
        <f>'Sheet2-PASTE HERE!'!F105</f>
        <v>SA193-B7 (ZINC PLATED)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 t="str">
        <f>'Sheet2-PASTE HERE!'!A106</f>
        <v>40402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39125</v>
      </c>
      <c r="B98" s="11"/>
      <c r="C98" s="17" t="str">
        <f>'Sheet2-PASTE HERE!'!I108</f>
        <v>______________</v>
      </c>
      <c r="D98" s="22">
        <f>'Sheet2-PASTE HERE!'!K108</f>
        <v>0</v>
      </c>
      <c r="E98" s="13" t="str">
        <f>'Sheet2-PASTE HERE!'!F108</f>
        <v>SA194-2H (ZINC PLATED)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 t="str">
        <f>'Sheet2-PASTE HERE!'!A109</f>
        <v>40402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407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 xml:space="preserve">|25-110H~ </v>
      </c>
      <c r="E2" s="4"/>
      <c r="F2" s="6" t="s">
        <v>8</v>
      </c>
      <c r="G2" s="7" t="str">
        <f>'Sheet2-PASTE HERE!'!A13</f>
        <v/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>
        <f>'Sheet2-PASTE HERE!'!A17</f>
        <v>0</v>
      </c>
      <c r="B7" s="11"/>
      <c r="C7" s="17">
        <f>'Sheet2-PASTE HERE!'!I17</f>
        <v>0</v>
      </c>
      <c r="D7" s="22">
        <f>'Sheet2-PASTE HERE!'!K17</f>
        <v>0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>
        <f>'Sheet2-PASTE HERE!'!A18</f>
        <v>0</v>
      </c>
      <c r="B8" s="11"/>
      <c r="C8" s="17">
        <f>'Sheet2-PASTE HERE!'!I18</f>
        <v>0</v>
      </c>
      <c r="D8" s="22">
        <f>'Sheet2-PASTE HERE!'!K18</f>
        <v>0</v>
      </c>
      <c r="E8" s="13">
        <f>'Sheet2-PASTE HERE!'!F18</f>
        <v>0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>
        <f>'Sheet2-PASTE HERE!'!A19</f>
        <v>0</v>
      </c>
      <c r="B9" s="11"/>
      <c r="C9" s="17" t="str">
        <f>'Sheet2-PASTE HERE!'!I19</f>
        <v>Description</v>
      </c>
      <c r="D9" s="22" t="str">
        <f>'Sheet2-PASTE HERE!'!K19</f>
        <v>Run Rate</v>
      </c>
      <c r="E9" s="13" t="str">
        <f>'Sheet2-PASTE HERE!'!F19</f>
        <v>Oper/Serv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.010</v>
      </c>
      <c r="D10" s="22" t="str">
        <f>'Sheet2-PASTE HERE!'!K20</f>
        <v>Receive Material</v>
      </c>
      <c r="E10" s="13">
        <f>'Sheet2-PASTE HERE!'!F20</f>
        <v>0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INSPECTION</v>
      </c>
      <c r="B11" s="11"/>
      <c r="C11" s="17" t="str">
        <f>'Sheet2-PASTE HERE!'!I21</f>
        <v>.QC1</v>
      </c>
      <c r="D11" s="22" t="str">
        <f>'Sheet2-PASTE HERE!'!K21</f>
        <v>UT top and bottom heads</v>
      </c>
      <c r="E11" s="13">
        <f>'Sheet2-PASTE HERE!'!F21</f>
        <v>0</v>
      </c>
      <c r="F11" s="12"/>
      <c r="G11" s="12"/>
      <c r="H11" s="12"/>
      <c r="K11">
        <f t="shared" si="0"/>
        <v>1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.100</v>
      </c>
      <c r="D12" s="22" t="str">
        <f>'Sheet2-PASTE HERE!'!K22</f>
        <v>Cut nozzle pipe and clean</v>
      </c>
      <c r="E12" s="13">
        <f>'Sheet2-PASTE HERE!'!F22</f>
        <v>5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.105</v>
      </c>
      <c r="D13" s="22" t="str">
        <f>'Sheet2-PASTE HERE!'!K23</f>
        <v>Build nozzles and weld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.107</v>
      </c>
      <c r="D14" s="22" t="str">
        <f>'Sheet2-PASTE HERE!'!K24</f>
        <v>Build Repads for Nozzles, drill and tap holes</v>
      </c>
      <c r="E14" s="13">
        <f>'Sheet2-PASTE HERE!'!F24</f>
        <v>1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.110</v>
      </c>
      <c r="D15" s="22" t="str">
        <f>'Sheet2-PASTE HERE!'!K25</f>
        <v>Build dip tubes and weld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.155</v>
      </c>
      <c r="D16" s="22" t="str">
        <f>'Sheet2-PASTE HERE!'!K26</f>
        <v>Burn and clean parts:  lugs, supports, repads, base ring, etc. (CHECK!)</v>
      </c>
      <c r="E16" s="13">
        <f>'Sheet2-PASTE HERE!'!F26</f>
        <v>10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.156</v>
      </c>
      <c r="D17" s="22" t="str">
        <f>'Sheet2-PASTE HERE!'!K27</f>
        <v/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.165</v>
      </c>
      <c r="D18" s="22" t="str">
        <f>'Sheet2-PASTE HERE!'!K28</f>
        <v>Build supports: legs, lugs, saddles_x000D_
TACK ONLY</v>
      </c>
      <c r="E18" s="13">
        <f>'Sheet2-PASTE HERE!'!F28</f>
        <v>6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.200</v>
      </c>
      <c r="D19" s="22" t="str">
        <f>'Sheet2-PASTE HERE!'!K29</f>
        <v>Make lift lugs, ground lugs, etc.</v>
      </c>
      <c r="E19" s="13">
        <f>'Sheet2-PASTE HERE!'!F29</f>
        <v>2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.252</v>
      </c>
      <c r="D20" s="22" t="str">
        <f>'Sheet2-PASTE HERE!'!K30</f>
        <v>Fabricate miscellaneous parts_x000D_
VORTEX BREAKER &amp; (2) WEAR PADS</v>
      </c>
      <c r="E20" s="13">
        <f>'Sheet2-PASTE HERE!'!F30</f>
        <v>2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.300</v>
      </c>
      <c r="D21" s="22" t="str">
        <f>'Sheet2-PASTE HERE!'!K31</f>
        <v>Wrap top and bottom heads</v>
      </c>
      <c r="E21" s="13">
        <f>'Sheet2-PASTE HERE!'!F31</f>
        <v>1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.QC3</v>
      </c>
      <c r="D22" s="22" t="str">
        <f>'Sheet2-PASTE HERE!'!K32</f>
        <v>UT Shells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.305</v>
      </c>
      <c r="D23" s="22" t="str">
        <f>'Sheet2-PASTE HERE!'!K33</f>
        <v>Shells: bring in plate, square, trim and clean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.315</v>
      </c>
      <c r="D24" s="22" t="str">
        <f>'Sheet2-PASTE HERE!'!K34</f>
        <v>Roll shells, tack and weld inside seams_x000D_
WELD OUTSIDE SEAM W/COBOT</v>
      </c>
      <c r="E24" s="13">
        <f>'Sheet2-PASTE HERE!'!F34</f>
        <v>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FIT</v>
      </c>
      <c r="B25" s="11"/>
      <c r="C25" s="17" t="str">
        <f>'Sheet2-PASTE HERE!'!I35</f>
        <v>.325</v>
      </c>
      <c r="D25" s="22" t="str">
        <f>'Sheet2-PASTE HERE!'!K35</f>
        <v>Install body flange on shell - tack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.326</v>
      </c>
      <c r="D26" s="22" t="str">
        <f>'Sheet2-PASTE HERE!'!K36</f>
        <v>Weld Body Flange on Shell</v>
      </c>
      <c r="E26" s="13">
        <f>'Sheet2-PASTE HERE!'!F36</f>
        <v>4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.QC4</v>
      </c>
      <c r="D27" s="22" t="str">
        <f>'Sheet2-PASTE HERE!'!K37</f>
        <v>QC Inspection - Top/Bottom/Cones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.355</v>
      </c>
      <c r="D28" s="22" t="str">
        <f>'Sheet2-PASTE HERE!'!K38</f>
        <v>Lay out top head, burn and clean holes_x000D_
CUT HOLES ON BURN TABLE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.365</v>
      </c>
      <c r="D29" s="22" t="str">
        <f>'Sheet2-PASTE HERE!'!K39</f>
        <v>Set  nozzles, lift lugs, etc. in top head - tack_x000D_
INCL (1) LIFT LUG</v>
      </c>
      <c r="E29" s="13">
        <f>'Sheet2-PASTE HERE!'!F39</f>
        <v>6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.366</v>
      </c>
      <c r="D30" s="22" t="str">
        <f>'Sheet2-PASTE HERE!'!K40</f>
        <v>Weld out top head nozzles, etc. _x000D_
INCL (1) LIFT LUG</v>
      </c>
      <c r="E30" s="13">
        <f>'Sheet2-PASTE HERE!'!F40</f>
        <v>8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.370</v>
      </c>
      <c r="D31" s="22" t="str">
        <f>'Sheet2-PASTE HERE!'!K41</f>
        <v>Install and weld out repads - top head</v>
      </c>
      <c r="E31" s="13">
        <f>'Sheet2-PASTE HERE!'!F41</f>
        <v>1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PRE FAB</v>
      </c>
      <c r="B32" s="11"/>
      <c r="C32" s="17" t="str">
        <f>'Sheet2-PASTE HERE!'!I42</f>
        <v>.375</v>
      </c>
      <c r="D32" s="22" t="str">
        <f>'Sheet2-PASTE HERE!'!K42</f>
        <v>Install top stiffeners_x000D_
INSTALL (4) GUSSETS FOR N7</v>
      </c>
      <c r="E32" s="13">
        <f>'Sheet2-PASTE HERE!'!F42</f>
        <v>2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.382</v>
      </c>
      <c r="D33" s="22" t="str">
        <f>'Sheet2-PASTE HERE!'!K43</f>
        <v>Install body flange on top head;  tack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.383</v>
      </c>
      <c r="D34" s="22" t="str">
        <f>'Sheet2-PASTE HERE!'!K44</f>
        <v>Weld body flange - top head</v>
      </c>
      <c r="E34" s="13">
        <f>'Sheet2-PASTE HERE!'!F44</f>
        <v>4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.395</v>
      </c>
      <c r="D35" s="22" t="str">
        <f>'Sheet2-PASTE HERE!'!K45</f>
        <v>Polish inside weld seams - top head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INSPECTION</v>
      </c>
      <c r="B36" s="11"/>
      <c r="C36" s="17" t="str">
        <f>'Sheet2-PASTE HERE!'!I46</f>
        <v>.QC4</v>
      </c>
      <c r="D36" s="22" t="str">
        <f>'Sheet2-PASTE HERE!'!K46</f>
        <v>QC Inspection - Top/Bottom/Cones</v>
      </c>
      <c r="E36" s="13">
        <f>'Sheet2-PASTE HERE!'!F46</f>
        <v>0</v>
      </c>
      <c r="F36" s="12"/>
      <c r="G36" s="12"/>
      <c r="H36" s="12"/>
      <c r="K36">
        <f t="shared" si="0"/>
        <v>1</v>
      </c>
      <c r="L36">
        <f t="shared" si="1"/>
        <v>0</v>
      </c>
    </row>
    <row r="37" spans="1:12" ht="26.25" customHeight="1" x14ac:dyDescent="0.2">
      <c r="A37" s="10" t="str">
        <f>'Sheet2-PASTE HERE!'!A47</f>
        <v>PRE FAB</v>
      </c>
      <c r="B37" s="11"/>
      <c r="C37" s="17" t="str">
        <f>'Sheet2-PASTE HERE!'!I47</f>
        <v>.455</v>
      </c>
      <c r="D37" s="22" t="str">
        <f>'Sheet2-PASTE HERE!'!K47</f>
        <v>Lay out bottom head, burn and clean holes_x000D_
CUT HOLES ON BURN TABLE</v>
      </c>
      <c r="E37" s="13">
        <f>'Sheet2-PASTE HERE!'!F47</f>
        <v>1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.465</v>
      </c>
      <c r="D38" s="22" t="str">
        <f>'Sheet2-PASTE HERE!'!K48</f>
        <v>Set  nozzles in bottom head - tack_x000D_
INCL VORTEX BREAKER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.466</v>
      </c>
      <c r="D39" s="22" t="str">
        <f>'Sheet2-PASTE HERE!'!K49</f>
        <v>Weld nozzles in bottom head; weld complete_x000D_
INCL VORTEX BREAKER</v>
      </c>
      <c r="E39" s="13">
        <f>'Sheet2-PASTE HERE!'!F49</f>
        <v>3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PRE FAB</v>
      </c>
      <c r="B40" s="11"/>
      <c r="C40" s="17" t="str">
        <f>'Sheet2-PASTE HERE!'!I50</f>
        <v>.495</v>
      </c>
      <c r="D40" s="22" t="str">
        <f>'Sheet2-PASTE HERE!'!K50</f>
        <v>Polish inside weld seams - bottom head_x000D_
INCL WEAR PADS</v>
      </c>
      <c r="E40" s="13">
        <f>'Sheet2-PASTE HERE!'!F50</f>
        <v>3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INSPECTION</v>
      </c>
      <c r="B41" s="11"/>
      <c r="C41" s="17" t="str">
        <f>'Sheet2-PASTE HERE!'!I51</f>
        <v>.OI1</v>
      </c>
      <c r="D41" s="22" t="str">
        <f>'Sheet2-PASTE HERE!'!K51</f>
        <v>ASME Hold Point</v>
      </c>
      <c r="E41" s="13">
        <f>'Sheet2-PASTE HERE!'!F51</f>
        <v>0</v>
      </c>
      <c r="F41" s="12"/>
      <c r="G41" s="12"/>
      <c r="H41" s="12"/>
      <c r="K41">
        <f t="shared" si="0"/>
        <v>1</v>
      </c>
      <c r="L41">
        <f t="shared" si="1"/>
        <v>1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.600</v>
      </c>
      <c r="D42" s="22" t="str">
        <f>'Sheet2-PASTE HERE!'!K52</f>
        <v>Fit bottom head to shell_x000D_
AND WELD INSIDE</v>
      </c>
      <c r="E42" s="13">
        <f>'Sheet2-PASTE HERE!'!F52</f>
        <v>5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.620</v>
      </c>
      <c r="D43" s="22" t="str">
        <f>'Sheet2-PASTE HERE!'!K53</f>
        <v>Lay out shell, burn and clean holes_x000D_
ON BURN TABLE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.638</v>
      </c>
      <c r="D44" s="22" t="str">
        <f>'Sheet2-PASTE HERE!'!K54</f>
        <v>Polish inside weld seams - shell</v>
      </c>
      <c r="E44" s="13">
        <f>'Sheet2-PASTE HERE!'!F54</f>
        <v>3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.QC5</v>
      </c>
      <c r="D45" s="22" t="str">
        <f>'Sheet2-PASTE HERE!'!K55</f>
        <v>QC Inspection - Internal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.640</v>
      </c>
      <c r="D46" s="22" t="str">
        <f>'Sheet2-PASTE HERE!'!K56</f>
        <v>Fit top head to shell - tack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.641</v>
      </c>
      <c r="D47" s="22" t="str">
        <f>'Sheet2-PASTE HERE!'!K57</f>
        <v>Weld top head to shell - inside_x000D_
MAKE FULL PEN WELD FROM OUTSIDE</v>
      </c>
      <c r="E47" s="13">
        <f>'Sheet2-PASTE HERE!'!F57</f>
        <v>5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.645</v>
      </c>
      <c r="D48" s="22" t="str">
        <f>'Sheet2-PASTE HERE!'!K58</f>
        <v>Weld all outside seams</v>
      </c>
      <c r="E48" s="13">
        <f>'Sheet2-PASTE HERE!'!F58</f>
        <v>3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MOVE TANK</v>
      </c>
      <c r="B49" s="11"/>
      <c r="C49" s="17" t="str">
        <f>'Sheet2-PASTE HERE!'!I59</f>
        <v>.800</v>
      </c>
      <c r="D49" s="22" t="str">
        <f>'Sheet2-PASTE HERE!'!K59</f>
        <v>Move tank to detail rolls</v>
      </c>
      <c r="E49" s="13">
        <f>'Sheet2-PASTE HERE!'!F59</f>
        <v>1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FIT</v>
      </c>
      <c r="B50" s="11"/>
      <c r="C50" s="17" t="str">
        <f>'Sheet2-PASTE HERE!'!I60</f>
        <v>.715</v>
      </c>
      <c r="D50" s="22" t="str">
        <f>'Sheet2-PASTE HERE!'!K60</f>
        <v>Install insulation/vacuum rings - tack_x000D_
(2) INSULATION RINGS</v>
      </c>
      <c r="E50" s="13">
        <f>'Sheet2-PASTE HERE!'!F60</f>
        <v>6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.720</v>
      </c>
      <c r="D51" s="22" t="str">
        <f>'Sheet2-PASTE HERE!'!K61</f>
        <v>Install supports - legs, lugs, anchors, saddles, skirt_x000D_
AND WELD COMPLETE</v>
      </c>
      <c r="E51" s="13">
        <f>'Sheet2-PASTE HERE!'!F61</f>
        <v>8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.725</v>
      </c>
      <c r="D52" s="22" t="str">
        <f>'Sheet2-PASTE HERE!'!K62</f>
        <v>Set nozzles in shell - tack_x000D_
AND WELD</v>
      </c>
      <c r="E52" s="13">
        <f>'Sheet2-PASTE HERE!'!F62</f>
        <v>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FINISHING</v>
      </c>
      <c r="B53" s="11"/>
      <c r="C53" s="17" t="str">
        <f>'Sheet2-PASTE HERE!'!I63</f>
        <v>.765</v>
      </c>
      <c r="D53" s="22" t="str">
        <f>'Sheet2-PASTE HERE!'!K63</f>
        <v>Install name tag</v>
      </c>
      <c r="E53" s="13">
        <f>'Sheet2-PASTE HERE!'!F63</f>
        <v>1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.770</v>
      </c>
      <c r="D54" s="22" t="str">
        <f>'Sheet2-PASTE HERE!'!K64</f>
        <v>Inspect tank, make repairs, get QC inspector</v>
      </c>
      <c r="E54" s="13">
        <f>'Sheet2-PASTE HERE!'!F64</f>
        <v>1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MOVE TANK</v>
      </c>
      <c r="B55" s="11"/>
      <c r="C55" s="17" t="str">
        <f>'Sheet2-PASTE HERE!'!I65</f>
        <v>.801</v>
      </c>
      <c r="D55" s="22" t="str">
        <f>'Sheet2-PASTE HERE!'!K65</f>
        <v>Move to shop test area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FINISHING</v>
      </c>
      <c r="B56" s="11"/>
      <c r="C56" s="17" t="str">
        <f>'Sheet2-PASTE HERE!'!I66</f>
        <v>.910</v>
      </c>
      <c r="D56" s="22" t="str">
        <f>'Sheet2-PASTE HERE!'!K66</f>
        <v>Test tank</v>
      </c>
      <c r="E56" s="13">
        <f>'Sheet2-PASTE HERE!'!F66</f>
        <v>10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.QC7</v>
      </c>
      <c r="D57" s="22" t="str">
        <f>'Sheet2-PASTE HERE!'!K67</f>
        <v>QC Inspection - Test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.OI3</v>
      </c>
      <c r="D58" s="22" t="str">
        <f>'Sheet2-PASTE HERE!'!K68</f>
        <v>ASME Inspection Test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1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.920</v>
      </c>
      <c r="D59" s="22" t="str">
        <f>'Sheet2-PASTE HERE!'!K69</f>
        <v>Clean tank complete</v>
      </c>
      <c r="E59" s="13">
        <f>'Sheet2-PASTE HERE!'!F69</f>
        <v>8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.QC8</v>
      </c>
      <c r="D60" s="22" t="str">
        <f>'Sheet2-PASTE HERE!'!K70</f>
        <v>QC Inspection - Clean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FINISHING</v>
      </c>
      <c r="B61" s="11"/>
      <c r="C61" s="17" t="str">
        <f>'Sheet2-PASTE HERE!'!I71</f>
        <v>.940</v>
      </c>
      <c r="D61" s="22" t="str">
        <f>'Sheet2-PASTE HERE!'!K71</f>
        <v>Prepare tank for shipment</v>
      </c>
      <c r="E61" s="13">
        <f>'Sheet2-PASTE HERE!'!F71</f>
        <v>1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.QC95</v>
      </c>
      <c r="D62" s="22" t="str">
        <f>'Sheet2-PASTE HERE!'!K72</f>
        <v>QC Inspection - Final &amp; Loose Items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0</v>
      </c>
    </row>
    <row r="63" spans="1:12" ht="26.25" customHeight="1" x14ac:dyDescent="0.2">
      <c r="A63" s="10" t="str">
        <f>'Sheet2-PASTE HERE!'!A73</f>
        <v>SHIPPING</v>
      </c>
      <c r="B63" s="11"/>
      <c r="C63" s="17" t="str">
        <f>'Sheet2-PASTE HERE!'!I73</f>
        <v>.960</v>
      </c>
      <c r="D63" s="22" t="str">
        <f>'Sheet2-PASTE HERE!'!K73</f>
        <v>Load on truck</v>
      </c>
      <c r="E63" s="13">
        <f>'Sheet2-PASTE HERE!'!F73</f>
        <v>2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 t="str">
        <f>'Sheet2-PASTE HERE!'!I79</f>
        <v>Location</v>
      </c>
      <c r="D69" s="22" t="str">
        <f>'Sheet2-PASTE HERE!'!K79</f>
        <v/>
      </c>
      <c r="E69" s="13" t="str">
        <f>'Sheet2-PASTE HERE!'!F79</f>
        <v>Due Date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 t="str">
        <f>'Sheet2-PASTE HERE!'!A81</f>
        <v/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 t="str">
        <f>'Sheet2-PASTE HERE!'!I85</f>
        <v>Quantity</v>
      </c>
      <c r="D75" s="22" t="str">
        <f>'Sheet2-PASTE HERE!'!K85</f>
        <v>Name</v>
      </c>
      <c r="E75" s="13" t="str">
        <f>'Sheet2-PASTE HERE!'!F85</f>
        <v>Vendor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35618</v>
      </c>
      <c r="B76" s="11"/>
      <c r="C76" s="17" t="str">
        <f>'Sheet2-PASTE HERE!'!I86</f>
        <v>______________</v>
      </c>
      <c r="D76" s="22">
        <f>'Sheet2-PASTE HERE!'!K86</f>
        <v>0</v>
      </c>
      <c r="E76" s="13" t="str">
        <f>'Sheet2-PASTE HERE!'!F86</f>
        <v>SA182F-316/316L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 t="str">
        <f>'Sheet2-PASTE HERE!'!A87</f>
        <v>40223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35619</v>
      </c>
      <c r="B79" s="11"/>
      <c r="C79" s="17" t="str">
        <f>'Sheet2-PASTE HERE!'!I89</f>
        <v>______________</v>
      </c>
      <c r="D79" s="22">
        <f>'Sheet2-PASTE HERE!'!K89</f>
        <v>0</v>
      </c>
      <c r="E79" s="13" t="str">
        <f>'Sheet2-PASTE HERE!'!F89</f>
        <v>Build Head to Specifications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 t="str">
        <f>'Sheet2-PASTE HERE!'!A90</f>
        <v>40225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35620</v>
      </c>
      <c r="B82" s="11"/>
      <c r="C82" s="17" t="str">
        <f>'Sheet2-PASTE HERE!'!I92</f>
        <v>______________</v>
      </c>
      <c r="D82" s="22">
        <f>'Sheet2-PASTE HERE!'!K92</f>
        <v>0</v>
      </c>
      <c r="E82" s="13" t="str">
        <f>'Sheet2-PASTE HERE!'!F92</f>
        <v>Plate 316L 3/16"x 60"x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 t="str">
        <f>'Sheet2-PASTE HERE!'!A93</f>
        <v>SA240-316/316L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 t="str">
        <f>'Sheet2-PASTE HERE!'!A94</f>
        <v>40226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35621</v>
      </c>
      <c r="B86" s="11"/>
      <c r="C86" s="17" t="str">
        <f>'Sheet2-PASTE HERE!'!I96</f>
        <v>______________</v>
      </c>
      <c r="D86" s="22">
        <f>'Sheet2-PASTE HERE!'!K96</f>
        <v>0</v>
      </c>
      <c r="E86" s="13" t="str">
        <f>'Sheet2-PASTE HERE!'!F96</f>
        <v/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 t="str">
        <f>'Sheet2-PASTE HERE!'!A97</f>
        <v>40226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39122</v>
      </c>
      <c r="B89" s="11"/>
      <c r="C89" s="17" t="str">
        <f>'Sheet2-PASTE HERE!'!I99</f>
        <v>______________</v>
      </c>
      <c r="D89" s="22">
        <f>'Sheet2-PASTE HERE!'!K99</f>
        <v>0</v>
      </c>
      <c r="E89" s="13" t="str">
        <f>'Sheet2-PASTE HERE!'!F99</f>
        <v>SA193-B7 (ZINC PLATED)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 t="str">
        <f>'Sheet2-PASTE HERE!'!A100</f>
        <v>40402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39123</v>
      </c>
      <c r="B92" s="11"/>
      <c r="C92" s="17" t="str">
        <f>'Sheet2-PASTE HERE!'!I102</f>
        <v>______________</v>
      </c>
      <c r="D92" s="22">
        <f>'Sheet2-PASTE HERE!'!K102</f>
        <v>0</v>
      </c>
      <c r="E92" s="13" t="str">
        <f>'Sheet2-PASTE HERE!'!F102</f>
        <v>SA194-2H (ZINC PLATED)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39124</v>
      </c>
      <c r="B95" s="11"/>
      <c r="C95" s="17" t="str">
        <f>'Sheet2-PASTE HERE!'!I105</f>
        <v>______________</v>
      </c>
      <c r="D95" s="22">
        <f>'Sheet2-PASTE HERE!'!K105</f>
        <v>0</v>
      </c>
      <c r="E95" s="13" t="str">
        <f>'Sheet2-PASTE HERE!'!F105</f>
        <v>SA193-B7 (ZINC PLATED)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 t="str">
        <f>'Sheet2-PASTE HERE!'!A106</f>
        <v>40402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39125</v>
      </c>
      <c r="B98" s="11"/>
      <c r="C98" s="17" t="str">
        <f>'Sheet2-PASTE HERE!'!I108</f>
        <v>______________</v>
      </c>
      <c r="D98" s="22">
        <f>'Sheet2-PASTE HERE!'!K108</f>
        <v>0</v>
      </c>
      <c r="E98" s="13" t="str">
        <f>'Sheet2-PASTE HERE!'!F108</f>
        <v>SA194-2H (ZINC PLATED)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 t="str">
        <f>'Sheet2-PASTE HERE!'!A109</f>
        <v>40402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208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B1" s="8" t="s">
        <v>146</v>
      </c>
    </row>
    <row r="2" spans="1:30" ht="12.75" customHeight="1" x14ac:dyDescent="0.2">
      <c r="A2" s="8" t="s">
        <v>16</v>
      </c>
      <c r="B2" s="8" t="s">
        <v>147</v>
      </c>
      <c r="C2" s="8" t="s">
        <v>17</v>
      </c>
      <c r="D2" s="8" t="s">
        <v>148</v>
      </c>
      <c r="E2" s="8" t="s">
        <v>18</v>
      </c>
      <c r="F2" s="8" t="s">
        <v>149</v>
      </c>
      <c r="G2" s="8" t="s">
        <v>147</v>
      </c>
      <c r="H2" s="8" t="s">
        <v>20</v>
      </c>
      <c r="I2" s="8" t="s">
        <v>19</v>
      </c>
      <c r="L2" s="8" t="s">
        <v>21</v>
      </c>
      <c r="M2" s="8" t="s">
        <v>19</v>
      </c>
      <c r="N2" s="8" t="s">
        <v>22</v>
      </c>
      <c r="O2" s="8" t="s">
        <v>19</v>
      </c>
      <c r="R2" s="8" t="s">
        <v>23</v>
      </c>
      <c r="S2" s="21">
        <v>1</v>
      </c>
      <c r="T2" s="8" t="s">
        <v>24</v>
      </c>
      <c r="U2" s="8" t="s">
        <v>25</v>
      </c>
      <c r="V2" s="8" t="s">
        <v>26</v>
      </c>
      <c r="W2" s="19">
        <v>45961</v>
      </c>
      <c r="Y2" s="8" t="s">
        <v>27</v>
      </c>
      <c r="Z2" s="21">
        <v>1</v>
      </c>
      <c r="AA2" s="8" t="s">
        <v>24</v>
      </c>
      <c r="AB2" s="8" t="s">
        <v>25</v>
      </c>
      <c r="AC2" s="8" t="s">
        <v>28</v>
      </c>
      <c r="AD2" s="24">
        <v>146</v>
      </c>
    </row>
    <row r="3" spans="1:30" ht="12.75" customHeight="1" x14ac:dyDescent="0.2"/>
    <row r="4" spans="1:30" ht="12.75" customHeight="1" x14ac:dyDescent="0.2">
      <c r="A4" s="8" t="s">
        <v>150</v>
      </c>
      <c r="B4" s="8" t="s">
        <v>151</v>
      </c>
      <c r="C4" s="8" t="s">
        <v>152</v>
      </c>
      <c r="D4" s="8" t="s">
        <v>153</v>
      </c>
    </row>
    <row r="5" spans="1:30" ht="12.75" customHeight="1" x14ac:dyDescent="0.2">
      <c r="A5" s="8" t="s">
        <v>154</v>
      </c>
      <c r="B5" s="8" t="s">
        <v>155</v>
      </c>
      <c r="C5" s="8" t="s">
        <v>19</v>
      </c>
      <c r="D5" s="8" t="s">
        <v>156</v>
      </c>
      <c r="E5" s="8" t="s">
        <v>157</v>
      </c>
      <c r="F5" s="8" t="s">
        <v>158</v>
      </c>
      <c r="G5" s="8" t="s">
        <v>159</v>
      </c>
      <c r="H5" s="8" t="s">
        <v>160</v>
      </c>
      <c r="I5" s="8" t="s">
        <v>161</v>
      </c>
    </row>
    <row r="6" spans="1:30" ht="12.75" customHeight="1" x14ac:dyDescent="0.2"/>
    <row r="7" spans="1:30" ht="12.75" customHeight="1" x14ac:dyDescent="0.2"/>
    <row r="8" spans="1:30" ht="12.75" customHeight="1" x14ac:dyDescent="0.2">
      <c r="A8" s="8" t="s">
        <v>29</v>
      </c>
    </row>
    <row r="9" spans="1:30" ht="12.75" customHeight="1" x14ac:dyDescent="0.2"/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30</v>
      </c>
      <c r="C12" s="8" t="s">
        <v>31</v>
      </c>
      <c r="D12" s="8" t="s">
        <v>33</v>
      </c>
      <c r="E12" s="8" t="s">
        <v>34</v>
      </c>
      <c r="F12" s="8" t="s">
        <v>35</v>
      </c>
      <c r="G12" s="8" t="s">
        <v>36</v>
      </c>
      <c r="H12" s="8" t="s">
        <v>32</v>
      </c>
      <c r="I12" s="8" t="s">
        <v>10</v>
      </c>
      <c r="J12" s="8" t="s">
        <v>37</v>
      </c>
    </row>
    <row r="13" spans="1:30" ht="12.75" customHeight="1" x14ac:dyDescent="0.2">
      <c r="A13" s="8" t="s">
        <v>19</v>
      </c>
      <c r="B13" s="8" t="s">
        <v>19</v>
      </c>
      <c r="F13" s="8" t="s">
        <v>19</v>
      </c>
      <c r="G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38</v>
      </c>
      <c r="C16" s="8" t="s">
        <v>39</v>
      </c>
      <c r="D16" s="8" t="s">
        <v>40</v>
      </c>
      <c r="E16" s="8" t="s">
        <v>41</v>
      </c>
      <c r="F16" s="8" t="s">
        <v>42</v>
      </c>
    </row>
    <row r="17" spans="1:16" ht="12.75" customHeight="1" x14ac:dyDescent="0.2"/>
    <row r="18" spans="1:16" ht="12.75" customHeight="1" x14ac:dyDescent="0.2"/>
    <row r="19" spans="1:16" ht="12.75" customHeight="1" x14ac:dyDescent="0.2">
      <c r="B19" s="8" t="s">
        <v>43</v>
      </c>
      <c r="C19" s="8" t="s">
        <v>42</v>
      </c>
      <c r="D19" s="8" t="s">
        <v>44</v>
      </c>
      <c r="E19" s="8" t="s">
        <v>45</v>
      </c>
      <c r="F19" s="8" t="s">
        <v>46</v>
      </c>
      <c r="G19" s="8" t="s">
        <v>47</v>
      </c>
      <c r="H19" s="8" t="s">
        <v>48</v>
      </c>
      <c r="I19" s="8" t="s">
        <v>10</v>
      </c>
      <c r="J19" s="8" t="s">
        <v>49</v>
      </c>
      <c r="K19" s="8" t="s">
        <v>50</v>
      </c>
      <c r="L19" s="8" t="s">
        <v>51</v>
      </c>
      <c r="M19" s="8" t="s">
        <v>0</v>
      </c>
      <c r="N19" s="8" t="s">
        <v>1</v>
      </c>
      <c r="O19" s="8" t="s">
        <v>52</v>
      </c>
    </row>
    <row r="20" spans="1:16" ht="12.75" customHeight="1" x14ac:dyDescent="0.2">
      <c r="A20" s="8" t="s">
        <v>56</v>
      </c>
      <c r="B20" s="18">
        <v>66285</v>
      </c>
      <c r="C20" s="19">
        <v>0</v>
      </c>
      <c r="D20" s="8" t="s">
        <v>73</v>
      </c>
      <c r="E20" s="20">
        <v>0</v>
      </c>
      <c r="F20" s="20">
        <v>0</v>
      </c>
      <c r="G20" s="8" t="s">
        <v>54</v>
      </c>
      <c r="H20" s="20">
        <v>0</v>
      </c>
      <c r="I20" s="8" t="s">
        <v>74</v>
      </c>
      <c r="J20" s="19">
        <v>0</v>
      </c>
      <c r="K20" s="8" t="s">
        <v>73</v>
      </c>
      <c r="L20" s="8" t="s">
        <v>55</v>
      </c>
      <c r="M20" s="8" t="s">
        <v>55</v>
      </c>
      <c r="N20" s="8" t="s">
        <v>55</v>
      </c>
      <c r="O20" s="8" t="s">
        <v>162</v>
      </c>
      <c r="P20" s="8" t="s">
        <v>56</v>
      </c>
    </row>
    <row r="21" spans="1:16" ht="12.75" customHeight="1" x14ac:dyDescent="0.2">
      <c r="A21" s="8" t="s">
        <v>53</v>
      </c>
      <c r="B21" s="18">
        <v>66286</v>
      </c>
      <c r="C21" s="19">
        <v>0</v>
      </c>
      <c r="D21" s="8" t="s">
        <v>75</v>
      </c>
      <c r="E21" s="20">
        <v>0</v>
      </c>
      <c r="F21" s="20">
        <v>0</v>
      </c>
      <c r="G21" s="8" t="s">
        <v>54</v>
      </c>
      <c r="H21" s="20">
        <v>0</v>
      </c>
      <c r="I21" s="8" t="s">
        <v>76</v>
      </c>
      <c r="J21" s="19">
        <v>0</v>
      </c>
      <c r="K21" s="8" t="s">
        <v>77</v>
      </c>
      <c r="L21" s="8" t="s">
        <v>55</v>
      </c>
      <c r="M21" s="8" t="s">
        <v>55</v>
      </c>
      <c r="N21" s="8" t="s">
        <v>55</v>
      </c>
      <c r="O21" s="8" t="s">
        <v>163</v>
      </c>
      <c r="P21" s="8" t="s">
        <v>53</v>
      </c>
    </row>
    <row r="22" spans="1:16" ht="12.75" customHeight="1" x14ac:dyDescent="0.2">
      <c r="A22" s="8" t="s">
        <v>56</v>
      </c>
      <c r="B22" s="18">
        <v>66287</v>
      </c>
      <c r="C22" s="19">
        <v>0</v>
      </c>
      <c r="D22" s="8" t="s">
        <v>57</v>
      </c>
      <c r="E22" s="20">
        <v>0</v>
      </c>
      <c r="F22" s="20">
        <v>5</v>
      </c>
      <c r="G22" s="8" t="s">
        <v>54</v>
      </c>
      <c r="H22" s="20">
        <v>5</v>
      </c>
      <c r="I22" s="8" t="s">
        <v>58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  <c r="O22" s="8" t="s">
        <v>164</v>
      </c>
      <c r="P22" s="8" t="s">
        <v>56</v>
      </c>
    </row>
    <row r="23" spans="1:16" ht="12.75" customHeight="1" x14ac:dyDescent="0.2">
      <c r="A23" s="8" t="s">
        <v>56</v>
      </c>
      <c r="B23" s="18">
        <v>66288</v>
      </c>
      <c r="C23" s="19">
        <v>0</v>
      </c>
      <c r="D23" s="8" t="s">
        <v>79</v>
      </c>
      <c r="E23" s="20">
        <v>0</v>
      </c>
      <c r="F23" s="20">
        <v>8</v>
      </c>
      <c r="G23" s="8" t="s">
        <v>54</v>
      </c>
      <c r="H23" s="20">
        <v>8</v>
      </c>
      <c r="I23" s="8" t="s">
        <v>80</v>
      </c>
      <c r="J23" s="19">
        <v>0</v>
      </c>
      <c r="K23" s="8" t="s">
        <v>165</v>
      </c>
      <c r="L23" s="8" t="s">
        <v>55</v>
      </c>
      <c r="M23" s="8" t="s">
        <v>55</v>
      </c>
      <c r="N23" s="8" t="s">
        <v>55</v>
      </c>
      <c r="O23" s="8" t="s">
        <v>166</v>
      </c>
      <c r="P23" s="8" t="s">
        <v>56</v>
      </c>
    </row>
    <row r="24" spans="1:16" ht="12.75" customHeight="1" x14ac:dyDescent="0.2">
      <c r="A24" s="8" t="s">
        <v>56</v>
      </c>
      <c r="B24" s="18">
        <v>66289</v>
      </c>
      <c r="C24" s="19">
        <v>0</v>
      </c>
      <c r="D24" s="8" t="s">
        <v>167</v>
      </c>
      <c r="E24" s="20">
        <v>0</v>
      </c>
      <c r="F24" s="20">
        <v>1</v>
      </c>
      <c r="G24" s="8" t="s">
        <v>54</v>
      </c>
      <c r="H24" s="20">
        <v>1</v>
      </c>
      <c r="I24" s="8" t="s">
        <v>168</v>
      </c>
      <c r="J24" s="19">
        <v>0</v>
      </c>
      <c r="K24" s="8" t="s">
        <v>169</v>
      </c>
      <c r="L24" s="8" t="s">
        <v>55</v>
      </c>
      <c r="M24" s="8" t="s">
        <v>55</v>
      </c>
      <c r="N24" s="8" t="s">
        <v>55</v>
      </c>
      <c r="O24" s="8" t="s">
        <v>170</v>
      </c>
      <c r="P24" s="8" t="s">
        <v>56</v>
      </c>
    </row>
    <row r="25" spans="1:16" ht="12.75" customHeight="1" x14ac:dyDescent="0.2">
      <c r="A25" s="8" t="s">
        <v>56</v>
      </c>
      <c r="B25" s="18">
        <v>66290</v>
      </c>
      <c r="C25" s="19">
        <v>0</v>
      </c>
      <c r="D25" s="8" t="s">
        <v>171</v>
      </c>
      <c r="E25" s="20">
        <v>0</v>
      </c>
      <c r="F25" s="20">
        <v>2</v>
      </c>
      <c r="G25" s="8" t="s">
        <v>54</v>
      </c>
      <c r="H25" s="20">
        <v>2</v>
      </c>
      <c r="I25" s="8" t="s">
        <v>172</v>
      </c>
      <c r="J25" s="19">
        <v>0</v>
      </c>
      <c r="K25" s="8" t="s">
        <v>173</v>
      </c>
      <c r="L25" s="8" t="s">
        <v>55</v>
      </c>
      <c r="M25" s="8" t="s">
        <v>55</v>
      </c>
      <c r="N25" s="8" t="s">
        <v>55</v>
      </c>
      <c r="O25" s="8" t="s">
        <v>174</v>
      </c>
      <c r="P25" s="8" t="s">
        <v>56</v>
      </c>
    </row>
    <row r="26" spans="1:16" ht="12.75" customHeight="1" x14ac:dyDescent="0.2">
      <c r="A26" s="8" t="s">
        <v>56</v>
      </c>
      <c r="B26" s="18">
        <v>66291</v>
      </c>
      <c r="C26" s="19">
        <v>0</v>
      </c>
      <c r="D26" s="8" t="s">
        <v>138</v>
      </c>
      <c r="E26" s="20">
        <v>0</v>
      </c>
      <c r="F26" s="20">
        <v>10</v>
      </c>
      <c r="G26" s="8" t="s">
        <v>54</v>
      </c>
      <c r="H26" s="20">
        <v>10</v>
      </c>
      <c r="I26" s="8" t="s">
        <v>59</v>
      </c>
      <c r="J26" s="19">
        <v>0</v>
      </c>
      <c r="K26" s="8" t="s">
        <v>81</v>
      </c>
      <c r="L26" s="8" t="s">
        <v>55</v>
      </c>
      <c r="M26" s="8" t="s">
        <v>55</v>
      </c>
      <c r="N26" s="8" t="s">
        <v>55</v>
      </c>
      <c r="O26" s="8" t="s">
        <v>175</v>
      </c>
      <c r="P26" s="8" t="s">
        <v>56</v>
      </c>
    </row>
    <row r="27" spans="1:16" ht="12.75" customHeight="1" x14ac:dyDescent="0.2">
      <c r="A27" s="8" t="s">
        <v>56</v>
      </c>
      <c r="B27" s="18">
        <v>66292</v>
      </c>
      <c r="C27" s="19">
        <v>0</v>
      </c>
      <c r="D27" s="8" t="s">
        <v>139</v>
      </c>
      <c r="E27" s="20">
        <v>0</v>
      </c>
      <c r="F27" s="20">
        <v>5</v>
      </c>
      <c r="G27" s="8" t="s">
        <v>54</v>
      </c>
      <c r="H27" s="20">
        <v>5</v>
      </c>
      <c r="I27" s="8" t="s">
        <v>140</v>
      </c>
      <c r="J27" s="19">
        <v>0</v>
      </c>
      <c r="K27" s="8" t="s">
        <v>19</v>
      </c>
      <c r="L27" s="8" t="s">
        <v>55</v>
      </c>
      <c r="M27" s="8" t="s">
        <v>55</v>
      </c>
      <c r="N27" s="8" t="s">
        <v>55</v>
      </c>
      <c r="O27" s="8" t="s">
        <v>176</v>
      </c>
      <c r="P27" s="8" t="s">
        <v>56</v>
      </c>
    </row>
    <row r="28" spans="1:16" ht="12.75" customHeight="1" x14ac:dyDescent="0.2">
      <c r="A28" s="8" t="s">
        <v>56</v>
      </c>
      <c r="B28" s="18">
        <v>66293</v>
      </c>
      <c r="C28" s="19">
        <v>0</v>
      </c>
      <c r="D28" s="8" t="s">
        <v>60</v>
      </c>
      <c r="E28" s="20">
        <v>0</v>
      </c>
      <c r="F28" s="20">
        <v>6</v>
      </c>
      <c r="G28" s="8" t="s">
        <v>54</v>
      </c>
      <c r="H28" s="20">
        <v>6</v>
      </c>
      <c r="I28" s="8" t="s">
        <v>61</v>
      </c>
      <c r="J28" s="19">
        <v>0</v>
      </c>
      <c r="K28" s="8" t="s">
        <v>177</v>
      </c>
      <c r="L28" s="8" t="s">
        <v>55</v>
      </c>
      <c r="M28" s="8" t="s">
        <v>55</v>
      </c>
      <c r="N28" s="8" t="s">
        <v>55</v>
      </c>
      <c r="O28" s="8" t="s">
        <v>178</v>
      </c>
      <c r="P28" s="8" t="s">
        <v>56</v>
      </c>
    </row>
    <row r="29" spans="1:16" ht="12.75" customHeight="1" x14ac:dyDescent="0.2">
      <c r="A29" s="8" t="s">
        <v>56</v>
      </c>
      <c r="B29" s="18">
        <v>66294</v>
      </c>
      <c r="C29" s="19">
        <v>0</v>
      </c>
      <c r="D29" s="8" t="s">
        <v>82</v>
      </c>
      <c r="E29" s="20">
        <v>0</v>
      </c>
      <c r="F29" s="20">
        <v>2</v>
      </c>
      <c r="G29" s="8" t="s">
        <v>54</v>
      </c>
      <c r="H29" s="20">
        <v>2</v>
      </c>
      <c r="I29" s="8" t="s">
        <v>83</v>
      </c>
      <c r="J29" s="19">
        <v>0</v>
      </c>
      <c r="K29" s="8" t="s">
        <v>179</v>
      </c>
      <c r="L29" s="8" t="s">
        <v>55</v>
      </c>
      <c r="M29" s="8" t="s">
        <v>55</v>
      </c>
      <c r="N29" s="8" t="s">
        <v>55</v>
      </c>
      <c r="O29" s="8" t="s">
        <v>180</v>
      </c>
      <c r="P29" s="8" t="s">
        <v>56</v>
      </c>
    </row>
    <row r="30" spans="1:16" ht="12.75" customHeight="1" x14ac:dyDescent="0.2">
      <c r="A30" s="8" t="s">
        <v>56</v>
      </c>
      <c r="B30" s="18">
        <v>66295</v>
      </c>
      <c r="C30" s="19">
        <v>0</v>
      </c>
      <c r="D30" s="8" t="s">
        <v>134</v>
      </c>
      <c r="E30" s="20">
        <v>0</v>
      </c>
      <c r="F30" s="20">
        <v>2</v>
      </c>
      <c r="G30" s="8" t="s">
        <v>54</v>
      </c>
      <c r="H30" s="20">
        <v>2</v>
      </c>
      <c r="I30" s="8" t="s">
        <v>135</v>
      </c>
      <c r="J30" s="19">
        <v>0</v>
      </c>
      <c r="K30" s="8" t="s">
        <v>181</v>
      </c>
      <c r="L30" s="8" t="s">
        <v>55</v>
      </c>
      <c r="M30" s="8" t="s">
        <v>55</v>
      </c>
      <c r="N30" s="8" t="s">
        <v>55</v>
      </c>
      <c r="O30" s="8" t="s">
        <v>182</v>
      </c>
      <c r="P30" s="8" t="s">
        <v>56</v>
      </c>
    </row>
    <row r="31" spans="1:16" ht="12.75" customHeight="1" x14ac:dyDescent="0.2">
      <c r="A31" s="8" t="s">
        <v>56</v>
      </c>
      <c r="B31" s="18">
        <v>66296</v>
      </c>
      <c r="C31" s="19">
        <v>0</v>
      </c>
      <c r="D31" s="8" t="s">
        <v>183</v>
      </c>
      <c r="E31" s="20">
        <v>0</v>
      </c>
      <c r="F31" s="20">
        <v>1</v>
      </c>
      <c r="G31" s="8" t="s">
        <v>54</v>
      </c>
      <c r="H31" s="20">
        <v>1</v>
      </c>
      <c r="I31" s="8" t="s">
        <v>184</v>
      </c>
      <c r="J31" s="19">
        <v>0</v>
      </c>
      <c r="K31" s="8" t="s">
        <v>185</v>
      </c>
      <c r="L31" s="8" t="s">
        <v>55</v>
      </c>
      <c r="M31" s="8" t="s">
        <v>55</v>
      </c>
      <c r="N31" s="8" t="s">
        <v>55</v>
      </c>
      <c r="O31" s="8" t="s">
        <v>186</v>
      </c>
      <c r="P31" s="8" t="s">
        <v>56</v>
      </c>
    </row>
    <row r="32" spans="1:16" ht="12.75" customHeight="1" x14ac:dyDescent="0.2">
      <c r="A32" s="8" t="s">
        <v>53</v>
      </c>
      <c r="B32" s="18">
        <v>66297</v>
      </c>
      <c r="C32" s="19">
        <v>0</v>
      </c>
      <c r="D32" s="8" t="s">
        <v>84</v>
      </c>
      <c r="E32" s="20">
        <v>0</v>
      </c>
      <c r="F32" s="20">
        <v>0</v>
      </c>
      <c r="G32" s="8" t="s">
        <v>54</v>
      </c>
      <c r="H32" s="20">
        <v>0</v>
      </c>
      <c r="I32" s="8" t="s">
        <v>85</v>
      </c>
      <c r="J32" s="19">
        <v>0</v>
      </c>
      <c r="K32" s="8" t="s">
        <v>84</v>
      </c>
      <c r="L32" s="8" t="s">
        <v>55</v>
      </c>
      <c r="M32" s="8" t="s">
        <v>55</v>
      </c>
      <c r="N32" s="8" t="s">
        <v>55</v>
      </c>
      <c r="O32" s="8" t="s">
        <v>187</v>
      </c>
      <c r="P32" s="8" t="s">
        <v>53</v>
      </c>
    </row>
    <row r="33" spans="1:16" ht="12.75" customHeight="1" x14ac:dyDescent="0.2">
      <c r="A33" s="8" t="s">
        <v>56</v>
      </c>
      <c r="B33" s="18">
        <v>66298</v>
      </c>
      <c r="C33" s="19">
        <v>0</v>
      </c>
      <c r="D33" s="8" t="s">
        <v>86</v>
      </c>
      <c r="E33" s="20">
        <v>0</v>
      </c>
      <c r="F33" s="20">
        <v>2</v>
      </c>
      <c r="G33" s="8" t="s">
        <v>54</v>
      </c>
      <c r="H33" s="20">
        <v>2</v>
      </c>
      <c r="I33" s="8" t="s">
        <v>87</v>
      </c>
      <c r="J33" s="19">
        <v>0</v>
      </c>
      <c r="K33" s="8" t="s">
        <v>188</v>
      </c>
      <c r="L33" s="8" t="s">
        <v>55</v>
      </c>
      <c r="M33" s="8" t="s">
        <v>55</v>
      </c>
      <c r="N33" s="8" t="s">
        <v>55</v>
      </c>
      <c r="O33" s="8" t="s">
        <v>189</v>
      </c>
      <c r="P33" s="8" t="s">
        <v>56</v>
      </c>
    </row>
    <row r="34" spans="1:16" ht="12.75" customHeight="1" x14ac:dyDescent="0.2">
      <c r="A34" s="8" t="s">
        <v>56</v>
      </c>
      <c r="B34" s="18">
        <v>66299</v>
      </c>
      <c r="C34" s="19">
        <v>0</v>
      </c>
      <c r="D34" s="8" t="s">
        <v>88</v>
      </c>
      <c r="E34" s="20">
        <v>0</v>
      </c>
      <c r="F34" s="20">
        <v>2</v>
      </c>
      <c r="G34" s="8" t="s">
        <v>54</v>
      </c>
      <c r="H34" s="20">
        <v>2</v>
      </c>
      <c r="I34" s="8" t="s">
        <v>89</v>
      </c>
      <c r="J34" s="19">
        <v>0</v>
      </c>
      <c r="K34" s="8" t="s">
        <v>190</v>
      </c>
      <c r="L34" s="8" t="s">
        <v>55</v>
      </c>
      <c r="M34" s="8" t="s">
        <v>55</v>
      </c>
      <c r="N34" s="8" t="s">
        <v>55</v>
      </c>
      <c r="O34" s="8" t="s">
        <v>191</v>
      </c>
      <c r="P34" s="8" t="s">
        <v>56</v>
      </c>
    </row>
    <row r="35" spans="1:16" ht="12.75" customHeight="1" x14ac:dyDescent="0.2">
      <c r="A35" s="8" t="s">
        <v>72</v>
      </c>
      <c r="B35" s="18">
        <v>66300</v>
      </c>
      <c r="C35" s="19">
        <v>0</v>
      </c>
      <c r="D35" s="8" t="s">
        <v>192</v>
      </c>
      <c r="E35" s="20">
        <v>0</v>
      </c>
      <c r="F35" s="20">
        <v>1</v>
      </c>
      <c r="G35" s="8" t="s">
        <v>54</v>
      </c>
      <c r="H35" s="20">
        <v>1</v>
      </c>
      <c r="I35" s="8" t="s">
        <v>193</v>
      </c>
      <c r="J35" s="19">
        <v>0</v>
      </c>
      <c r="K35" s="8" t="s">
        <v>194</v>
      </c>
      <c r="L35" s="8" t="s">
        <v>55</v>
      </c>
      <c r="M35" s="8" t="s">
        <v>55</v>
      </c>
      <c r="N35" s="8" t="s">
        <v>55</v>
      </c>
      <c r="O35" s="8" t="s">
        <v>195</v>
      </c>
      <c r="P35" s="8" t="s">
        <v>72</v>
      </c>
    </row>
    <row r="36" spans="1:16" ht="12.75" customHeight="1" x14ac:dyDescent="0.2">
      <c r="A36" s="8" t="s">
        <v>72</v>
      </c>
      <c r="B36" s="18">
        <v>66301</v>
      </c>
      <c r="C36" s="19">
        <v>0</v>
      </c>
      <c r="D36" s="8" t="s">
        <v>196</v>
      </c>
      <c r="E36" s="20">
        <v>0</v>
      </c>
      <c r="F36" s="20">
        <v>4</v>
      </c>
      <c r="G36" s="8" t="s">
        <v>54</v>
      </c>
      <c r="H36" s="20">
        <v>4</v>
      </c>
      <c r="I36" s="8" t="s">
        <v>197</v>
      </c>
      <c r="J36" s="19">
        <v>0</v>
      </c>
      <c r="K36" s="8" t="s">
        <v>198</v>
      </c>
      <c r="L36" s="8" t="s">
        <v>55</v>
      </c>
      <c r="M36" s="8" t="s">
        <v>55</v>
      </c>
      <c r="N36" s="8" t="s">
        <v>55</v>
      </c>
      <c r="O36" s="8" t="s">
        <v>199</v>
      </c>
      <c r="P36" s="8" t="s">
        <v>72</v>
      </c>
    </row>
    <row r="37" spans="1:16" ht="12.75" customHeight="1" x14ac:dyDescent="0.2">
      <c r="A37" s="8" t="s">
        <v>53</v>
      </c>
      <c r="B37" s="18">
        <v>66302</v>
      </c>
      <c r="C37" s="19">
        <v>0</v>
      </c>
      <c r="D37" s="8" t="s">
        <v>90</v>
      </c>
      <c r="E37" s="20">
        <v>0</v>
      </c>
      <c r="F37" s="20">
        <v>0</v>
      </c>
      <c r="G37" s="8" t="s">
        <v>54</v>
      </c>
      <c r="H37" s="20">
        <v>0</v>
      </c>
      <c r="I37" s="8" t="s">
        <v>91</v>
      </c>
      <c r="J37" s="19">
        <v>0</v>
      </c>
      <c r="K37" s="8" t="s">
        <v>92</v>
      </c>
      <c r="L37" s="8" t="s">
        <v>55</v>
      </c>
      <c r="M37" s="8" t="s">
        <v>55</v>
      </c>
      <c r="N37" s="8" t="s">
        <v>55</v>
      </c>
      <c r="O37" s="8" t="s">
        <v>200</v>
      </c>
      <c r="P37" s="8" t="s">
        <v>53</v>
      </c>
    </row>
    <row r="38" spans="1:16" ht="12.75" customHeight="1" x14ac:dyDescent="0.2">
      <c r="A38" s="8" t="s">
        <v>56</v>
      </c>
      <c r="B38" s="18">
        <v>66303</v>
      </c>
      <c r="C38" s="19">
        <v>0</v>
      </c>
      <c r="D38" s="8" t="s">
        <v>93</v>
      </c>
      <c r="E38" s="20">
        <v>0</v>
      </c>
      <c r="F38" s="20">
        <v>2</v>
      </c>
      <c r="G38" s="8" t="s">
        <v>54</v>
      </c>
      <c r="H38" s="20">
        <v>2</v>
      </c>
      <c r="I38" s="8" t="s">
        <v>94</v>
      </c>
      <c r="J38" s="19">
        <v>0</v>
      </c>
      <c r="K38" s="8" t="s">
        <v>201</v>
      </c>
      <c r="L38" s="8" t="s">
        <v>55</v>
      </c>
      <c r="M38" s="8" t="s">
        <v>55</v>
      </c>
      <c r="N38" s="8" t="s">
        <v>55</v>
      </c>
      <c r="O38" s="8" t="s">
        <v>202</v>
      </c>
      <c r="P38" s="8" t="s">
        <v>56</v>
      </c>
    </row>
    <row r="39" spans="1:16" ht="12.75" customHeight="1" x14ac:dyDescent="0.2">
      <c r="A39" s="8" t="s">
        <v>56</v>
      </c>
      <c r="B39" s="18">
        <v>66304</v>
      </c>
      <c r="C39" s="19">
        <v>0</v>
      </c>
      <c r="D39" s="8" t="s">
        <v>95</v>
      </c>
      <c r="E39" s="20">
        <v>0</v>
      </c>
      <c r="F39" s="20">
        <v>6</v>
      </c>
      <c r="G39" s="8" t="s">
        <v>54</v>
      </c>
      <c r="H39" s="20">
        <v>6</v>
      </c>
      <c r="I39" s="8" t="s">
        <v>96</v>
      </c>
      <c r="J39" s="19">
        <v>0</v>
      </c>
      <c r="K39" s="8" t="s">
        <v>203</v>
      </c>
      <c r="L39" s="8" t="s">
        <v>55</v>
      </c>
      <c r="M39" s="8" t="s">
        <v>55</v>
      </c>
      <c r="N39" s="8" t="s">
        <v>55</v>
      </c>
      <c r="O39" s="8" t="s">
        <v>204</v>
      </c>
      <c r="P39" s="8" t="s">
        <v>56</v>
      </c>
    </row>
    <row r="40" spans="1:16" ht="12.75" customHeight="1" x14ac:dyDescent="0.2">
      <c r="A40" s="8" t="s">
        <v>56</v>
      </c>
      <c r="B40" s="18">
        <v>66305</v>
      </c>
      <c r="C40" s="19">
        <v>0</v>
      </c>
      <c r="D40" s="8" t="s">
        <v>97</v>
      </c>
      <c r="E40" s="20">
        <v>0</v>
      </c>
      <c r="F40" s="20">
        <v>8</v>
      </c>
      <c r="G40" s="8" t="s">
        <v>54</v>
      </c>
      <c r="H40" s="20">
        <v>8</v>
      </c>
      <c r="I40" s="8" t="s">
        <v>98</v>
      </c>
      <c r="J40" s="19">
        <v>0</v>
      </c>
      <c r="K40" s="8" t="s">
        <v>205</v>
      </c>
      <c r="L40" s="8" t="s">
        <v>55</v>
      </c>
      <c r="M40" s="8" t="s">
        <v>55</v>
      </c>
      <c r="N40" s="8" t="s">
        <v>55</v>
      </c>
      <c r="O40" s="8" t="s">
        <v>206</v>
      </c>
      <c r="P40" s="8" t="s">
        <v>56</v>
      </c>
    </row>
    <row r="41" spans="1:16" ht="12.75" customHeight="1" x14ac:dyDescent="0.2">
      <c r="A41" s="8" t="s">
        <v>56</v>
      </c>
      <c r="B41" s="18">
        <v>66306</v>
      </c>
      <c r="C41" s="19">
        <v>0</v>
      </c>
      <c r="D41" s="8" t="s">
        <v>136</v>
      </c>
      <c r="E41" s="20">
        <v>0</v>
      </c>
      <c r="F41" s="20">
        <v>1</v>
      </c>
      <c r="G41" s="8" t="s">
        <v>54</v>
      </c>
      <c r="H41" s="20">
        <v>1</v>
      </c>
      <c r="I41" s="8" t="s">
        <v>137</v>
      </c>
      <c r="J41" s="19">
        <v>0</v>
      </c>
      <c r="K41" s="8" t="s">
        <v>207</v>
      </c>
      <c r="L41" s="8" t="s">
        <v>55</v>
      </c>
      <c r="M41" s="8" t="s">
        <v>55</v>
      </c>
      <c r="N41" s="8" t="s">
        <v>55</v>
      </c>
      <c r="O41" s="8" t="s">
        <v>208</v>
      </c>
      <c r="P41" s="8" t="s">
        <v>56</v>
      </c>
    </row>
    <row r="42" spans="1:16" ht="12.75" customHeight="1" x14ac:dyDescent="0.2">
      <c r="A42" s="8" t="s">
        <v>56</v>
      </c>
      <c r="B42" s="18">
        <v>66307</v>
      </c>
      <c r="C42" s="19">
        <v>0</v>
      </c>
      <c r="D42" s="8" t="s">
        <v>209</v>
      </c>
      <c r="E42" s="20">
        <v>0</v>
      </c>
      <c r="F42" s="20">
        <v>2</v>
      </c>
      <c r="G42" s="8" t="s">
        <v>54</v>
      </c>
      <c r="H42" s="20">
        <v>2</v>
      </c>
      <c r="I42" s="8" t="s">
        <v>210</v>
      </c>
      <c r="J42" s="19">
        <v>0</v>
      </c>
      <c r="K42" s="8" t="s">
        <v>211</v>
      </c>
      <c r="L42" s="8" t="s">
        <v>55</v>
      </c>
      <c r="M42" s="8" t="s">
        <v>55</v>
      </c>
      <c r="N42" s="8" t="s">
        <v>55</v>
      </c>
      <c r="O42" s="8" t="s">
        <v>212</v>
      </c>
      <c r="P42" s="8" t="s">
        <v>56</v>
      </c>
    </row>
    <row r="43" spans="1:16" ht="12.75" customHeight="1" x14ac:dyDescent="0.2">
      <c r="A43" s="8" t="s">
        <v>72</v>
      </c>
      <c r="B43" s="18">
        <v>66308</v>
      </c>
      <c r="C43" s="19">
        <v>0</v>
      </c>
      <c r="D43" s="8" t="s">
        <v>213</v>
      </c>
      <c r="E43" s="20">
        <v>0</v>
      </c>
      <c r="F43" s="20">
        <v>1</v>
      </c>
      <c r="G43" s="8" t="s">
        <v>54</v>
      </c>
      <c r="H43" s="20">
        <v>1</v>
      </c>
      <c r="I43" s="8" t="s">
        <v>214</v>
      </c>
      <c r="J43" s="19">
        <v>0</v>
      </c>
      <c r="K43" s="8" t="s">
        <v>215</v>
      </c>
      <c r="L43" s="8" t="s">
        <v>55</v>
      </c>
      <c r="M43" s="8" t="s">
        <v>55</v>
      </c>
      <c r="N43" s="8" t="s">
        <v>55</v>
      </c>
      <c r="O43" s="8" t="s">
        <v>216</v>
      </c>
      <c r="P43" s="8" t="s">
        <v>72</v>
      </c>
    </row>
    <row r="44" spans="1:16" ht="12.75" customHeight="1" x14ac:dyDescent="0.2">
      <c r="A44" s="8" t="s">
        <v>72</v>
      </c>
      <c r="B44" s="18">
        <v>66309</v>
      </c>
      <c r="C44" s="19">
        <v>0</v>
      </c>
      <c r="D44" s="8" t="s">
        <v>217</v>
      </c>
      <c r="E44" s="20">
        <v>0</v>
      </c>
      <c r="F44" s="20">
        <v>4</v>
      </c>
      <c r="G44" s="8" t="s">
        <v>54</v>
      </c>
      <c r="H44" s="20">
        <v>4</v>
      </c>
      <c r="I44" s="8" t="s">
        <v>218</v>
      </c>
      <c r="J44" s="19">
        <v>0</v>
      </c>
      <c r="K44" s="8" t="s">
        <v>219</v>
      </c>
      <c r="L44" s="8" t="s">
        <v>55</v>
      </c>
      <c r="M44" s="8" t="s">
        <v>55</v>
      </c>
      <c r="N44" s="8" t="s">
        <v>55</v>
      </c>
      <c r="O44" s="8" t="s">
        <v>220</v>
      </c>
      <c r="P44" s="8" t="s">
        <v>72</v>
      </c>
    </row>
    <row r="45" spans="1:16" ht="12.75" customHeight="1" x14ac:dyDescent="0.2">
      <c r="A45" s="8" t="s">
        <v>56</v>
      </c>
      <c r="B45" s="18">
        <v>66310</v>
      </c>
      <c r="C45" s="19">
        <v>0</v>
      </c>
      <c r="D45" s="8" t="s">
        <v>221</v>
      </c>
      <c r="E45" s="20">
        <v>0</v>
      </c>
      <c r="F45" s="20">
        <v>4</v>
      </c>
      <c r="G45" s="8" t="s">
        <v>54</v>
      </c>
      <c r="H45" s="20">
        <v>4</v>
      </c>
      <c r="I45" s="8" t="s">
        <v>222</v>
      </c>
      <c r="J45" s="19">
        <v>0</v>
      </c>
      <c r="K45" s="8" t="s">
        <v>223</v>
      </c>
      <c r="L45" s="8" t="s">
        <v>55</v>
      </c>
      <c r="M45" s="8" t="s">
        <v>55</v>
      </c>
      <c r="N45" s="8" t="s">
        <v>55</v>
      </c>
      <c r="O45" s="8" t="s">
        <v>224</v>
      </c>
      <c r="P45" s="8" t="s">
        <v>56</v>
      </c>
    </row>
    <row r="46" spans="1:16" ht="12.75" customHeight="1" x14ac:dyDescent="0.2">
      <c r="A46" s="8" t="s">
        <v>53</v>
      </c>
      <c r="B46" s="18">
        <v>66311</v>
      </c>
      <c r="C46" s="19">
        <v>0</v>
      </c>
      <c r="D46" s="8" t="s">
        <v>90</v>
      </c>
      <c r="E46" s="20">
        <v>0</v>
      </c>
      <c r="F46" s="20">
        <v>0</v>
      </c>
      <c r="G46" s="8" t="s">
        <v>54</v>
      </c>
      <c r="H46" s="20">
        <v>0</v>
      </c>
      <c r="I46" s="8" t="s">
        <v>91</v>
      </c>
      <c r="J46" s="19">
        <v>0</v>
      </c>
      <c r="K46" s="8" t="s">
        <v>92</v>
      </c>
      <c r="L46" s="8" t="s">
        <v>55</v>
      </c>
      <c r="M46" s="8" t="s">
        <v>55</v>
      </c>
      <c r="N46" s="8" t="s">
        <v>55</v>
      </c>
      <c r="O46" s="8" t="s">
        <v>225</v>
      </c>
      <c r="P46" s="8" t="s">
        <v>53</v>
      </c>
    </row>
    <row r="47" spans="1:16" ht="12.75" customHeight="1" x14ac:dyDescent="0.2">
      <c r="A47" s="8" t="s">
        <v>56</v>
      </c>
      <c r="B47" s="18">
        <v>66312</v>
      </c>
      <c r="C47" s="19">
        <v>0</v>
      </c>
      <c r="D47" s="8" t="s">
        <v>141</v>
      </c>
      <c r="E47" s="20">
        <v>0</v>
      </c>
      <c r="F47" s="20">
        <v>1</v>
      </c>
      <c r="G47" s="8" t="s">
        <v>54</v>
      </c>
      <c r="H47" s="20">
        <v>1</v>
      </c>
      <c r="I47" s="8" t="s">
        <v>142</v>
      </c>
      <c r="J47" s="19">
        <v>0</v>
      </c>
      <c r="K47" s="8" t="s">
        <v>226</v>
      </c>
      <c r="L47" s="8" t="s">
        <v>55</v>
      </c>
      <c r="M47" s="8" t="s">
        <v>55</v>
      </c>
      <c r="N47" s="8" t="s">
        <v>55</v>
      </c>
      <c r="O47" s="8" t="s">
        <v>227</v>
      </c>
      <c r="P47" s="8" t="s">
        <v>56</v>
      </c>
    </row>
    <row r="48" spans="1:16" ht="12.75" customHeight="1" x14ac:dyDescent="0.2">
      <c r="A48" s="8" t="s">
        <v>56</v>
      </c>
      <c r="B48" s="18">
        <v>66313</v>
      </c>
      <c r="C48" s="19">
        <v>0</v>
      </c>
      <c r="D48" s="8" t="s">
        <v>228</v>
      </c>
      <c r="E48" s="20">
        <v>0</v>
      </c>
      <c r="F48" s="20">
        <v>2</v>
      </c>
      <c r="G48" s="8" t="s">
        <v>54</v>
      </c>
      <c r="H48" s="20">
        <v>2</v>
      </c>
      <c r="I48" s="8" t="s">
        <v>229</v>
      </c>
      <c r="J48" s="19">
        <v>0</v>
      </c>
      <c r="K48" s="8" t="s">
        <v>230</v>
      </c>
      <c r="L48" s="8" t="s">
        <v>55</v>
      </c>
      <c r="M48" s="8" t="s">
        <v>55</v>
      </c>
      <c r="N48" s="8" t="s">
        <v>55</v>
      </c>
      <c r="O48" s="8" t="s">
        <v>231</v>
      </c>
      <c r="P48" s="8" t="s">
        <v>56</v>
      </c>
    </row>
    <row r="49" spans="1:16" ht="12.75" customHeight="1" x14ac:dyDescent="0.2">
      <c r="A49" s="8" t="s">
        <v>56</v>
      </c>
      <c r="B49" s="18">
        <v>66314</v>
      </c>
      <c r="C49" s="19">
        <v>0</v>
      </c>
      <c r="D49" s="8" t="s">
        <v>232</v>
      </c>
      <c r="E49" s="20">
        <v>0</v>
      </c>
      <c r="F49" s="20">
        <v>3</v>
      </c>
      <c r="G49" s="8" t="s">
        <v>54</v>
      </c>
      <c r="H49" s="20">
        <v>3</v>
      </c>
      <c r="I49" s="8" t="s">
        <v>233</v>
      </c>
      <c r="J49" s="19">
        <v>0</v>
      </c>
      <c r="K49" s="8" t="s">
        <v>234</v>
      </c>
      <c r="L49" s="8" t="s">
        <v>55</v>
      </c>
      <c r="M49" s="8" t="s">
        <v>55</v>
      </c>
      <c r="N49" s="8" t="s">
        <v>55</v>
      </c>
      <c r="O49" s="8" t="s">
        <v>235</v>
      </c>
      <c r="P49" s="8" t="s">
        <v>56</v>
      </c>
    </row>
    <row r="50" spans="1:16" ht="12.75" customHeight="1" x14ac:dyDescent="0.2">
      <c r="A50" s="8" t="s">
        <v>56</v>
      </c>
      <c r="B50" s="18">
        <v>66315</v>
      </c>
      <c r="C50" s="19">
        <v>0</v>
      </c>
      <c r="D50" s="8" t="s">
        <v>236</v>
      </c>
      <c r="E50" s="20">
        <v>0</v>
      </c>
      <c r="F50" s="20">
        <v>3</v>
      </c>
      <c r="G50" s="8" t="s">
        <v>54</v>
      </c>
      <c r="H50" s="20">
        <v>3</v>
      </c>
      <c r="I50" s="8" t="s">
        <v>237</v>
      </c>
      <c r="J50" s="19">
        <v>0</v>
      </c>
      <c r="K50" s="8" t="s">
        <v>238</v>
      </c>
      <c r="L50" s="8" t="s">
        <v>55</v>
      </c>
      <c r="M50" s="8" t="s">
        <v>55</v>
      </c>
      <c r="N50" s="8" t="s">
        <v>55</v>
      </c>
      <c r="O50" s="8" t="s">
        <v>239</v>
      </c>
      <c r="P50" s="8" t="s">
        <v>56</v>
      </c>
    </row>
    <row r="51" spans="1:16" ht="12.75" customHeight="1" x14ac:dyDescent="0.2">
      <c r="A51" s="8" t="s">
        <v>53</v>
      </c>
      <c r="B51" s="18">
        <v>66316</v>
      </c>
      <c r="C51" s="19">
        <v>0</v>
      </c>
      <c r="D51" s="8" t="s">
        <v>240</v>
      </c>
      <c r="E51" s="20">
        <v>0</v>
      </c>
      <c r="F51" s="20">
        <v>0</v>
      </c>
      <c r="G51" s="8" t="s">
        <v>54</v>
      </c>
      <c r="H51" s="20">
        <v>0</v>
      </c>
      <c r="I51" s="8" t="s">
        <v>241</v>
      </c>
      <c r="J51" s="19">
        <v>0</v>
      </c>
      <c r="K51" s="8" t="s">
        <v>240</v>
      </c>
      <c r="L51" s="8" t="s">
        <v>55</v>
      </c>
      <c r="M51" s="8" t="s">
        <v>55</v>
      </c>
      <c r="N51" s="8" t="s">
        <v>55</v>
      </c>
      <c r="O51" s="8" t="s">
        <v>242</v>
      </c>
      <c r="P51" s="8" t="s">
        <v>53</v>
      </c>
    </row>
    <row r="52" spans="1:16" ht="12.75" customHeight="1" x14ac:dyDescent="0.2">
      <c r="A52" s="8" t="s">
        <v>72</v>
      </c>
      <c r="B52" s="18">
        <v>66317</v>
      </c>
      <c r="C52" s="19">
        <v>0</v>
      </c>
      <c r="D52" s="8" t="s">
        <v>99</v>
      </c>
      <c r="E52" s="20">
        <v>0</v>
      </c>
      <c r="F52" s="20">
        <v>5</v>
      </c>
      <c r="G52" s="8" t="s">
        <v>54</v>
      </c>
      <c r="H52" s="20">
        <v>5</v>
      </c>
      <c r="I52" s="8" t="s">
        <v>100</v>
      </c>
      <c r="J52" s="19">
        <v>0</v>
      </c>
      <c r="K52" s="8" t="s">
        <v>243</v>
      </c>
      <c r="L52" s="8" t="s">
        <v>55</v>
      </c>
      <c r="M52" s="8" t="s">
        <v>55</v>
      </c>
      <c r="N52" s="8" t="s">
        <v>55</v>
      </c>
      <c r="O52" s="8" t="s">
        <v>244</v>
      </c>
      <c r="P52" s="8" t="s">
        <v>72</v>
      </c>
    </row>
    <row r="53" spans="1:16" ht="12.75" customHeight="1" x14ac:dyDescent="0.2">
      <c r="A53" s="8" t="s">
        <v>72</v>
      </c>
      <c r="B53" s="18">
        <v>66318</v>
      </c>
      <c r="C53" s="19">
        <v>0</v>
      </c>
      <c r="D53" s="8" t="s">
        <v>101</v>
      </c>
      <c r="E53" s="20">
        <v>0</v>
      </c>
      <c r="F53" s="20">
        <v>1</v>
      </c>
      <c r="G53" s="8" t="s">
        <v>54</v>
      </c>
      <c r="H53" s="20">
        <v>1</v>
      </c>
      <c r="I53" s="8" t="s">
        <v>102</v>
      </c>
      <c r="J53" s="19">
        <v>0</v>
      </c>
      <c r="K53" s="8" t="s">
        <v>245</v>
      </c>
      <c r="L53" s="8" t="s">
        <v>55</v>
      </c>
      <c r="M53" s="8" t="s">
        <v>55</v>
      </c>
      <c r="N53" s="8" t="s">
        <v>55</v>
      </c>
      <c r="O53" s="8" t="s">
        <v>246</v>
      </c>
      <c r="P53" s="8" t="s">
        <v>72</v>
      </c>
    </row>
    <row r="54" spans="1:16" ht="12.75" customHeight="1" x14ac:dyDescent="0.2">
      <c r="A54" s="8" t="s">
        <v>72</v>
      </c>
      <c r="B54" s="18">
        <v>66319</v>
      </c>
      <c r="C54" s="19">
        <v>0</v>
      </c>
      <c r="D54" s="8" t="s">
        <v>247</v>
      </c>
      <c r="E54" s="20">
        <v>0</v>
      </c>
      <c r="F54" s="20">
        <v>3</v>
      </c>
      <c r="G54" s="8" t="s">
        <v>54</v>
      </c>
      <c r="H54" s="20">
        <v>3</v>
      </c>
      <c r="I54" s="8" t="s">
        <v>248</v>
      </c>
      <c r="J54" s="19">
        <v>0</v>
      </c>
      <c r="K54" s="8" t="s">
        <v>249</v>
      </c>
      <c r="L54" s="8" t="s">
        <v>55</v>
      </c>
      <c r="M54" s="8" t="s">
        <v>55</v>
      </c>
      <c r="N54" s="8" t="s">
        <v>55</v>
      </c>
      <c r="O54" s="8" t="s">
        <v>250</v>
      </c>
      <c r="P54" s="8" t="s">
        <v>72</v>
      </c>
    </row>
    <row r="55" spans="1:16" ht="12.75" customHeight="1" x14ac:dyDescent="0.2">
      <c r="A55" s="8" t="s">
        <v>53</v>
      </c>
      <c r="B55" s="18">
        <v>66320</v>
      </c>
      <c r="C55" s="19">
        <v>0</v>
      </c>
      <c r="D55" s="8" t="s">
        <v>103</v>
      </c>
      <c r="E55" s="20">
        <v>0</v>
      </c>
      <c r="F55" s="20">
        <v>0</v>
      </c>
      <c r="G55" s="8" t="s">
        <v>54</v>
      </c>
      <c r="H55" s="20">
        <v>0</v>
      </c>
      <c r="I55" s="8" t="s">
        <v>104</v>
      </c>
      <c r="J55" s="19">
        <v>0</v>
      </c>
      <c r="K55" s="8" t="s">
        <v>103</v>
      </c>
      <c r="L55" s="8" t="s">
        <v>55</v>
      </c>
      <c r="M55" s="8" t="s">
        <v>55</v>
      </c>
      <c r="N55" s="8" t="s">
        <v>55</v>
      </c>
      <c r="O55" s="8" t="s">
        <v>251</v>
      </c>
      <c r="P55" s="8" t="s">
        <v>53</v>
      </c>
    </row>
    <row r="56" spans="1:16" ht="12.75" customHeight="1" x14ac:dyDescent="0.2">
      <c r="A56" s="8" t="s">
        <v>72</v>
      </c>
      <c r="B56" s="18">
        <v>66321</v>
      </c>
      <c r="C56" s="19">
        <v>0</v>
      </c>
      <c r="D56" s="8" t="s">
        <v>105</v>
      </c>
      <c r="E56" s="20">
        <v>0</v>
      </c>
      <c r="F56" s="20">
        <v>1</v>
      </c>
      <c r="G56" s="8" t="s">
        <v>54</v>
      </c>
      <c r="H56" s="20">
        <v>1</v>
      </c>
      <c r="I56" s="8" t="s">
        <v>106</v>
      </c>
      <c r="J56" s="19">
        <v>0</v>
      </c>
      <c r="K56" s="8" t="s">
        <v>252</v>
      </c>
      <c r="L56" s="8" t="s">
        <v>55</v>
      </c>
      <c r="M56" s="8" t="s">
        <v>55</v>
      </c>
      <c r="N56" s="8" t="s">
        <v>55</v>
      </c>
      <c r="O56" s="8" t="s">
        <v>253</v>
      </c>
      <c r="P56" s="8" t="s">
        <v>72</v>
      </c>
    </row>
    <row r="57" spans="1:16" ht="12.75" customHeight="1" x14ac:dyDescent="0.2">
      <c r="A57" s="8" t="s">
        <v>72</v>
      </c>
      <c r="B57" s="18">
        <v>66322</v>
      </c>
      <c r="C57" s="19">
        <v>0</v>
      </c>
      <c r="D57" s="8" t="s">
        <v>254</v>
      </c>
      <c r="E57" s="20">
        <v>0</v>
      </c>
      <c r="F57" s="20">
        <v>5</v>
      </c>
      <c r="G57" s="8" t="s">
        <v>54</v>
      </c>
      <c r="H57" s="20">
        <v>5</v>
      </c>
      <c r="I57" s="8" t="s">
        <v>255</v>
      </c>
      <c r="J57" s="19">
        <v>0</v>
      </c>
      <c r="K57" s="8" t="s">
        <v>256</v>
      </c>
      <c r="L57" s="8" t="s">
        <v>55</v>
      </c>
      <c r="M57" s="8" t="s">
        <v>55</v>
      </c>
      <c r="N57" s="8" t="s">
        <v>55</v>
      </c>
      <c r="O57" s="8" t="s">
        <v>257</v>
      </c>
      <c r="P57" s="8" t="s">
        <v>72</v>
      </c>
    </row>
    <row r="58" spans="1:16" ht="12.75" customHeight="1" x14ac:dyDescent="0.2">
      <c r="A58" s="8" t="s">
        <v>72</v>
      </c>
      <c r="B58" s="18">
        <v>66323</v>
      </c>
      <c r="C58" s="19">
        <v>0</v>
      </c>
      <c r="D58" s="8" t="s">
        <v>143</v>
      </c>
      <c r="E58" s="20">
        <v>0</v>
      </c>
      <c r="F58" s="20">
        <v>3</v>
      </c>
      <c r="G58" s="8" t="s">
        <v>54</v>
      </c>
      <c r="H58" s="20">
        <v>3</v>
      </c>
      <c r="I58" s="8" t="s">
        <v>144</v>
      </c>
      <c r="J58" s="19">
        <v>0</v>
      </c>
      <c r="K58" s="8" t="s">
        <v>145</v>
      </c>
      <c r="L58" s="8" t="s">
        <v>55</v>
      </c>
      <c r="M58" s="8" t="s">
        <v>55</v>
      </c>
      <c r="N58" s="8" t="s">
        <v>55</v>
      </c>
      <c r="O58" s="8" t="s">
        <v>258</v>
      </c>
      <c r="P58" s="8" t="s">
        <v>72</v>
      </c>
    </row>
    <row r="59" spans="1:16" ht="12.75" customHeight="1" x14ac:dyDescent="0.2">
      <c r="A59" s="8" t="s">
        <v>107</v>
      </c>
      <c r="B59" s="18">
        <v>66324</v>
      </c>
      <c r="C59" s="19">
        <v>0</v>
      </c>
      <c r="D59" s="8" t="s">
        <v>108</v>
      </c>
      <c r="E59" s="20">
        <v>0</v>
      </c>
      <c r="F59" s="20">
        <v>1</v>
      </c>
      <c r="G59" s="8" t="s">
        <v>54</v>
      </c>
      <c r="H59" s="20">
        <v>1</v>
      </c>
      <c r="I59" s="8" t="s">
        <v>109</v>
      </c>
      <c r="J59" s="19">
        <v>0</v>
      </c>
      <c r="K59" s="8" t="s">
        <v>110</v>
      </c>
      <c r="L59" s="8" t="s">
        <v>55</v>
      </c>
      <c r="M59" s="8" t="s">
        <v>55</v>
      </c>
      <c r="N59" s="8" t="s">
        <v>55</v>
      </c>
      <c r="O59" s="8" t="s">
        <v>259</v>
      </c>
      <c r="P59" s="8" t="s">
        <v>107</v>
      </c>
    </row>
    <row r="60" spans="1:16" ht="12.75" customHeight="1" x14ac:dyDescent="0.2">
      <c r="A60" s="8" t="s">
        <v>72</v>
      </c>
      <c r="B60" s="18">
        <v>66325</v>
      </c>
      <c r="C60" s="19">
        <v>0</v>
      </c>
      <c r="D60" s="8" t="s">
        <v>260</v>
      </c>
      <c r="E60" s="20">
        <v>0</v>
      </c>
      <c r="F60" s="20">
        <v>6</v>
      </c>
      <c r="G60" s="8" t="s">
        <v>54</v>
      </c>
      <c r="H60" s="20">
        <v>6</v>
      </c>
      <c r="I60" s="8" t="s">
        <v>261</v>
      </c>
      <c r="J60" s="19">
        <v>0</v>
      </c>
      <c r="K60" s="8" t="s">
        <v>262</v>
      </c>
      <c r="L60" s="8" t="s">
        <v>55</v>
      </c>
      <c r="M60" s="8" t="s">
        <v>55</v>
      </c>
      <c r="N60" s="8" t="s">
        <v>55</v>
      </c>
      <c r="O60" s="8" t="s">
        <v>263</v>
      </c>
      <c r="P60" s="8" t="s">
        <v>72</v>
      </c>
    </row>
    <row r="61" spans="1:16" ht="12.75" customHeight="1" x14ac:dyDescent="0.2">
      <c r="A61" s="8" t="s">
        <v>72</v>
      </c>
      <c r="B61" s="18">
        <v>66326</v>
      </c>
      <c r="C61" s="19">
        <v>0</v>
      </c>
      <c r="D61" s="8" t="s">
        <v>111</v>
      </c>
      <c r="E61" s="20">
        <v>0</v>
      </c>
      <c r="F61" s="20">
        <v>8</v>
      </c>
      <c r="G61" s="8" t="s">
        <v>54</v>
      </c>
      <c r="H61" s="20">
        <v>8</v>
      </c>
      <c r="I61" s="8" t="s">
        <v>112</v>
      </c>
      <c r="J61" s="19">
        <v>0</v>
      </c>
      <c r="K61" s="8" t="s">
        <v>264</v>
      </c>
      <c r="L61" s="8" t="s">
        <v>55</v>
      </c>
      <c r="M61" s="8" t="s">
        <v>55</v>
      </c>
      <c r="N61" s="8" t="s">
        <v>55</v>
      </c>
      <c r="O61" s="8" t="s">
        <v>265</v>
      </c>
      <c r="P61" s="8" t="s">
        <v>72</v>
      </c>
    </row>
    <row r="62" spans="1:16" ht="12.75" customHeight="1" x14ac:dyDescent="0.2">
      <c r="A62" s="8" t="s">
        <v>72</v>
      </c>
      <c r="B62" s="18">
        <v>66327</v>
      </c>
      <c r="C62" s="19">
        <v>0</v>
      </c>
      <c r="D62" s="8" t="s">
        <v>113</v>
      </c>
      <c r="E62" s="20">
        <v>0</v>
      </c>
      <c r="F62" s="20">
        <v>2</v>
      </c>
      <c r="G62" s="8" t="s">
        <v>54</v>
      </c>
      <c r="H62" s="20">
        <v>2</v>
      </c>
      <c r="I62" s="8" t="s">
        <v>114</v>
      </c>
      <c r="J62" s="19">
        <v>0</v>
      </c>
      <c r="K62" s="8" t="s">
        <v>266</v>
      </c>
      <c r="L62" s="8" t="s">
        <v>55</v>
      </c>
      <c r="M62" s="8" t="s">
        <v>55</v>
      </c>
      <c r="N62" s="8" t="s">
        <v>55</v>
      </c>
      <c r="O62" s="8" t="s">
        <v>267</v>
      </c>
      <c r="P62" s="8" t="s">
        <v>72</v>
      </c>
    </row>
    <row r="63" spans="1:16" ht="12.75" customHeight="1" x14ac:dyDescent="0.2">
      <c r="A63" s="8" t="s">
        <v>62</v>
      </c>
      <c r="B63" s="18">
        <v>66328</v>
      </c>
      <c r="C63" s="19">
        <v>0</v>
      </c>
      <c r="D63" s="8" t="s">
        <v>115</v>
      </c>
      <c r="E63" s="20">
        <v>0</v>
      </c>
      <c r="F63" s="20">
        <v>1</v>
      </c>
      <c r="G63" s="8" t="s">
        <v>54</v>
      </c>
      <c r="H63" s="20">
        <v>1</v>
      </c>
      <c r="I63" s="8" t="s">
        <v>116</v>
      </c>
      <c r="J63" s="19">
        <v>0</v>
      </c>
      <c r="K63" s="8" t="s">
        <v>117</v>
      </c>
      <c r="L63" s="8" t="s">
        <v>55</v>
      </c>
      <c r="M63" s="8" t="s">
        <v>55</v>
      </c>
      <c r="N63" s="8" t="s">
        <v>55</v>
      </c>
      <c r="O63" s="8" t="s">
        <v>268</v>
      </c>
      <c r="P63" s="8" t="s">
        <v>62</v>
      </c>
    </row>
    <row r="64" spans="1:16" ht="12.75" customHeight="1" x14ac:dyDescent="0.2">
      <c r="A64" s="8" t="s">
        <v>72</v>
      </c>
      <c r="B64" s="18">
        <v>66329</v>
      </c>
      <c r="C64" s="19">
        <v>0</v>
      </c>
      <c r="D64" s="8" t="s">
        <v>118</v>
      </c>
      <c r="E64" s="20">
        <v>0</v>
      </c>
      <c r="F64" s="20">
        <v>1</v>
      </c>
      <c r="G64" s="8" t="s">
        <v>54</v>
      </c>
      <c r="H64" s="20">
        <v>1</v>
      </c>
      <c r="I64" s="8" t="s">
        <v>119</v>
      </c>
      <c r="J64" s="19">
        <v>0</v>
      </c>
      <c r="K64" s="8" t="s">
        <v>120</v>
      </c>
      <c r="L64" s="8" t="s">
        <v>55</v>
      </c>
      <c r="M64" s="8" t="s">
        <v>55</v>
      </c>
      <c r="N64" s="8" t="s">
        <v>55</v>
      </c>
      <c r="O64" s="8" t="s">
        <v>269</v>
      </c>
      <c r="P64" s="8" t="s">
        <v>72</v>
      </c>
    </row>
    <row r="65" spans="1:16" ht="12.75" customHeight="1" x14ac:dyDescent="0.2">
      <c r="A65" s="8" t="s">
        <v>107</v>
      </c>
      <c r="B65" s="18">
        <v>66330</v>
      </c>
      <c r="C65" s="19">
        <v>0</v>
      </c>
      <c r="D65" s="8" t="s">
        <v>121</v>
      </c>
      <c r="E65" s="20">
        <v>0</v>
      </c>
      <c r="F65" s="20">
        <v>0</v>
      </c>
      <c r="G65" s="8" t="s">
        <v>54</v>
      </c>
      <c r="H65" s="20">
        <v>0</v>
      </c>
      <c r="I65" s="8" t="s">
        <v>122</v>
      </c>
      <c r="J65" s="19">
        <v>0</v>
      </c>
      <c r="K65" s="8" t="s">
        <v>123</v>
      </c>
      <c r="L65" s="8" t="s">
        <v>55</v>
      </c>
      <c r="M65" s="8" t="s">
        <v>55</v>
      </c>
      <c r="N65" s="8" t="s">
        <v>55</v>
      </c>
      <c r="O65" s="8" t="s">
        <v>270</v>
      </c>
      <c r="P65" s="8" t="s">
        <v>107</v>
      </c>
    </row>
    <row r="66" spans="1:16" ht="12.75" customHeight="1" x14ac:dyDescent="0.2">
      <c r="A66" s="8" t="s">
        <v>62</v>
      </c>
      <c r="B66" s="18">
        <v>66331</v>
      </c>
      <c r="C66" s="19">
        <v>0</v>
      </c>
      <c r="D66" s="8" t="s">
        <v>124</v>
      </c>
      <c r="E66" s="20">
        <v>0</v>
      </c>
      <c r="F66" s="20">
        <v>10</v>
      </c>
      <c r="G66" s="8" t="s">
        <v>54</v>
      </c>
      <c r="H66" s="20">
        <v>10</v>
      </c>
      <c r="I66" s="8" t="s">
        <v>125</v>
      </c>
      <c r="J66" s="19">
        <v>0</v>
      </c>
      <c r="K66" s="8" t="s">
        <v>126</v>
      </c>
      <c r="L66" s="8" t="s">
        <v>55</v>
      </c>
      <c r="M66" s="8" t="s">
        <v>55</v>
      </c>
      <c r="N66" s="8" t="s">
        <v>55</v>
      </c>
      <c r="O66" s="8" t="s">
        <v>271</v>
      </c>
      <c r="P66" s="8" t="s">
        <v>62</v>
      </c>
    </row>
    <row r="67" spans="1:16" ht="12.75" customHeight="1" x14ac:dyDescent="0.2">
      <c r="A67" s="8" t="s">
        <v>53</v>
      </c>
      <c r="B67" s="18">
        <v>66332</v>
      </c>
      <c r="C67" s="19">
        <v>0</v>
      </c>
      <c r="D67" s="8" t="s">
        <v>127</v>
      </c>
      <c r="E67" s="20">
        <v>0</v>
      </c>
      <c r="F67" s="20">
        <v>0</v>
      </c>
      <c r="G67" s="8" t="s">
        <v>54</v>
      </c>
      <c r="H67" s="20">
        <v>0</v>
      </c>
      <c r="I67" s="8" t="s">
        <v>128</v>
      </c>
      <c r="J67" s="19">
        <v>0</v>
      </c>
      <c r="K67" s="8" t="s">
        <v>127</v>
      </c>
      <c r="L67" s="8" t="s">
        <v>55</v>
      </c>
      <c r="M67" s="8" t="s">
        <v>55</v>
      </c>
      <c r="N67" s="8" t="s">
        <v>55</v>
      </c>
      <c r="O67" s="8" t="s">
        <v>272</v>
      </c>
      <c r="P67" s="8" t="s">
        <v>53</v>
      </c>
    </row>
    <row r="68" spans="1:16" ht="12.75" customHeight="1" x14ac:dyDescent="0.2">
      <c r="A68" s="8" t="s">
        <v>53</v>
      </c>
      <c r="B68" s="18">
        <v>66333</v>
      </c>
      <c r="C68" s="19">
        <v>0</v>
      </c>
      <c r="D68" s="8" t="s">
        <v>273</v>
      </c>
      <c r="E68" s="20">
        <v>0</v>
      </c>
      <c r="F68" s="20">
        <v>0</v>
      </c>
      <c r="G68" s="8" t="s">
        <v>54</v>
      </c>
      <c r="H68" s="20">
        <v>0</v>
      </c>
      <c r="I68" s="8" t="s">
        <v>274</v>
      </c>
      <c r="J68" s="19">
        <v>0</v>
      </c>
      <c r="K68" s="8" t="s">
        <v>273</v>
      </c>
      <c r="L68" s="8" t="s">
        <v>55</v>
      </c>
      <c r="M68" s="8" t="s">
        <v>55</v>
      </c>
      <c r="N68" s="8" t="s">
        <v>55</v>
      </c>
      <c r="O68" s="8" t="s">
        <v>275</v>
      </c>
      <c r="P68" s="8" t="s">
        <v>53</v>
      </c>
    </row>
    <row r="69" spans="1:16" ht="12.75" customHeight="1" x14ac:dyDescent="0.2">
      <c r="A69" s="8" t="s">
        <v>62</v>
      </c>
      <c r="B69" s="18">
        <v>66334</v>
      </c>
      <c r="C69" s="19">
        <v>0</v>
      </c>
      <c r="D69" s="8" t="s">
        <v>129</v>
      </c>
      <c r="E69" s="20">
        <v>0</v>
      </c>
      <c r="F69" s="20">
        <v>8</v>
      </c>
      <c r="G69" s="8" t="s">
        <v>54</v>
      </c>
      <c r="H69" s="20">
        <v>8</v>
      </c>
      <c r="I69" s="8" t="s">
        <v>130</v>
      </c>
      <c r="J69" s="19">
        <v>0</v>
      </c>
      <c r="K69" s="8" t="s">
        <v>131</v>
      </c>
      <c r="L69" s="8" t="s">
        <v>55</v>
      </c>
      <c r="M69" s="8" t="s">
        <v>55</v>
      </c>
      <c r="N69" s="8" t="s">
        <v>55</v>
      </c>
      <c r="O69" s="8" t="s">
        <v>276</v>
      </c>
      <c r="P69" s="8" t="s">
        <v>62</v>
      </c>
    </row>
    <row r="70" spans="1:16" ht="12.75" customHeight="1" x14ac:dyDescent="0.2">
      <c r="A70" s="8" t="s">
        <v>53</v>
      </c>
      <c r="B70" s="18">
        <v>66335</v>
      </c>
      <c r="C70" s="19">
        <v>0</v>
      </c>
      <c r="D70" s="8" t="s">
        <v>132</v>
      </c>
      <c r="E70" s="20">
        <v>0</v>
      </c>
      <c r="F70" s="20">
        <v>0</v>
      </c>
      <c r="G70" s="8" t="s">
        <v>54</v>
      </c>
      <c r="H70" s="20">
        <v>0</v>
      </c>
      <c r="I70" s="8" t="s">
        <v>133</v>
      </c>
      <c r="J70" s="19">
        <v>0</v>
      </c>
      <c r="K70" s="8" t="s">
        <v>132</v>
      </c>
      <c r="L70" s="8" t="s">
        <v>55</v>
      </c>
      <c r="M70" s="8" t="s">
        <v>55</v>
      </c>
      <c r="N70" s="8" t="s">
        <v>55</v>
      </c>
      <c r="O70" s="8" t="s">
        <v>277</v>
      </c>
      <c r="P70" s="8" t="s">
        <v>53</v>
      </c>
    </row>
    <row r="71" spans="1:16" ht="12.75" customHeight="1" x14ac:dyDescent="0.2">
      <c r="A71" s="8" t="s">
        <v>62</v>
      </c>
      <c r="B71" s="18">
        <v>66336</v>
      </c>
      <c r="C71" s="19">
        <v>0</v>
      </c>
      <c r="D71" s="8" t="s">
        <v>278</v>
      </c>
      <c r="E71" s="20">
        <v>0</v>
      </c>
      <c r="F71" s="20">
        <v>1</v>
      </c>
      <c r="G71" s="8" t="s">
        <v>54</v>
      </c>
      <c r="H71" s="20">
        <v>1</v>
      </c>
      <c r="I71" s="8" t="s">
        <v>279</v>
      </c>
      <c r="J71" s="19">
        <v>0</v>
      </c>
      <c r="K71" s="8" t="s">
        <v>280</v>
      </c>
      <c r="L71" s="8" t="s">
        <v>55</v>
      </c>
      <c r="M71" s="8" t="s">
        <v>55</v>
      </c>
      <c r="N71" s="8" t="s">
        <v>55</v>
      </c>
      <c r="O71" s="8" t="s">
        <v>281</v>
      </c>
      <c r="P71" s="8" t="s">
        <v>62</v>
      </c>
    </row>
    <row r="72" spans="1:16" ht="12.75" customHeight="1" x14ac:dyDescent="0.2">
      <c r="A72" s="8" t="s">
        <v>53</v>
      </c>
      <c r="B72" s="18">
        <v>66337</v>
      </c>
      <c r="C72" s="19">
        <v>0</v>
      </c>
      <c r="D72" s="8" t="s">
        <v>63</v>
      </c>
      <c r="E72" s="20">
        <v>0</v>
      </c>
      <c r="F72" s="20">
        <v>0</v>
      </c>
      <c r="G72" s="8" t="s">
        <v>54</v>
      </c>
      <c r="H72" s="20">
        <v>0</v>
      </c>
      <c r="I72" s="8" t="s">
        <v>64</v>
      </c>
      <c r="J72" s="19">
        <v>0</v>
      </c>
      <c r="K72" s="8" t="s">
        <v>65</v>
      </c>
      <c r="L72" s="8" t="s">
        <v>55</v>
      </c>
      <c r="M72" s="8" t="s">
        <v>55</v>
      </c>
      <c r="N72" s="8" t="s">
        <v>55</v>
      </c>
      <c r="O72" s="8" t="s">
        <v>282</v>
      </c>
      <c r="P72" s="8" t="s">
        <v>53</v>
      </c>
    </row>
    <row r="73" spans="1:16" ht="12.75" customHeight="1" x14ac:dyDescent="0.2">
      <c r="A73" s="8" t="s">
        <v>66</v>
      </c>
      <c r="B73" s="18">
        <v>66338</v>
      </c>
      <c r="C73" s="19">
        <v>0</v>
      </c>
      <c r="D73" s="8" t="s">
        <v>67</v>
      </c>
      <c r="E73" s="20">
        <v>0</v>
      </c>
      <c r="F73" s="20">
        <v>2</v>
      </c>
      <c r="G73" s="8" t="s">
        <v>54</v>
      </c>
      <c r="H73" s="20">
        <v>2</v>
      </c>
      <c r="I73" s="8" t="s">
        <v>68</v>
      </c>
      <c r="J73" s="19">
        <v>0</v>
      </c>
      <c r="K73" s="8" t="s">
        <v>69</v>
      </c>
      <c r="L73" s="8" t="s">
        <v>55</v>
      </c>
      <c r="M73" s="8" t="s">
        <v>55</v>
      </c>
      <c r="N73" s="8" t="s">
        <v>55</v>
      </c>
      <c r="O73" s="8" t="s">
        <v>283</v>
      </c>
      <c r="P73" s="8" t="s">
        <v>66</v>
      </c>
    </row>
    <row r="74" spans="1:16" ht="12.75" customHeight="1" x14ac:dyDescent="0.2"/>
    <row r="75" spans="1:16" ht="12.75" customHeight="1" x14ac:dyDescent="0.2"/>
    <row r="76" spans="1:16" ht="12.75" customHeight="1" x14ac:dyDescent="0.2">
      <c r="B76" s="8" t="s">
        <v>284</v>
      </c>
    </row>
    <row r="77" spans="1:16" ht="12.75" customHeight="1" x14ac:dyDescent="0.2"/>
    <row r="78" spans="1:16" ht="12.75" customHeight="1" x14ac:dyDescent="0.2"/>
    <row r="79" spans="1:16" ht="12.75" customHeight="1" x14ac:dyDescent="0.2">
      <c r="B79" s="8" t="s">
        <v>285</v>
      </c>
      <c r="C79" s="8" t="s">
        <v>42</v>
      </c>
      <c r="D79" s="8" t="s">
        <v>286</v>
      </c>
      <c r="E79" s="8" t="s">
        <v>287</v>
      </c>
      <c r="F79" s="8" t="s">
        <v>36</v>
      </c>
      <c r="G79" s="8" t="s">
        <v>288</v>
      </c>
      <c r="H79" s="8" t="s">
        <v>10</v>
      </c>
      <c r="I79" s="8" t="s">
        <v>289</v>
      </c>
      <c r="J79" s="8" t="s">
        <v>290</v>
      </c>
      <c r="K79" s="8" t="s">
        <v>19</v>
      </c>
      <c r="L79" s="8" t="s">
        <v>19</v>
      </c>
      <c r="M79" s="8" t="s">
        <v>19</v>
      </c>
    </row>
    <row r="80" spans="1:16" ht="12.75" customHeight="1" x14ac:dyDescent="0.2">
      <c r="M80" s="8" t="s">
        <v>291</v>
      </c>
    </row>
    <row r="81" spans="1:12" ht="12.75" customHeight="1" x14ac:dyDescent="0.2">
      <c r="A81" s="8" t="s">
        <v>19</v>
      </c>
    </row>
    <row r="82" spans="1:12" ht="12.75" customHeight="1" x14ac:dyDescent="0.2"/>
    <row r="83" spans="1:12" ht="12.75" customHeight="1" x14ac:dyDescent="0.2"/>
    <row r="84" spans="1:12" ht="12.75" customHeight="1" x14ac:dyDescent="0.2"/>
    <row r="85" spans="1:12" ht="12.75" customHeight="1" x14ac:dyDescent="0.2">
      <c r="B85" s="8" t="s">
        <v>292</v>
      </c>
      <c r="C85" s="8" t="s">
        <v>42</v>
      </c>
      <c r="D85" s="8" t="s">
        <v>293</v>
      </c>
      <c r="E85" s="8" t="s">
        <v>288</v>
      </c>
      <c r="F85" s="8" t="s">
        <v>294</v>
      </c>
      <c r="G85" s="8" t="s">
        <v>295</v>
      </c>
      <c r="H85" s="8" t="s">
        <v>36</v>
      </c>
      <c r="I85" s="8" t="s">
        <v>290</v>
      </c>
      <c r="J85" s="8" t="s">
        <v>296</v>
      </c>
      <c r="K85" s="8" t="s">
        <v>0</v>
      </c>
      <c r="L85" s="8" t="s">
        <v>1</v>
      </c>
    </row>
    <row r="86" spans="1:12" ht="12.75" customHeight="1" x14ac:dyDescent="0.2">
      <c r="A86" s="18">
        <v>35618</v>
      </c>
      <c r="B86" s="8" t="s">
        <v>19</v>
      </c>
      <c r="C86" s="8" t="s">
        <v>297</v>
      </c>
      <c r="D86" s="20">
        <v>2</v>
      </c>
      <c r="E86" s="8" t="s">
        <v>298</v>
      </c>
      <c r="F86" s="8" t="s">
        <v>299</v>
      </c>
      <c r="G86" s="8" t="s">
        <v>25</v>
      </c>
      <c r="H86" s="8" t="s">
        <v>300</v>
      </c>
      <c r="I86" s="8" t="s">
        <v>300</v>
      </c>
      <c r="J86" s="8" t="s">
        <v>300</v>
      </c>
      <c r="L86" s="8" t="s">
        <v>19</v>
      </c>
    </row>
    <row r="87" spans="1:12" ht="12.75" customHeight="1" x14ac:dyDescent="0.2">
      <c r="A87" s="8" t="s">
        <v>301</v>
      </c>
      <c r="B87" s="19">
        <v>46006</v>
      </c>
      <c r="C87" s="20">
        <v>2</v>
      </c>
    </row>
    <row r="88" spans="1:12" ht="12.75" customHeight="1" x14ac:dyDescent="0.2"/>
    <row r="89" spans="1:12" ht="12.75" customHeight="1" x14ac:dyDescent="0.2">
      <c r="A89" s="18">
        <v>35619</v>
      </c>
      <c r="B89" s="8" t="s">
        <v>19</v>
      </c>
      <c r="C89" s="8" t="s">
        <v>302</v>
      </c>
      <c r="D89" s="20">
        <v>2</v>
      </c>
      <c r="E89" s="8" t="s">
        <v>303</v>
      </c>
      <c r="F89" s="8" t="s">
        <v>304</v>
      </c>
      <c r="G89" s="8" t="s">
        <v>25</v>
      </c>
      <c r="H89" s="8" t="s">
        <v>300</v>
      </c>
      <c r="I89" s="8" t="s">
        <v>300</v>
      </c>
      <c r="J89" s="8" t="s">
        <v>300</v>
      </c>
      <c r="L89" s="8" t="s">
        <v>19</v>
      </c>
    </row>
    <row r="90" spans="1:12" ht="12.75" customHeight="1" x14ac:dyDescent="0.2">
      <c r="A90" s="8" t="s">
        <v>305</v>
      </c>
      <c r="B90" s="19">
        <v>46003</v>
      </c>
      <c r="C90" s="20">
        <v>2</v>
      </c>
    </row>
    <row r="91" spans="1:12" ht="12.75" customHeight="1" x14ac:dyDescent="0.2"/>
    <row r="92" spans="1:12" ht="12.75" customHeight="1" x14ac:dyDescent="0.2">
      <c r="A92" s="18">
        <v>35620</v>
      </c>
      <c r="B92" s="8" t="s">
        <v>19</v>
      </c>
      <c r="C92" s="8" t="s">
        <v>306</v>
      </c>
      <c r="D92" s="20">
        <v>1</v>
      </c>
      <c r="E92" s="8" t="s">
        <v>307</v>
      </c>
      <c r="F92" s="8" t="s">
        <v>308</v>
      </c>
      <c r="G92" s="8" t="s">
        <v>25</v>
      </c>
      <c r="H92" s="8" t="s">
        <v>300</v>
      </c>
      <c r="I92" s="8" t="s">
        <v>300</v>
      </c>
      <c r="J92" s="8" t="s">
        <v>300</v>
      </c>
      <c r="L92" s="8" t="s">
        <v>19</v>
      </c>
    </row>
    <row r="93" spans="1:12" ht="12.75" customHeight="1" x14ac:dyDescent="0.2">
      <c r="A93" s="8" t="s">
        <v>309</v>
      </c>
    </row>
    <row r="94" spans="1:12" ht="12.75" customHeight="1" x14ac:dyDescent="0.2">
      <c r="A94" s="8" t="s">
        <v>310</v>
      </c>
      <c r="B94" s="19">
        <v>45981</v>
      </c>
      <c r="C94" s="20">
        <v>1</v>
      </c>
    </row>
    <row r="95" spans="1:12" ht="12.75" customHeight="1" x14ac:dyDescent="0.2"/>
    <row r="96" spans="1:12" ht="12.75" customHeight="1" x14ac:dyDescent="0.2">
      <c r="A96" s="18">
        <v>35621</v>
      </c>
      <c r="B96" s="8" t="s">
        <v>19</v>
      </c>
      <c r="C96" s="8" t="s">
        <v>311</v>
      </c>
      <c r="D96" s="20">
        <v>1</v>
      </c>
      <c r="E96" s="8" t="s">
        <v>312</v>
      </c>
      <c r="F96" s="8" t="s">
        <v>19</v>
      </c>
      <c r="G96" s="8" t="s">
        <v>25</v>
      </c>
      <c r="H96" s="8" t="s">
        <v>300</v>
      </c>
      <c r="I96" s="8" t="s">
        <v>300</v>
      </c>
      <c r="J96" s="8" t="s">
        <v>300</v>
      </c>
      <c r="L96" s="8" t="s">
        <v>19</v>
      </c>
    </row>
    <row r="97" spans="1:12" ht="12.75" customHeight="1" x14ac:dyDescent="0.2">
      <c r="A97" s="8" t="s">
        <v>310</v>
      </c>
      <c r="B97" s="19">
        <v>45981</v>
      </c>
      <c r="C97" s="20">
        <v>1</v>
      </c>
    </row>
    <row r="98" spans="1:12" ht="12.75" customHeight="1" x14ac:dyDescent="0.2"/>
    <row r="99" spans="1:12" ht="12.75" customHeight="1" x14ac:dyDescent="0.2">
      <c r="A99" s="18">
        <v>39122</v>
      </c>
      <c r="B99" s="8" t="s">
        <v>19</v>
      </c>
      <c r="C99" s="8" t="s">
        <v>313</v>
      </c>
      <c r="D99" s="20">
        <v>4</v>
      </c>
      <c r="E99" s="8" t="s">
        <v>314</v>
      </c>
      <c r="F99" s="8" t="s">
        <v>315</v>
      </c>
      <c r="G99" s="8" t="s">
        <v>25</v>
      </c>
      <c r="H99" s="8" t="s">
        <v>300</v>
      </c>
      <c r="I99" s="8" t="s">
        <v>300</v>
      </c>
      <c r="J99" s="8" t="s">
        <v>300</v>
      </c>
      <c r="L99" s="8" t="s">
        <v>19</v>
      </c>
    </row>
    <row r="100" spans="1:12" ht="12.75" customHeight="1" x14ac:dyDescent="0.2">
      <c r="A100" s="8" t="s">
        <v>316</v>
      </c>
      <c r="B100" s="19">
        <v>46055</v>
      </c>
      <c r="C100" s="20">
        <v>4</v>
      </c>
    </row>
    <row r="101" spans="1:12" ht="12.75" customHeight="1" x14ac:dyDescent="0.2"/>
    <row r="102" spans="1:12" ht="12.75" customHeight="1" x14ac:dyDescent="0.2">
      <c r="A102" s="18">
        <v>39123</v>
      </c>
      <c r="B102" s="8" t="s">
        <v>19</v>
      </c>
      <c r="C102" s="8" t="s">
        <v>317</v>
      </c>
      <c r="D102" s="20">
        <v>100</v>
      </c>
      <c r="E102" s="8" t="s">
        <v>318</v>
      </c>
      <c r="F102" s="8" t="s">
        <v>319</v>
      </c>
      <c r="G102" s="8" t="s">
        <v>25</v>
      </c>
      <c r="H102" s="8" t="s">
        <v>300</v>
      </c>
      <c r="I102" s="8" t="s">
        <v>300</v>
      </c>
      <c r="J102" s="8" t="s">
        <v>300</v>
      </c>
      <c r="L102" s="8" t="s">
        <v>19</v>
      </c>
    </row>
    <row r="103" spans="1:12" ht="12.75" customHeight="1" x14ac:dyDescent="0.2">
      <c r="B103" s="19">
        <v>46055</v>
      </c>
    </row>
    <row r="104" spans="1:12" ht="12.75" customHeight="1" x14ac:dyDescent="0.2"/>
    <row r="105" spans="1:12" ht="12.75" customHeight="1" x14ac:dyDescent="0.2">
      <c r="A105" s="18">
        <v>39124</v>
      </c>
      <c r="B105" s="8" t="s">
        <v>19</v>
      </c>
      <c r="C105" s="8" t="s">
        <v>320</v>
      </c>
      <c r="D105" s="20">
        <v>50</v>
      </c>
      <c r="E105" s="8" t="s">
        <v>321</v>
      </c>
      <c r="F105" s="8" t="s">
        <v>315</v>
      </c>
      <c r="G105" s="8" t="s">
        <v>25</v>
      </c>
      <c r="H105" s="8" t="s">
        <v>300</v>
      </c>
      <c r="I105" s="8" t="s">
        <v>300</v>
      </c>
      <c r="J105" s="8" t="s">
        <v>300</v>
      </c>
      <c r="L105" s="8" t="s">
        <v>19</v>
      </c>
    </row>
    <row r="106" spans="1:12" ht="12.75" customHeight="1" x14ac:dyDescent="0.2">
      <c r="A106" s="8" t="s">
        <v>316</v>
      </c>
      <c r="B106" s="19">
        <v>46055</v>
      </c>
      <c r="C106" s="20">
        <v>50</v>
      </c>
    </row>
    <row r="107" spans="1:12" ht="12.75" customHeight="1" x14ac:dyDescent="0.2"/>
    <row r="108" spans="1:12" ht="12.75" customHeight="1" x14ac:dyDescent="0.2">
      <c r="A108" s="18">
        <v>39125</v>
      </c>
      <c r="B108" s="8" t="s">
        <v>19</v>
      </c>
      <c r="C108" s="8" t="s">
        <v>322</v>
      </c>
      <c r="D108" s="20">
        <v>4</v>
      </c>
      <c r="E108" s="8" t="s">
        <v>323</v>
      </c>
      <c r="F108" s="8" t="s">
        <v>319</v>
      </c>
      <c r="G108" s="8" t="s">
        <v>25</v>
      </c>
      <c r="H108" s="8" t="s">
        <v>300</v>
      </c>
      <c r="I108" s="8" t="s">
        <v>300</v>
      </c>
      <c r="J108" s="8" t="s">
        <v>300</v>
      </c>
      <c r="L108" s="8" t="s">
        <v>19</v>
      </c>
    </row>
    <row r="109" spans="1:12" ht="12.75" customHeight="1" x14ac:dyDescent="0.2">
      <c r="A109" s="8" t="s">
        <v>316</v>
      </c>
      <c r="B109" s="19">
        <v>46055</v>
      </c>
      <c r="C109" s="20">
        <v>4</v>
      </c>
    </row>
    <row r="111" spans="1:12" ht="12.75" customHeight="1" x14ac:dyDescent="0.2">
      <c r="A111" s="18">
        <v>39126</v>
      </c>
      <c r="B111" s="8" t="s">
        <v>19</v>
      </c>
      <c r="C111" s="8" t="s">
        <v>324</v>
      </c>
      <c r="D111" s="20">
        <v>100</v>
      </c>
      <c r="E111" s="8" t="s">
        <v>325</v>
      </c>
      <c r="F111" s="8" t="s">
        <v>319</v>
      </c>
      <c r="G111" s="8" t="s">
        <v>25</v>
      </c>
      <c r="H111" s="8" t="s">
        <v>300</v>
      </c>
      <c r="I111" s="8" t="s">
        <v>300</v>
      </c>
      <c r="J111" s="8" t="s">
        <v>300</v>
      </c>
      <c r="L111" s="8" t="s">
        <v>19</v>
      </c>
    </row>
    <row r="112" spans="1:12" ht="12.75" customHeight="1" x14ac:dyDescent="0.2">
      <c r="A112" s="8" t="s">
        <v>316</v>
      </c>
      <c r="B112" s="19">
        <v>46055</v>
      </c>
      <c r="C112" s="20">
        <v>100</v>
      </c>
    </row>
    <row r="114" spans="1:12" ht="12.75" customHeight="1" x14ac:dyDescent="0.2">
      <c r="A114" s="18">
        <v>39127</v>
      </c>
      <c r="B114" s="8" t="s">
        <v>19</v>
      </c>
      <c r="C114" s="8" t="s">
        <v>326</v>
      </c>
      <c r="D114" s="20">
        <v>1</v>
      </c>
      <c r="E114" s="8" t="s">
        <v>327</v>
      </c>
      <c r="F114" s="8" t="s">
        <v>328</v>
      </c>
      <c r="G114" s="8" t="s">
        <v>25</v>
      </c>
      <c r="H114" s="8" t="s">
        <v>300</v>
      </c>
      <c r="I114" s="8" t="s">
        <v>300</v>
      </c>
      <c r="J114" s="8" t="s">
        <v>300</v>
      </c>
      <c r="L114" s="8" t="s">
        <v>19</v>
      </c>
    </row>
    <row r="115" spans="1:12" ht="12.75" customHeight="1" x14ac:dyDescent="0.2">
      <c r="A115" s="8" t="s">
        <v>329</v>
      </c>
      <c r="B115" s="19">
        <v>46055</v>
      </c>
      <c r="C115" s="20">
        <v>1</v>
      </c>
    </row>
    <row r="117" spans="1:12" ht="12.75" customHeight="1" x14ac:dyDescent="0.2">
      <c r="A117" s="18">
        <v>39128</v>
      </c>
      <c r="B117" s="8" t="s">
        <v>19</v>
      </c>
      <c r="C117" s="8" t="s">
        <v>330</v>
      </c>
      <c r="D117" s="20">
        <v>1</v>
      </c>
      <c r="E117" s="8" t="s">
        <v>331</v>
      </c>
      <c r="F117" s="8" t="s">
        <v>332</v>
      </c>
      <c r="G117" s="8" t="s">
        <v>25</v>
      </c>
      <c r="H117" s="8" t="s">
        <v>300</v>
      </c>
      <c r="I117" s="8" t="s">
        <v>300</v>
      </c>
      <c r="J117" s="8" t="s">
        <v>300</v>
      </c>
      <c r="L117" s="8" t="s">
        <v>19</v>
      </c>
    </row>
    <row r="118" spans="1:12" ht="12.75" customHeight="1" x14ac:dyDescent="0.2">
      <c r="A118" s="8" t="s">
        <v>329</v>
      </c>
      <c r="B118" s="19">
        <v>46055</v>
      </c>
      <c r="C118" s="20">
        <v>1</v>
      </c>
    </row>
    <row r="120" spans="1:12" ht="12.75" customHeight="1" x14ac:dyDescent="0.2">
      <c r="A120" s="18">
        <v>39129</v>
      </c>
      <c r="B120" s="8" t="s">
        <v>19</v>
      </c>
      <c r="C120" s="8" t="s">
        <v>333</v>
      </c>
      <c r="D120" s="20">
        <v>1</v>
      </c>
      <c r="E120" s="8" t="s">
        <v>334</v>
      </c>
      <c r="F120" s="8" t="s">
        <v>19</v>
      </c>
      <c r="G120" s="8" t="s">
        <v>25</v>
      </c>
      <c r="H120" s="8" t="s">
        <v>300</v>
      </c>
      <c r="I120" s="8" t="s">
        <v>300</v>
      </c>
      <c r="J120" s="8" t="s">
        <v>300</v>
      </c>
      <c r="L120" s="8" t="s">
        <v>19</v>
      </c>
    </row>
    <row r="121" spans="1:12" ht="12.75" customHeight="1" x14ac:dyDescent="0.2">
      <c r="A121" s="8" t="s">
        <v>335</v>
      </c>
      <c r="B121" s="19">
        <v>46065</v>
      </c>
      <c r="C121" s="20">
        <v>1</v>
      </c>
    </row>
    <row r="123" spans="1:12" ht="12.75" customHeight="1" x14ac:dyDescent="0.2">
      <c r="A123" s="18">
        <v>39130</v>
      </c>
      <c r="B123" s="8" t="s">
        <v>19</v>
      </c>
      <c r="C123" s="8" t="s">
        <v>336</v>
      </c>
      <c r="D123" s="20">
        <v>1</v>
      </c>
      <c r="E123" s="8" t="s">
        <v>337</v>
      </c>
      <c r="F123" s="8" t="s">
        <v>338</v>
      </c>
      <c r="G123" s="8" t="s">
        <v>25</v>
      </c>
      <c r="H123" s="8" t="s">
        <v>300</v>
      </c>
      <c r="I123" s="8" t="s">
        <v>300</v>
      </c>
      <c r="J123" s="8" t="s">
        <v>300</v>
      </c>
      <c r="L123" s="8" t="s">
        <v>19</v>
      </c>
    </row>
    <row r="124" spans="1:12" ht="12.75" customHeight="1" x14ac:dyDescent="0.2">
      <c r="A124" s="8" t="s">
        <v>339</v>
      </c>
    </row>
    <row r="125" spans="1:12" ht="12.75" customHeight="1" x14ac:dyDescent="0.2">
      <c r="A125" s="8" t="s">
        <v>340</v>
      </c>
      <c r="B125" s="19">
        <v>46049</v>
      </c>
      <c r="C125" s="20">
        <v>1</v>
      </c>
    </row>
    <row r="127" spans="1:12" ht="12.75" customHeight="1" x14ac:dyDescent="0.2">
      <c r="A127" s="18">
        <v>39131</v>
      </c>
      <c r="B127" s="8" t="s">
        <v>19</v>
      </c>
      <c r="C127" s="8" t="s">
        <v>341</v>
      </c>
      <c r="D127" s="20">
        <v>1</v>
      </c>
      <c r="E127" s="8" t="s">
        <v>342</v>
      </c>
      <c r="F127" s="8" t="s">
        <v>19</v>
      </c>
      <c r="G127" s="8" t="s">
        <v>25</v>
      </c>
      <c r="H127" s="8" t="s">
        <v>300</v>
      </c>
      <c r="I127" s="8" t="s">
        <v>300</v>
      </c>
      <c r="J127" s="8" t="s">
        <v>300</v>
      </c>
      <c r="L127" s="8" t="s">
        <v>19</v>
      </c>
    </row>
    <row r="128" spans="1:12" ht="12.75" customHeight="1" x14ac:dyDescent="0.2">
      <c r="A128" s="8" t="s">
        <v>340</v>
      </c>
      <c r="B128" s="19">
        <v>46049</v>
      </c>
      <c r="C128" s="20">
        <v>1</v>
      </c>
    </row>
    <row r="130" spans="1:12" ht="12.75" customHeight="1" x14ac:dyDescent="0.2">
      <c r="A130" s="18">
        <v>39136</v>
      </c>
      <c r="B130" s="8" t="s">
        <v>19</v>
      </c>
      <c r="C130" s="8" t="s">
        <v>343</v>
      </c>
      <c r="D130" s="20">
        <v>2.5</v>
      </c>
      <c r="E130" s="8" t="s">
        <v>344</v>
      </c>
      <c r="F130" s="8" t="s">
        <v>345</v>
      </c>
      <c r="G130" s="8" t="s">
        <v>25</v>
      </c>
      <c r="H130" s="8" t="s">
        <v>300</v>
      </c>
      <c r="I130" s="8" t="s">
        <v>300</v>
      </c>
      <c r="J130" s="8" t="s">
        <v>300</v>
      </c>
      <c r="L130" s="8" t="s">
        <v>19</v>
      </c>
    </row>
    <row r="131" spans="1:12" ht="12.75" customHeight="1" x14ac:dyDescent="0.2">
      <c r="A131" s="8" t="s">
        <v>346</v>
      </c>
    </row>
    <row r="132" spans="1:12" ht="12.75" customHeight="1" x14ac:dyDescent="0.2">
      <c r="A132" s="8" t="s">
        <v>347</v>
      </c>
      <c r="B132" s="19">
        <v>46069</v>
      </c>
      <c r="C132" s="20">
        <v>1</v>
      </c>
    </row>
    <row r="133" spans="1:12" ht="12.75" customHeight="1" x14ac:dyDescent="0.2">
      <c r="A133" s="8" t="s">
        <v>347</v>
      </c>
      <c r="B133" s="19">
        <v>46069</v>
      </c>
      <c r="C133" s="20">
        <v>2</v>
      </c>
    </row>
    <row r="135" spans="1:12" ht="12.75" customHeight="1" x14ac:dyDescent="0.2">
      <c r="A135" s="18">
        <v>39137</v>
      </c>
      <c r="B135" s="8" t="s">
        <v>19</v>
      </c>
      <c r="C135" s="8" t="s">
        <v>348</v>
      </c>
      <c r="D135" s="20">
        <v>6</v>
      </c>
      <c r="E135" s="8" t="s">
        <v>349</v>
      </c>
      <c r="F135" s="8" t="s">
        <v>350</v>
      </c>
      <c r="G135" s="8" t="s">
        <v>25</v>
      </c>
      <c r="H135" s="8" t="s">
        <v>300</v>
      </c>
      <c r="I135" s="8" t="s">
        <v>300</v>
      </c>
      <c r="J135" s="8" t="s">
        <v>300</v>
      </c>
      <c r="L135" s="8" t="s">
        <v>19</v>
      </c>
    </row>
    <row r="136" spans="1:12" ht="12.75" customHeight="1" x14ac:dyDescent="0.2">
      <c r="A136" s="8" t="s">
        <v>351</v>
      </c>
    </row>
    <row r="137" spans="1:12" ht="12.75" customHeight="1" x14ac:dyDescent="0.2">
      <c r="A137" s="8" t="s">
        <v>347</v>
      </c>
      <c r="B137" s="19">
        <v>46069</v>
      </c>
      <c r="C137" s="20">
        <v>10</v>
      </c>
    </row>
    <row r="139" spans="1:12" ht="12.75" customHeight="1" x14ac:dyDescent="0.2">
      <c r="A139" s="18">
        <v>39138</v>
      </c>
      <c r="B139" s="8" t="s">
        <v>19</v>
      </c>
      <c r="C139" s="8" t="s">
        <v>352</v>
      </c>
      <c r="D139" s="20">
        <v>1</v>
      </c>
      <c r="E139" s="8" t="s">
        <v>353</v>
      </c>
      <c r="F139" s="8" t="s">
        <v>354</v>
      </c>
      <c r="G139" s="8" t="s">
        <v>25</v>
      </c>
      <c r="H139" s="8" t="s">
        <v>300</v>
      </c>
      <c r="I139" s="8" t="s">
        <v>300</v>
      </c>
      <c r="J139" s="8" t="s">
        <v>300</v>
      </c>
      <c r="L139" s="8" t="s">
        <v>19</v>
      </c>
    </row>
    <row r="140" spans="1:12" ht="12.75" customHeight="1" x14ac:dyDescent="0.2">
      <c r="A140" s="8" t="s">
        <v>355</v>
      </c>
    </row>
    <row r="141" spans="1:12" ht="12.75" customHeight="1" x14ac:dyDescent="0.2">
      <c r="A141" s="8" t="s">
        <v>347</v>
      </c>
      <c r="B141" s="19">
        <v>46069</v>
      </c>
      <c r="C141" s="20">
        <v>1</v>
      </c>
    </row>
    <row r="143" spans="1:12" ht="12.75" customHeight="1" x14ac:dyDescent="0.2">
      <c r="A143" s="18">
        <v>39139</v>
      </c>
      <c r="B143" s="8" t="s">
        <v>19</v>
      </c>
      <c r="C143" s="8" t="s">
        <v>356</v>
      </c>
      <c r="D143" s="20">
        <v>1</v>
      </c>
      <c r="E143" s="8" t="s">
        <v>357</v>
      </c>
      <c r="F143" s="8" t="s">
        <v>358</v>
      </c>
      <c r="G143" s="8" t="s">
        <v>25</v>
      </c>
      <c r="H143" s="8" t="s">
        <v>300</v>
      </c>
      <c r="I143" s="8" t="s">
        <v>300</v>
      </c>
      <c r="J143" s="8" t="s">
        <v>300</v>
      </c>
      <c r="L143" s="8" t="s">
        <v>19</v>
      </c>
    </row>
    <row r="144" spans="1:12" ht="12.75" customHeight="1" x14ac:dyDescent="0.2">
      <c r="A144" s="8" t="s">
        <v>351</v>
      </c>
    </row>
    <row r="145" spans="1:12" ht="12.75" customHeight="1" x14ac:dyDescent="0.2">
      <c r="A145" s="8" t="s">
        <v>347</v>
      </c>
      <c r="B145" s="19">
        <v>46069</v>
      </c>
      <c r="C145" s="20">
        <v>1</v>
      </c>
    </row>
    <row r="147" spans="1:12" ht="12.75" customHeight="1" x14ac:dyDescent="0.2">
      <c r="A147" s="18">
        <v>39140</v>
      </c>
      <c r="B147" s="8" t="s">
        <v>19</v>
      </c>
      <c r="C147" s="8" t="s">
        <v>359</v>
      </c>
      <c r="D147" s="20">
        <v>1</v>
      </c>
      <c r="E147" s="8" t="s">
        <v>360</v>
      </c>
      <c r="F147" s="8" t="s">
        <v>361</v>
      </c>
      <c r="G147" s="8" t="s">
        <v>25</v>
      </c>
      <c r="H147" s="8" t="s">
        <v>300</v>
      </c>
      <c r="I147" s="8" t="s">
        <v>300</v>
      </c>
      <c r="J147" s="8" t="s">
        <v>300</v>
      </c>
      <c r="L147" s="8" t="s">
        <v>19</v>
      </c>
    </row>
    <row r="148" spans="1:12" ht="12.75" customHeight="1" x14ac:dyDescent="0.2">
      <c r="A148" s="8" t="s">
        <v>351</v>
      </c>
    </row>
    <row r="149" spans="1:12" ht="12.75" customHeight="1" x14ac:dyDescent="0.2">
      <c r="A149" s="8" t="s">
        <v>347</v>
      </c>
      <c r="B149" s="19">
        <v>46069</v>
      </c>
      <c r="C149" s="20">
        <v>1</v>
      </c>
    </row>
    <row r="151" spans="1:12" ht="12.75" customHeight="1" x14ac:dyDescent="0.2">
      <c r="A151" s="18">
        <v>39141</v>
      </c>
      <c r="B151" s="8" t="s">
        <v>19</v>
      </c>
      <c r="C151" s="8" t="s">
        <v>362</v>
      </c>
      <c r="D151" s="20">
        <v>1</v>
      </c>
      <c r="E151" s="8" t="s">
        <v>363</v>
      </c>
      <c r="F151" s="8" t="s">
        <v>364</v>
      </c>
      <c r="G151" s="8" t="s">
        <v>25</v>
      </c>
      <c r="H151" s="8" t="s">
        <v>300</v>
      </c>
      <c r="I151" s="8" t="s">
        <v>300</v>
      </c>
      <c r="J151" s="8" t="s">
        <v>300</v>
      </c>
      <c r="L151" s="8" t="s">
        <v>19</v>
      </c>
    </row>
    <row r="152" spans="1:12" ht="12.75" customHeight="1" x14ac:dyDescent="0.2">
      <c r="A152" s="8" t="s">
        <v>351</v>
      </c>
    </row>
    <row r="153" spans="1:12" ht="12.75" customHeight="1" x14ac:dyDescent="0.2">
      <c r="A153" s="8" t="s">
        <v>347</v>
      </c>
      <c r="B153" s="19">
        <v>46069</v>
      </c>
      <c r="C153" s="20">
        <v>1</v>
      </c>
    </row>
    <row r="155" spans="1:12" ht="12.75" customHeight="1" x14ac:dyDescent="0.2">
      <c r="A155" s="18">
        <v>39142</v>
      </c>
      <c r="B155" s="8" t="s">
        <v>19</v>
      </c>
      <c r="C155" s="8" t="s">
        <v>365</v>
      </c>
      <c r="D155" s="20">
        <v>1</v>
      </c>
      <c r="E155" s="8" t="s">
        <v>366</v>
      </c>
      <c r="F155" s="8" t="s">
        <v>367</v>
      </c>
      <c r="G155" s="8" t="s">
        <v>25</v>
      </c>
      <c r="H155" s="8" t="s">
        <v>300</v>
      </c>
      <c r="I155" s="8" t="s">
        <v>300</v>
      </c>
      <c r="J155" s="8" t="s">
        <v>300</v>
      </c>
      <c r="L155" s="8" t="s">
        <v>19</v>
      </c>
    </row>
    <row r="156" spans="1:12" ht="12.75" customHeight="1" x14ac:dyDescent="0.2">
      <c r="A156" s="8" t="s">
        <v>351</v>
      </c>
    </row>
    <row r="157" spans="1:12" ht="12.75" customHeight="1" x14ac:dyDescent="0.2">
      <c r="A157" s="8" t="s">
        <v>347</v>
      </c>
      <c r="B157" s="19">
        <v>46069</v>
      </c>
      <c r="C157" s="20">
        <v>1</v>
      </c>
    </row>
    <row r="159" spans="1:12" ht="12.75" customHeight="1" x14ac:dyDescent="0.2">
      <c r="A159" s="18">
        <v>39143</v>
      </c>
      <c r="B159" s="8" t="s">
        <v>19</v>
      </c>
      <c r="C159" s="8" t="s">
        <v>368</v>
      </c>
      <c r="D159" s="20">
        <v>1</v>
      </c>
      <c r="E159" s="8" t="s">
        <v>369</v>
      </c>
      <c r="F159" s="8" t="s">
        <v>370</v>
      </c>
      <c r="G159" s="8" t="s">
        <v>25</v>
      </c>
      <c r="H159" s="8" t="s">
        <v>300</v>
      </c>
      <c r="I159" s="8" t="s">
        <v>300</v>
      </c>
      <c r="J159" s="8" t="s">
        <v>300</v>
      </c>
      <c r="L159" s="8" t="s">
        <v>19</v>
      </c>
    </row>
    <row r="160" spans="1:12" ht="12.75" customHeight="1" x14ac:dyDescent="0.2">
      <c r="A160" s="8" t="s">
        <v>351</v>
      </c>
    </row>
    <row r="161" spans="1:12" ht="12.75" customHeight="1" x14ac:dyDescent="0.2">
      <c r="A161" s="8" t="s">
        <v>347</v>
      </c>
      <c r="B161" s="19">
        <v>46069</v>
      </c>
      <c r="C161" s="20">
        <v>1</v>
      </c>
    </row>
    <row r="163" spans="1:12" ht="12.75" customHeight="1" x14ac:dyDescent="0.2">
      <c r="A163" s="18">
        <v>39144</v>
      </c>
      <c r="B163" s="8" t="s">
        <v>19</v>
      </c>
      <c r="C163" s="8" t="s">
        <v>371</v>
      </c>
      <c r="D163" s="20">
        <v>1</v>
      </c>
      <c r="E163" s="8" t="s">
        <v>372</v>
      </c>
      <c r="F163" s="8" t="s">
        <v>373</v>
      </c>
      <c r="G163" s="8" t="s">
        <v>25</v>
      </c>
      <c r="H163" s="8" t="s">
        <v>300</v>
      </c>
      <c r="I163" s="8" t="s">
        <v>300</v>
      </c>
      <c r="J163" s="8" t="s">
        <v>300</v>
      </c>
      <c r="L163" s="8" t="s">
        <v>19</v>
      </c>
    </row>
    <row r="164" spans="1:12" ht="12.75" customHeight="1" x14ac:dyDescent="0.2">
      <c r="A164" s="8" t="s">
        <v>351</v>
      </c>
    </row>
    <row r="165" spans="1:12" ht="12.75" customHeight="1" x14ac:dyDescent="0.2">
      <c r="A165" s="8" t="s">
        <v>347</v>
      </c>
      <c r="B165" s="19">
        <v>46069</v>
      </c>
      <c r="C165" s="20">
        <v>1</v>
      </c>
    </row>
    <row r="167" spans="1:12" ht="12.75" customHeight="1" x14ac:dyDescent="0.2">
      <c r="A167" s="18">
        <v>39145</v>
      </c>
      <c r="B167" s="8" t="s">
        <v>19</v>
      </c>
      <c r="C167" s="8" t="s">
        <v>374</v>
      </c>
      <c r="D167" s="20">
        <v>1</v>
      </c>
      <c r="E167" s="8" t="s">
        <v>375</v>
      </c>
      <c r="F167" s="8" t="s">
        <v>376</v>
      </c>
      <c r="G167" s="8" t="s">
        <v>25</v>
      </c>
      <c r="H167" s="8" t="s">
        <v>300</v>
      </c>
      <c r="I167" s="8" t="s">
        <v>300</v>
      </c>
      <c r="J167" s="8" t="s">
        <v>300</v>
      </c>
      <c r="L167" s="8" t="s">
        <v>19</v>
      </c>
    </row>
    <row r="168" spans="1:12" ht="12.75" customHeight="1" x14ac:dyDescent="0.2">
      <c r="A168" s="8" t="s">
        <v>347</v>
      </c>
      <c r="B168" s="19">
        <v>46069</v>
      </c>
      <c r="C168" s="20">
        <v>1</v>
      </c>
    </row>
    <row r="170" spans="1:12" ht="12.75" customHeight="1" x14ac:dyDescent="0.2">
      <c r="A170" s="18">
        <v>39146</v>
      </c>
      <c r="B170" s="8" t="s">
        <v>19</v>
      </c>
      <c r="C170" s="8" t="s">
        <v>377</v>
      </c>
      <c r="D170" s="20">
        <v>1</v>
      </c>
      <c r="E170" s="8" t="s">
        <v>378</v>
      </c>
      <c r="F170" s="8" t="s">
        <v>379</v>
      </c>
      <c r="G170" s="8" t="s">
        <v>25</v>
      </c>
      <c r="H170" s="8" t="s">
        <v>300</v>
      </c>
      <c r="I170" s="8" t="s">
        <v>300</v>
      </c>
      <c r="J170" s="8" t="s">
        <v>300</v>
      </c>
      <c r="L170" s="8" t="s">
        <v>19</v>
      </c>
    </row>
    <row r="171" spans="1:12" ht="12.75" customHeight="1" x14ac:dyDescent="0.2">
      <c r="A171" s="8" t="s">
        <v>346</v>
      </c>
    </row>
    <row r="172" spans="1:12" ht="12.75" customHeight="1" x14ac:dyDescent="0.2">
      <c r="A172" s="8" t="s">
        <v>347</v>
      </c>
      <c r="B172" s="19">
        <v>46069</v>
      </c>
      <c r="C172" s="20">
        <v>1</v>
      </c>
    </row>
    <row r="174" spans="1:12" ht="12.75" customHeight="1" x14ac:dyDescent="0.2">
      <c r="A174" s="18">
        <v>39147</v>
      </c>
      <c r="B174" s="8" t="s">
        <v>19</v>
      </c>
      <c r="C174" s="8" t="s">
        <v>380</v>
      </c>
      <c r="D174" s="20">
        <v>1</v>
      </c>
      <c r="E174" s="8" t="s">
        <v>381</v>
      </c>
      <c r="F174" s="8" t="s">
        <v>382</v>
      </c>
      <c r="G174" s="8" t="s">
        <v>25</v>
      </c>
      <c r="H174" s="8" t="s">
        <v>300</v>
      </c>
      <c r="I174" s="8" t="s">
        <v>300</v>
      </c>
      <c r="J174" s="8" t="s">
        <v>300</v>
      </c>
      <c r="L174" s="8" t="s">
        <v>19</v>
      </c>
    </row>
    <row r="175" spans="1:12" ht="12.75" customHeight="1" x14ac:dyDescent="0.2">
      <c r="A175" s="8" t="s">
        <v>346</v>
      </c>
    </row>
    <row r="176" spans="1:12" ht="12.75" customHeight="1" x14ac:dyDescent="0.2">
      <c r="A176" s="8" t="s">
        <v>347</v>
      </c>
      <c r="B176" s="19">
        <v>46069</v>
      </c>
      <c r="C176" s="20">
        <v>1</v>
      </c>
    </row>
    <row r="178" spans="1:12" ht="12.75" customHeight="1" x14ac:dyDescent="0.2">
      <c r="A178" s="18">
        <v>39148</v>
      </c>
      <c r="B178" s="8" t="s">
        <v>19</v>
      </c>
      <c r="C178" s="8" t="s">
        <v>383</v>
      </c>
      <c r="D178" s="20">
        <v>1</v>
      </c>
      <c r="E178" s="8" t="s">
        <v>384</v>
      </c>
      <c r="F178" s="8" t="s">
        <v>385</v>
      </c>
      <c r="G178" s="8" t="s">
        <v>25</v>
      </c>
      <c r="H178" s="8" t="s">
        <v>300</v>
      </c>
      <c r="I178" s="8" t="s">
        <v>300</v>
      </c>
      <c r="J178" s="8" t="s">
        <v>300</v>
      </c>
      <c r="L178" s="8" t="s">
        <v>19</v>
      </c>
    </row>
    <row r="179" spans="1:12" ht="12.75" customHeight="1" x14ac:dyDescent="0.2">
      <c r="A179" s="8" t="s">
        <v>346</v>
      </c>
    </row>
    <row r="180" spans="1:12" ht="12.75" customHeight="1" x14ac:dyDescent="0.2">
      <c r="A180" s="8" t="s">
        <v>347</v>
      </c>
      <c r="B180" s="19">
        <v>46069</v>
      </c>
      <c r="C180" s="20">
        <v>1</v>
      </c>
    </row>
    <row r="182" spans="1:12" ht="12.75" customHeight="1" x14ac:dyDescent="0.2">
      <c r="A182" s="18">
        <v>39149</v>
      </c>
      <c r="B182" s="8" t="s">
        <v>19</v>
      </c>
      <c r="C182" s="8" t="s">
        <v>386</v>
      </c>
      <c r="D182" s="20">
        <v>1</v>
      </c>
      <c r="E182" s="8" t="s">
        <v>387</v>
      </c>
      <c r="F182" s="8" t="s">
        <v>388</v>
      </c>
      <c r="G182" s="8" t="s">
        <v>25</v>
      </c>
      <c r="H182" s="8" t="s">
        <v>300</v>
      </c>
      <c r="I182" s="8" t="s">
        <v>300</v>
      </c>
      <c r="J182" s="8" t="s">
        <v>300</v>
      </c>
      <c r="L182" s="8" t="s">
        <v>19</v>
      </c>
    </row>
    <row r="183" spans="1:12" ht="12.75" customHeight="1" x14ac:dyDescent="0.2">
      <c r="A183" s="8" t="s">
        <v>346</v>
      </c>
    </row>
    <row r="184" spans="1:12" ht="12.75" customHeight="1" x14ac:dyDescent="0.2">
      <c r="A184" s="8" t="s">
        <v>347</v>
      </c>
      <c r="B184" s="19">
        <v>46069</v>
      </c>
      <c r="C184" s="20">
        <v>1</v>
      </c>
    </row>
    <row r="186" spans="1:12" ht="12.75" customHeight="1" x14ac:dyDescent="0.2">
      <c r="A186" s="18">
        <v>39150</v>
      </c>
      <c r="B186" s="8" t="s">
        <v>19</v>
      </c>
      <c r="C186" s="8" t="s">
        <v>389</v>
      </c>
      <c r="D186" s="20">
        <v>1</v>
      </c>
      <c r="E186" s="8" t="s">
        <v>390</v>
      </c>
      <c r="F186" s="8" t="s">
        <v>391</v>
      </c>
      <c r="G186" s="8" t="s">
        <v>25</v>
      </c>
      <c r="H186" s="8" t="s">
        <v>300</v>
      </c>
      <c r="I186" s="8" t="s">
        <v>300</v>
      </c>
      <c r="J186" s="8" t="s">
        <v>300</v>
      </c>
      <c r="L186" s="8" t="s">
        <v>19</v>
      </c>
    </row>
    <row r="187" spans="1:12" ht="12.75" customHeight="1" x14ac:dyDescent="0.2">
      <c r="A187" s="8" t="s">
        <v>346</v>
      </c>
    </row>
    <row r="188" spans="1:12" ht="12.75" customHeight="1" x14ac:dyDescent="0.2">
      <c r="A188" s="8" t="s">
        <v>347</v>
      </c>
      <c r="B188" s="19">
        <v>46069</v>
      </c>
      <c r="C188" s="20">
        <v>1</v>
      </c>
    </row>
    <row r="190" spans="1:12" ht="12.75" customHeight="1" x14ac:dyDescent="0.2">
      <c r="A190" s="18">
        <v>39151</v>
      </c>
      <c r="B190" s="8" t="s">
        <v>19</v>
      </c>
      <c r="C190" s="8" t="s">
        <v>392</v>
      </c>
      <c r="D190" s="20">
        <v>2</v>
      </c>
      <c r="E190" s="8" t="s">
        <v>393</v>
      </c>
      <c r="F190" s="8" t="s">
        <v>394</v>
      </c>
      <c r="G190" s="8" t="s">
        <v>25</v>
      </c>
      <c r="H190" s="8" t="s">
        <v>300</v>
      </c>
      <c r="I190" s="8" t="s">
        <v>300</v>
      </c>
      <c r="J190" s="8" t="s">
        <v>300</v>
      </c>
      <c r="L190" s="8" t="s">
        <v>19</v>
      </c>
    </row>
    <row r="191" spans="1:12" ht="12.75" customHeight="1" x14ac:dyDescent="0.2">
      <c r="A191" s="8" t="s">
        <v>351</v>
      </c>
    </row>
    <row r="192" spans="1:12" ht="12.75" customHeight="1" x14ac:dyDescent="0.2">
      <c r="A192" s="8" t="s">
        <v>347</v>
      </c>
      <c r="B192" s="19">
        <v>46069</v>
      </c>
      <c r="C192" s="20">
        <v>2</v>
      </c>
    </row>
    <row r="194" spans="1:12" ht="12.75" customHeight="1" x14ac:dyDescent="0.2">
      <c r="A194" s="18">
        <v>39350</v>
      </c>
      <c r="B194" s="8" t="s">
        <v>19</v>
      </c>
      <c r="C194" s="8" t="s">
        <v>395</v>
      </c>
      <c r="D194" s="20">
        <v>1</v>
      </c>
      <c r="E194" s="8" t="s">
        <v>396</v>
      </c>
      <c r="F194" s="8" t="s">
        <v>397</v>
      </c>
      <c r="G194" s="8" t="s">
        <v>25</v>
      </c>
      <c r="H194" s="8" t="s">
        <v>300</v>
      </c>
      <c r="I194" s="8" t="s">
        <v>300</v>
      </c>
      <c r="J194" s="8" t="s">
        <v>300</v>
      </c>
      <c r="L194" s="8" t="s">
        <v>19</v>
      </c>
    </row>
    <row r="195" spans="1:12" ht="12.75" customHeight="1" x14ac:dyDescent="0.2">
      <c r="A195" s="8" t="s">
        <v>335</v>
      </c>
      <c r="B195" s="19">
        <v>46065</v>
      </c>
      <c r="C195" s="20">
        <v>3</v>
      </c>
    </row>
    <row r="197" spans="1:12" ht="12.75" customHeight="1" x14ac:dyDescent="0.2">
      <c r="A197" s="18">
        <v>39355</v>
      </c>
      <c r="B197" s="8" t="s">
        <v>19</v>
      </c>
      <c r="C197" s="8" t="s">
        <v>398</v>
      </c>
      <c r="D197" s="20">
        <v>1</v>
      </c>
      <c r="E197" s="8" t="s">
        <v>399</v>
      </c>
      <c r="F197" s="8" t="s">
        <v>19</v>
      </c>
      <c r="G197" s="8" t="s">
        <v>25</v>
      </c>
      <c r="H197" s="8" t="s">
        <v>300</v>
      </c>
      <c r="I197" s="8" t="s">
        <v>300</v>
      </c>
      <c r="J197" s="8" t="s">
        <v>300</v>
      </c>
      <c r="L197" s="8" t="s">
        <v>19</v>
      </c>
    </row>
    <row r="198" spans="1:12" ht="12.75" customHeight="1" x14ac:dyDescent="0.2">
      <c r="A198" s="8" t="s">
        <v>335</v>
      </c>
      <c r="B198" s="19">
        <v>46065</v>
      </c>
      <c r="C198" s="20">
        <v>1</v>
      </c>
    </row>
    <row r="202" spans="1:12" ht="12.75" customHeight="1" x14ac:dyDescent="0.2">
      <c r="B202" s="8" t="s">
        <v>400</v>
      </c>
      <c r="C202" s="8" t="s">
        <v>401</v>
      </c>
      <c r="D202" s="8" t="s">
        <v>45</v>
      </c>
      <c r="E202" s="8" t="s">
        <v>33</v>
      </c>
      <c r="F202" s="8" t="s">
        <v>402</v>
      </c>
      <c r="G202" s="8" t="s">
        <v>403</v>
      </c>
      <c r="H202" s="8" t="s">
        <v>404</v>
      </c>
      <c r="I202" s="8" t="s">
        <v>48</v>
      </c>
    </row>
    <row r="203" spans="1:12" ht="12.75" customHeight="1" x14ac:dyDescent="0.2">
      <c r="G203" s="8" t="s">
        <v>24</v>
      </c>
    </row>
    <row r="206" spans="1:12" ht="12.75" customHeight="1" x14ac:dyDescent="0.2">
      <c r="B206" s="8" t="s">
        <v>405</v>
      </c>
      <c r="C206" s="8" t="s">
        <v>294</v>
      </c>
      <c r="D206" s="8" t="s">
        <v>406</v>
      </c>
      <c r="E206" s="8" t="s">
        <v>295</v>
      </c>
      <c r="F206" s="8" t="s">
        <v>36</v>
      </c>
      <c r="H206" s="8" t="s">
        <v>47</v>
      </c>
      <c r="I206" s="8" t="s">
        <v>10</v>
      </c>
      <c r="J206" s="8" t="s">
        <v>290</v>
      </c>
    </row>
    <row r="208" spans="1:12" ht="12.75" customHeight="1" x14ac:dyDescent="0.2">
      <c r="B208" s="8" t="s">
        <v>16</v>
      </c>
      <c r="C208" s="8" t="s">
        <v>147</v>
      </c>
      <c r="E208" s="8" t="s">
        <v>19</v>
      </c>
      <c r="F208" s="8" t="s">
        <v>19</v>
      </c>
      <c r="G208" s="8" t="s">
        <v>21</v>
      </c>
      <c r="H208" s="8" t="s">
        <v>19</v>
      </c>
      <c r="J208" s="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70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70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70</v>
      </c>
      <c r="B16" s="38" t="str">
        <f>'Build Plan w Hours'!E9</f>
        <v>Oper/Serv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70</v>
      </c>
      <c r="B22" s="38">
        <f>'Build Plan w Hours'!E10</f>
        <v>0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70</v>
      </c>
      <c r="B28" s="38">
        <f>'Build Plan w Hours'!E11</f>
        <v>0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70</v>
      </c>
      <c r="B34" s="38">
        <f>'Build Plan w Hours'!E12</f>
        <v>5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70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.107</v>
      </c>
      <c r="C44" s="40" t="str">
        <f>'Build Plan w Hours'!D14</f>
        <v>Build Repads for Nozzles, drill and tap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70</v>
      </c>
      <c r="B46" s="38">
        <f>'Build Plan w Hours'!E14</f>
        <v>1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.110</v>
      </c>
      <c r="C50" s="40" t="str">
        <f>'Build Plan w Hours'!D15</f>
        <v>Build dip tubes and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70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70</v>
      </c>
      <c r="B58" s="38">
        <f>'Build Plan w Hours'!E16</f>
        <v>10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70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70</v>
      </c>
      <c r="B70" s="38">
        <f>'Build Plan w Hours'!E18</f>
        <v>6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70</v>
      </c>
      <c r="B76" s="38">
        <f>'Build Plan w Hours'!E19</f>
        <v>2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VORTEX BREAKER &amp; (2) WEAR 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70</v>
      </c>
      <c r="B82" s="38">
        <f>'Build Plan w Hours'!E20</f>
        <v>2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.300</v>
      </c>
      <c r="C86" s="40" t="str">
        <f>'Build Plan w Hours'!D21</f>
        <v>Wrap top and bottom heads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70</v>
      </c>
      <c r="B88" s="38">
        <f>'Build Plan w Hours'!E21</f>
        <v>1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70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70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WELD OUTSIDE SEAM W/COBOT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70</v>
      </c>
      <c r="B106" s="38">
        <f>'Build Plan w Hours'!E24</f>
        <v>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.325</v>
      </c>
      <c r="C110" s="40" t="str">
        <f>'Build Plan w Hours'!D25</f>
        <v>Install body flange on shell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70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.326</v>
      </c>
      <c r="C116" s="40" t="str">
        <f>'Build Plan w Hours'!D26</f>
        <v>Weld Body Flange on Shell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70</v>
      </c>
      <c r="B118" s="38">
        <f>'Build Plan w Hours'!E26</f>
        <v>4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70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CUT HOLES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70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tack_x000D_
INCL (1) LIFT LUG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70</v>
      </c>
      <c r="B136" s="38">
        <f>'Build Plan w Hours'!E29</f>
        <v>6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INCL (1) LIFT LUG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70</v>
      </c>
      <c r="B142" s="38">
        <f>'Build Plan w Hours'!E30</f>
        <v>8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70</v>
      </c>
      <c r="B148" s="38">
        <f>'Build Plan w Hours'!E31</f>
        <v>1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INSTALL (4) GUSSETS FOR N7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70</v>
      </c>
      <c r="B154" s="38">
        <f>'Build Plan w Hours'!E32</f>
        <v>2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.382</v>
      </c>
      <c r="C158" s="40" t="str">
        <f>'Build Plan w Hours'!D33</f>
        <v>Install body flange on top head; 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70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.383</v>
      </c>
      <c r="C164" s="40" t="str">
        <f>'Build Plan w Hours'!D34</f>
        <v>Weld body flange - top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70</v>
      </c>
      <c r="B166" s="38">
        <f>'Build Plan w Hours'!E34</f>
        <v>4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.395</v>
      </c>
      <c r="C170" s="40" t="str">
        <f>'Build Plan w Hours'!D35</f>
        <v>Polish inside weld seams - top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70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70</v>
      </c>
      <c r="B178" s="38">
        <f>'Build Plan w Hours'!E36</f>
        <v>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.455</v>
      </c>
      <c r="C182" s="40" t="str">
        <f>'Build Plan w Hours'!D37</f>
        <v>Lay out bottom head, burn and clean holes_x000D_
CUT HOLES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70</v>
      </c>
      <c r="B184" s="38">
        <f>'Build Plan w Hours'!E37</f>
        <v>1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.465</v>
      </c>
      <c r="C188" s="40" t="str">
        <f>'Build Plan w Hours'!D38</f>
        <v>Set  nozzles in bottom head - tack_x000D_
INCL VORTEX BREAKER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70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.466</v>
      </c>
      <c r="C194" s="40" t="str">
        <f>'Build Plan w Hours'!D39</f>
        <v>Weld nozzles in bottom head; weld complete_x000D_
INCL VORTEX BREAKER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70</v>
      </c>
      <c r="B196" s="38">
        <f>'Build Plan w Hours'!E39</f>
        <v>3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.495</v>
      </c>
      <c r="C200" s="40" t="str">
        <f>'Build Plan w Hours'!D40</f>
        <v>Polish inside weld seams - bottom head_x000D_
INCL WEAR PADS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70</v>
      </c>
      <c r="B202" s="38">
        <f>'Build Plan w Hours'!E40</f>
        <v>3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.OI1</v>
      </c>
      <c r="C206" s="40" t="str">
        <f>'Build Plan w Hours'!D41</f>
        <v>ASME Hold Point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70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.600</v>
      </c>
      <c r="C212" s="40" t="str">
        <f>'Build Plan w Hours'!D42</f>
        <v>Fit bottom head to shell_x000D_
AND WELD INSIDE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70</v>
      </c>
      <c r="B214" s="38">
        <f>'Build Plan w Hours'!E42</f>
        <v>5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.620</v>
      </c>
      <c r="C218" s="40" t="str">
        <f>'Build Plan w Hours'!D43</f>
        <v>Lay out shell, burn and clean holes_x000D_
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70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.638</v>
      </c>
      <c r="C224" s="40" t="str">
        <f>'Build Plan w Hours'!D44</f>
        <v>Polish inside weld seams - shell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70</v>
      </c>
      <c r="B226" s="38">
        <f>'Build Plan w Hours'!E44</f>
        <v>3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70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70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MAKE FULL PEN WELD FROM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70</v>
      </c>
      <c r="B244" s="38">
        <f>'Build Plan w Hours'!E47</f>
        <v>5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70</v>
      </c>
      <c r="B250" s="38">
        <f>'Build Plan w Hours'!E48</f>
        <v>3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70</v>
      </c>
      <c r="B256" s="38">
        <f>'Build Plan w Hours'!E49</f>
        <v>1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.715</v>
      </c>
      <c r="C260" s="40" t="str">
        <f>'Build Plan w Hours'!D50</f>
        <v>Install insulation/vacuum rings - tack_x000D_
(2) INSULATION RINGS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70</v>
      </c>
      <c r="B262" s="38">
        <f>'Build Plan w Hours'!E50</f>
        <v>6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.720</v>
      </c>
      <c r="C266" s="40" t="str">
        <f>'Build Plan w Hours'!D51</f>
        <v>Install supports - legs, lugs, anchors, saddles, skirt_x000D_
AND WELD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70</v>
      </c>
      <c r="B268" s="38">
        <f>'Build Plan w Hours'!E51</f>
        <v>8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.725</v>
      </c>
      <c r="C272" s="40" t="str">
        <f>'Build Plan w Hours'!D52</f>
        <v>Set nozzles in shell - tack_x000D_
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70</v>
      </c>
      <c r="B274" s="38">
        <f>'Build Plan w Hours'!E52</f>
        <v>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70</v>
      </c>
      <c r="B280" s="38">
        <f>'Build Plan w Hours'!E53</f>
        <v>1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70</v>
      </c>
      <c r="B286" s="38">
        <f>'Build Plan w Hours'!E54</f>
        <v>1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70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.910</v>
      </c>
      <c r="C296" s="40" t="str">
        <f>'Build Plan w Hours'!D56</f>
        <v>Test tank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70</v>
      </c>
      <c r="B298" s="38">
        <f>'Build Plan w Hours'!E56</f>
        <v>10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70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.OI3</v>
      </c>
      <c r="C308" s="40" t="str">
        <f>'Build Plan w Hours'!D58</f>
        <v>ASME Inspection Test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70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.920</v>
      </c>
      <c r="C314" s="40" t="str">
        <f>'Build Plan w Hours'!D59</f>
        <v>Clean tank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70</v>
      </c>
      <c r="B316" s="38">
        <f>'Build Plan w Hours'!E59</f>
        <v>8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.QC8</v>
      </c>
      <c r="C320" s="40" t="str">
        <f>'Build Plan w Hours'!D60</f>
        <v>QC Inspection - Clean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70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.940</v>
      </c>
      <c r="C326" s="40" t="str">
        <f>'Build Plan w Hours'!D61</f>
        <v>Prepare tank for shipment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70</v>
      </c>
      <c r="B328" s="38">
        <f>'Build Plan w Hours'!E61</f>
        <v>1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70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70</v>
      </c>
      <c r="B340" s="38">
        <f>'Build Plan w Hours'!E63</f>
        <v>2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70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70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70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110-25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70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110-25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70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110-25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" customHeight="1" x14ac:dyDescent="0.25">
      <c r="A374" s="29" t="s">
        <v>13</v>
      </c>
      <c r="B374" s="31" t="str">
        <f>'Build Plan w Hours'!C69</f>
        <v>Location</v>
      </c>
      <c r="C374" s="40" t="str">
        <f>'Build Plan w Hours'!D69</f>
        <v/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70</v>
      </c>
      <c r="B376" s="38" t="str">
        <f>'Build Plan w Hours'!E69</f>
        <v>Due Date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110-25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70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110-25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70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110-25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70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70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70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Quantity</v>
      </c>
      <c r="C410" s="40" t="str">
        <f>'Build Plan w Hours'!D75</f>
        <v>Name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70</v>
      </c>
      <c r="B412" s="38" t="str">
        <f>'Build Plan w Hours'!E75</f>
        <v>Vendor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______________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70</v>
      </c>
      <c r="B418" s="38" t="str">
        <f>'Build Plan w Hours'!E76</f>
        <v>SA182F-316/316L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70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70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 t="str">
        <f>'Build Plan w Hours'!C79</f>
        <v>______________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70</v>
      </c>
      <c r="B436" s="38" t="str">
        <f>'Build Plan w Hours'!E79</f>
        <v>Build Head to Specifications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70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70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 t="str">
        <f>'Build Plan w Hours'!C82</f>
        <v>______________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70</v>
      </c>
      <c r="B454" s="38" t="str">
        <f>'Build Plan w Hours'!E82</f>
        <v>Plate 316L 3/16"x 60"x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70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70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70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 t="str">
        <f>'Build Plan w Hours'!C86</f>
        <v>______________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70</v>
      </c>
      <c r="B478" s="38" t="str">
        <f>'Build Plan w Hours'!E86</f>
        <v/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110-25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71</v>
      </c>
    </row>
    <row r="2" spans="1:9" ht="21.75" customHeight="1" x14ac:dyDescent="0.25">
      <c r="A2" s="29" t="s">
        <v>13</v>
      </c>
      <c r="B2" s="31">
        <f>'Build Plan w Hours'!C7</f>
        <v>0</v>
      </c>
      <c r="C2" s="40">
        <f>'Build Plan w Hours'!D7</f>
        <v>0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110-25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71</v>
      </c>
    </row>
    <row r="8" spans="1:9" ht="21.75" customHeight="1" x14ac:dyDescent="0.25">
      <c r="A8" s="29" t="s">
        <v>13</v>
      </c>
      <c r="B8" s="31">
        <f>'Build Plan w Hours'!C8</f>
        <v>0</v>
      </c>
      <c r="C8" s="40">
        <f>'Build Plan w Hours'!D8</f>
        <v>0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110-25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71</v>
      </c>
    </row>
    <row r="14" spans="1:9" ht="21.75" customHeight="1" x14ac:dyDescent="0.25">
      <c r="A14" s="29" t="s">
        <v>13</v>
      </c>
      <c r="B14" s="31" t="str">
        <f>'Build Plan w Hours'!C9</f>
        <v>Description</v>
      </c>
      <c r="C14" s="40" t="str">
        <f>'Build Plan w Hours'!D9</f>
        <v>Run Rate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110-25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71</v>
      </c>
    </row>
    <row r="20" spans="1:9" ht="21.75" customHeight="1" x14ac:dyDescent="0.25">
      <c r="A20" s="29" t="s">
        <v>13</v>
      </c>
      <c r="B20" s="31" t="str">
        <f>'Build Plan w Hours'!C10</f>
        <v>.010</v>
      </c>
      <c r="C20" s="40" t="str">
        <f>'Build Plan w Hours'!D10</f>
        <v>Receive Material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110-25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71</v>
      </c>
    </row>
    <row r="26" spans="1:9" ht="21.75" customHeight="1" x14ac:dyDescent="0.25">
      <c r="A26" s="29" t="s">
        <v>13</v>
      </c>
      <c r="B26" s="31" t="str">
        <f>'Build Plan w Hours'!C11</f>
        <v>.QC1</v>
      </c>
      <c r="C26" s="40" t="str">
        <f>'Build Plan w Hours'!D11</f>
        <v>UT top and bottom heads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110-25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71</v>
      </c>
    </row>
    <row r="32" spans="1:9" ht="21.75" customHeight="1" x14ac:dyDescent="0.25">
      <c r="A32" s="29" t="s">
        <v>13</v>
      </c>
      <c r="B32" s="31" t="str">
        <f>'Build Plan w Hours'!C12</f>
        <v>.100</v>
      </c>
      <c r="C32" s="40" t="str">
        <f>'Build Plan w Hours'!D12</f>
        <v>Cut nozzle pipe and clean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110-25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71</v>
      </c>
    </row>
    <row r="38" spans="1:9" ht="21.75" customHeight="1" x14ac:dyDescent="0.25">
      <c r="A38" s="29" t="s">
        <v>13</v>
      </c>
      <c r="B38" s="31" t="str">
        <f>'Build Plan w Hours'!C13</f>
        <v>.105</v>
      </c>
      <c r="C38" s="40" t="str">
        <f>'Build Plan w Hours'!D13</f>
        <v>Build nozzles and weld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110-25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71</v>
      </c>
    </row>
    <row r="44" spans="1:9" ht="21.75" customHeight="1" x14ac:dyDescent="0.25">
      <c r="A44" s="29" t="s">
        <v>13</v>
      </c>
      <c r="B44" s="31" t="str">
        <f>'Build Plan w Hours'!C14</f>
        <v>.107</v>
      </c>
      <c r="C44" s="40" t="str">
        <f>'Build Plan w Hours'!D14</f>
        <v>Build Repads for Nozzles, drill and tap holes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110-25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71</v>
      </c>
    </row>
    <row r="50" spans="1:9" ht="21.75" customHeight="1" x14ac:dyDescent="0.25">
      <c r="A50" s="29" t="s">
        <v>13</v>
      </c>
      <c r="B50" s="31" t="str">
        <f>'Build Plan w Hours'!C15</f>
        <v>.110</v>
      </c>
      <c r="C50" s="40" t="str">
        <f>'Build Plan w Hours'!D15</f>
        <v>Build dip tubes and weld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110-25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71</v>
      </c>
    </row>
    <row r="56" spans="1:9" ht="21.75" customHeight="1" x14ac:dyDescent="0.25">
      <c r="A56" s="29" t="s">
        <v>13</v>
      </c>
      <c r="B56" s="31" t="str">
        <f>'Build Plan w Hours'!C16</f>
        <v>.155</v>
      </c>
      <c r="C56" s="40" t="str">
        <f>'Build Plan w Hours'!D16</f>
        <v>Burn and clean parts:  lugs, supports, repads, base ring, etc. (CHECK!)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110-25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71</v>
      </c>
    </row>
    <row r="62" spans="1:9" ht="21.75" customHeight="1" x14ac:dyDescent="0.25">
      <c r="A62" s="29" t="s">
        <v>13</v>
      </c>
      <c r="B62" s="31" t="str">
        <f>'Build Plan w Hours'!C17</f>
        <v>.156</v>
      </c>
      <c r="C62" s="40" t="str">
        <f>'Build Plan w Hours'!D17</f>
        <v/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110-25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71</v>
      </c>
    </row>
    <row r="68" spans="1:9" ht="21.75" customHeight="1" x14ac:dyDescent="0.25">
      <c r="A68" s="29" t="s">
        <v>13</v>
      </c>
      <c r="B68" s="31" t="str">
        <f>'Build Plan w Hours'!C18</f>
        <v>.165</v>
      </c>
      <c r="C68" s="40" t="str">
        <f>'Build Plan w Hours'!D18</f>
        <v>Build supports: legs, lugs, saddles_x000D_
TACK ONLY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110-25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71</v>
      </c>
    </row>
    <row r="74" spans="1:9" ht="21.75" customHeight="1" x14ac:dyDescent="0.25">
      <c r="A74" s="29" t="s">
        <v>13</v>
      </c>
      <c r="B74" s="31" t="str">
        <f>'Build Plan w Hours'!C19</f>
        <v>.200</v>
      </c>
      <c r="C74" s="40" t="str">
        <f>'Build Plan w Hours'!D19</f>
        <v>Make lift lugs, ground lugs, etc.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110-25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71</v>
      </c>
    </row>
    <row r="80" spans="1:9" ht="21.75" customHeight="1" x14ac:dyDescent="0.25">
      <c r="A80" s="29" t="s">
        <v>13</v>
      </c>
      <c r="B80" s="31" t="str">
        <f>'Build Plan w Hours'!C20</f>
        <v>.252</v>
      </c>
      <c r="C80" s="40" t="str">
        <f>'Build Plan w Hours'!D20</f>
        <v>Fabricate miscellaneous parts_x000D_
VORTEX BREAKER &amp; (2) WEAR PADS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110-25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71</v>
      </c>
    </row>
    <row r="86" spans="1:9" ht="21.75" customHeight="1" x14ac:dyDescent="0.25">
      <c r="A86" s="29" t="s">
        <v>13</v>
      </c>
      <c r="B86" s="31" t="str">
        <f>'Build Plan w Hours'!C21</f>
        <v>.300</v>
      </c>
      <c r="C86" s="40" t="str">
        <f>'Build Plan w Hours'!D21</f>
        <v>Wrap top and bottom heads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110-25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71</v>
      </c>
    </row>
    <row r="92" spans="1:9" ht="21.75" customHeight="1" x14ac:dyDescent="0.25">
      <c r="A92" s="29" t="s">
        <v>13</v>
      </c>
      <c r="B92" s="31" t="str">
        <f>'Build Plan w Hours'!C22</f>
        <v>.QC3</v>
      </c>
      <c r="C92" s="40" t="str">
        <f>'Build Plan w Hours'!D22</f>
        <v>UT Shells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110-25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71</v>
      </c>
    </row>
    <row r="98" spans="1:9" ht="21.75" customHeight="1" x14ac:dyDescent="0.25">
      <c r="A98" s="29" t="s">
        <v>13</v>
      </c>
      <c r="B98" s="31" t="str">
        <f>'Build Plan w Hours'!C23</f>
        <v>.305</v>
      </c>
      <c r="C98" s="40" t="str">
        <f>'Build Plan w Hours'!D23</f>
        <v>Shells: bring in plate, square, trim and clean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110-25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71</v>
      </c>
    </row>
    <row r="104" spans="1:9" ht="21.75" customHeight="1" x14ac:dyDescent="0.25">
      <c r="A104" s="29" t="s">
        <v>13</v>
      </c>
      <c r="B104" s="31" t="str">
        <f>'Build Plan w Hours'!C24</f>
        <v>.315</v>
      </c>
      <c r="C104" s="40" t="str">
        <f>'Build Plan w Hours'!D24</f>
        <v>Roll shells, tack and weld inside seams_x000D_
WELD OUTSIDE SEAM W/COBOT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110-25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71</v>
      </c>
    </row>
    <row r="110" spans="1:9" ht="21.75" customHeight="1" x14ac:dyDescent="0.25">
      <c r="A110" s="29" t="s">
        <v>13</v>
      </c>
      <c r="B110" s="31" t="str">
        <f>'Build Plan w Hours'!C25</f>
        <v>.325</v>
      </c>
      <c r="C110" s="40" t="str">
        <f>'Build Plan w Hours'!D25</f>
        <v>Install body flange on shell - tack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110-25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71</v>
      </c>
    </row>
    <row r="116" spans="1:9" ht="21.75" customHeight="1" x14ac:dyDescent="0.25">
      <c r="A116" s="29" t="s">
        <v>13</v>
      </c>
      <c r="B116" s="31" t="str">
        <f>'Build Plan w Hours'!C26</f>
        <v>.326</v>
      </c>
      <c r="C116" s="40" t="str">
        <f>'Build Plan w Hours'!D26</f>
        <v>Weld Body Flange on Shell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110-25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71</v>
      </c>
    </row>
    <row r="122" spans="1:9" ht="21.75" customHeight="1" x14ac:dyDescent="0.25">
      <c r="A122" s="29" t="s">
        <v>13</v>
      </c>
      <c r="B122" s="31" t="str">
        <f>'Build Plan w Hours'!C27</f>
        <v>.QC4</v>
      </c>
      <c r="C122" s="40" t="str">
        <f>'Build Plan w Hours'!D27</f>
        <v>QC Inspection - Top/Bottom/Cones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110-25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71</v>
      </c>
    </row>
    <row r="128" spans="1:9" ht="21.75" customHeight="1" x14ac:dyDescent="0.25">
      <c r="A128" s="29" t="s">
        <v>13</v>
      </c>
      <c r="B128" s="31" t="str">
        <f>'Build Plan w Hours'!C28</f>
        <v>.355</v>
      </c>
      <c r="C128" s="40" t="str">
        <f>'Build Plan w Hours'!D28</f>
        <v>Lay out top head, burn and clean holes_x000D_
CUT HOLES ON BURN TABLE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110-25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71</v>
      </c>
    </row>
    <row r="134" spans="1:9" ht="21.75" customHeight="1" x14ac:dyDescent="0.25">
      <c r="A134" s="29" t="s">
        <v>13</v>
      </c>
      <c r="B134" s="31" t="str">
        <f>'Build Plan w Hours'!C29</f>
        <v>.365</v>
      </c>
      <c r="C134" s="40" t="str">
        <f>'Build Plan w Hours'!D29</f>
        <v>Set  nozzles, lift lugs, etc. in top head - tack_x000D_
INCL (1) LIFT LUG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110-25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71</v>
      </c>
    </row>
    <row r="140" spans="1:9" ht="21.75" customHeight="1" x14ac:dyDescent="0.25">
      <c r="A140" s="29" t="s">
        <v>13</v>
      </c>
      <c r="B140" s="31" t="str">
        <f>'Build Plan w Hours'!C30</f>
        <v>.366</v>
      </c>
      <c r="C140" s="40" t="str">
        <f>'Build Plan w Hours'!D30</f>
        <v>Weld out top head nozzles, etc. _x000D_
INCL (1) LIFT LUG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110-25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71</v>
      </c>
    </row>
    <row r="146" spans="1:9" ht="21.75" customHeight="1" x14ac:dyDescent="0.25">
      <c r="A146" s="29" t="s">
        <v>13</v>
      </c>
      <c r="B146" s="31" t="str">
        <f>'Build Plan w Hours'!C31</f>
        <v>.370</v>
      </c>
      <c r="C146" s="40" t="str">
        <f>'Build Plan w Hours'!D31</f>
        <v>Install and weld out repads - top head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110-25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71</v>
      </c>
    </row>
    <row r="152" spans="1:9" ht="21.75" customHeight="1" x14ac:dyDescent="0.25">
      <c r="A152" s="29" t="s">
        <v>13</v>
      </c>
      <c r="B152" s="31" t="str">
        <f>'Build Plan w Hours'!C32</f>
        <v>.375</v>
      </c>
      <c r="C152" s="40" t="str">
        <f>'Build Plan w Hours'!D32</f>
        <v>Install top stiffeners_x000D_
INSTALL (4) GUSSETS FOR N7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110-25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71</v>
      </c>
    </row>
    <row r="158" spans="1:9" ht="21.75" customHeight="1" x14ac:dyDescent="0.25">
      <c r="A158" s="29" t="s">
        <v>13</v>
      </c>
      <c r="B158" s="31" t="str">
        <f>'Build Plan w Hours'!C33</f>
        <v>.382</v>
      </c>
      <c r="C158" s="40" t="str">
        <f>'Build Plan w Hours'!D33</f>
        <v>Install body flange on top head;  tack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110-25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71</v>
      </c>
    </row>
    <row r="164" spans="1:9" ht="21.75" customHeight="1" x14ac:dyDescent="0.25">
      <c r="A164" s="29" t="s">
        <v>13</v>
      </c>
      <c r="B164" s="31" t="str">
        <f>'Build Plan w Hours'!C34</f>
        <v>.383</v>
      </c>
      <c r="C164" s="40" t="str">
        <f>'Build Plan w Hours'!D34</f>
        <v>Weld body flange - top head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110-25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71</v>
      </c>
    </row>
    <row r="170" spans="1:9" ht="21.75" customHeight="1" x14ac:dyDescent="0.25">
      <c r="A170" s="29" t="s">
        <v>13</v>
      </c>
      <c r="B170" s="31" t="str">
        <f>'Build Plan w Hours'!C35</f>
        <v>.395</v>
      </c>
      <c r="C170" s="40" t="str">
        <f>'Build Plan w Hours'!D35</f>
        <v>Polish inside weld seams - top head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110-25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71</v>
      </c>
    </row>
    <row r="176" spans="1:9" ht="21.75" customHeight="1" x14ac:dyDescent="0.25">
      <c r="A176" s="29" t="s">
        <v>13</v>
      </c>
      <c r="B176" s="31" t="str">
        <f>'Build Plan w Hours'!C36</f>
        <v>.QC4</v>
      </c>
      <c r="C176" s="40" t="str">
        <f>'Build Plan w Hours'!D36</f>
        <v>QC Inspection - Top/Bottom/Cones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110-25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71</v>
      </c>
    </row>
    <row r="182" spans="1:9" ht="21.75" customHeight="1" x14ac:dyDescent="0.25">
      <c r="A182" s="29" t="s">
        <v>13</v>
      </c>
      <c r="B182" s="31" t="str">
        <f>'Build Plan w Hours'!C37</f>
        <v>.455</v>
      </c>
      <c r="C182" s="40" t="str">
        <f>'Build Plan w Hours'!D37</f>
        <v>Lay out bottom head, burn and clean holes_x000D_
CUT HOLES ON BURN TABLE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110-25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71</v>
      </c>
    </row>
    <row r="188" spans="1:9" ht="21.75" customHeight="1" x14ac:dyDescent="0.25">
      <c r="A188" s="29" t="s">
        <v>13</v>
      </c>
      <c r="B188" s="31" t="str">
        <f>'Build Plan w Hours'!C38</f>
        <v>.465</v>
      </c>
      <c r="C188" s="40" t="str">
        <f>'Build Plan w Hours'!D38</f>
        <v>Set  nozzles in bottom head - tack_x000D_
INCL VORTEX BREAKER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110-25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71</v>
      </c>
    </row>
    <row r="194" spans="1:9" ht="21.75" customHeight="1" x14ac:dyDescent="0.25">
      <c r="A194" s="29" t="s">
        <v>13</v>
      </c>
      <c r="B194" s="31" t="str">
        <f>'Build Plan w Hours'!C39</f>
        <v>.466</v>
      </c>
      <c r="C194" s="40" t="str">
        <f>'Build Plan w Hours'!D39</f>
        <v>Weld nozzles in bottom head; weld complete_x000D_
INCL VORTEX BREAKER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110-25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71</v>
      </c>
    </row>
    <row r="200" spans="1:9" ht="21.75" customHeight="1" x14ac:dyDescent="0.25">
      <c r="A200" s="29" t="s">
        <v>13</v>
      </c>
      <c r="B200" s="31" t="str">
        <f>'Build Plan w Hours'!C40</f>
        <v>.495</v>
      </c>
      <c r="C200" s="40" t="str">
        <f>'Build Plan w Hours'!D40</f>
        <v>Polish inside weld seams - bottom head_x000D_
INCL WEAR PADS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110-25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71</v>
      </c>
    </row>
    <row r="206" spans="1:9" ht="21.75" customHeight="1" x14ac:dyDescent="0.25">
      <c r="A206" s="29" t="s">
        <v>13</v>
      </c>
      <c r="B206" s="31" t="str">
        <f>'Build Plan w Hours'!C41</f>
        <v>.OI1</v>
      </c>
      <c r="C206" s="40" t="str">
        <f>'Build Plan w Hours'!D41</f>
        <v>ASME Hold Point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110-25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71</v>
      </c>
    </row>
    <row r="212" spans="1:9" ht="21.75" customHeight="1" x14ac:dyDescent="0.25">
      <c r="A212" s="29" t="s">
        <v>13</v>
      </c>
      <c r="B212" s="31" t="str">
        <f>'Build Plan w Hours'!C42</f>
        <v>.600</v>
      </c>
      <c r="C212" s="40" t="str">
        <f>'Build Plan w Hours'!D42</f>
        <v>Fit bottom head to shell_x000D_
AND WELD INSIDE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110-25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71</v>
      </c>
    </row>
    <row r="218" spans="1:9" ht="21.75" customHeight="1" x14ac:dyDescent="0.25">
      <c r="A218" s="29" t="s">
        <v>13</v>
      </c>
      <c r="B218" s="31" t="str">
        <f>'Build Plan w Hours'!C43</f>
        <v>.620</v>
      </c>
      <c r="C218" s="40" t="str">
        <f>'Build Plan w Hours'!D43</f>
        <v>Lay out shell, burn and clean holes_x000D_
ON BURN TABLE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110-25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71</v>
      </c>
    </row>
    <row r="224" spans="1:9" ht="21.75" customHeight="1" x14ac:dyDescent="0.25">
      <c r="A224" s="29" t="s">
        <v>13</v>
      </c>
      <c r="B224" s="31" t="str">
        <f>'Build Plan w Hours'!C44</f>
        <v>.638</v>
      </c>
      <c r="C224" s="40" t="str">
        <f>'Build Plan w Hours'!D44</f>
        <v>Polish inside weld seams - shell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110-25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71</v>
      </c>
    </row>
    <row r="230" spans="1:9" ht="21.75" customHeight="1" x14ac:dyDescent="0.25">
      <c r="A230" s="29" t="s">
        <v>13</v>
      </c>
      <c r="B230" s="31" t="str">
        <f>'Build Plan w Hours'!C45</f>
        <v>.QC5</v>
      </c>
      <c r="C230" s="40" t="str">
        <f>'Build Plan w Hours'!D45</f>
        <v>QC Inspection - Internal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110-25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71</v>
      </c>
    </row>
    <row r="236" spans="1:9" ht="21.75" customHeight="1" x14ac:dyDescent="0.25">
      <c r="A236" s="29" t="s">
        <v>13</v>
      </c>
      <c r="B236" s="31" t="str">
        <f>'Build Plan w Hours'!C46</f>
        <v>.640</v>
      </c>
      <c r="C236" s="40" t="str">
        <f>'Build Plan w Hours'!D46</f>
        <v>Fit top head to shell - tack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110-25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71</v>
      </c>
    </row>
    <row r="242" spans="1:9" ht="21.75" customHeight="1" x14ac:dyDescent="0.25">
      <c r="A242" s="29" t="s">
        <v>13</v>
      </c>
      <c r="B242" s="31" t="str">
        <f>'Build Plan w Hours'!C47</f>
        <v>.641</v>
      </c>
      <c r="C242" s="40" t="str">
        <f>'Build Plan w Hours'!D47</f>
        <v>Weld top head to shell - inside_x000D_
MAKE FULL PEN WELD FROM OUTSIDE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110-25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71</v>
      </c>
    </row>
    <row r="248" spans="1:9" ht="21.75" customHeight="1" x14ac:dyDescent="0.25">
      <c r="A248" s="29" t="s">
        <v>13</v>
      </c>
      <c r="B248" s="31" t="str">
        <f>'Build Plan w Hours'!C48</f>
        <v>.645</v>
      </c>
      <c r="C248" s="40" t="str">
        <f>'Build Plan w Hours'!D48</f>
        <v>Weld all outside seams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110-25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71</v>
      </c>
    </row>
    <row r="254" spans="1:9" ht="21.75" customHeight="1" x14ac:dyDescent="0.25">
      <c r="A254" s="29" t="s">
        <v>13</v>
      </c>
      <c r="B254" s="31" t="str">
        <f>'Build Plan w Hours'!C49</f>
        <v>.800</v>
      </c>
      <c r="C254" s="40" t="str">
        <f>'Build Plan w Hours'!D49</f>
        <v>Move tank to detail rolls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110-25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71</v>
      </c>
    </row>
    <row r="260" spans="1:9" ht="21.75" customHeight="1" x14ac:dyDescent="0.25">
      <c r="A260" s="29" t="s">
        <v>13</v>
      </c>
      <c r="B260" s="31" t="str">
        <f>'Build Plan w Hours'!C50</f>
        <v>.715</v>
      </c>
      <c r="C260" s="40" t="str">
        <f>'Build Plan w Hours'!D50</f>
        <v>Install insulation/vacuum rings - tack_x000D_
(2) INSULATION RINGS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110-25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71</v>
      </c>
    </row>
    <row r="266" spans="1:9" ht="21.75" customHeight="1" x14ac:dyDescent="0.25">
      <c r="A266" s="29" t="s">
        <v>13</v>
      </c>
      <c r="B266" s="31" t="str">
        <f>'Build Plan w Hours'!C51</f>
        <v>.720</v>
      </c>
      <c r="C266" s="40" t="str">
        <f>'Build Plan w Hours'!D51</f>
        <v>Install supports - legs, lugs, anchors, saddles, skirt_x000D_
AND WELD COMPLETE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110-25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71</v>
      </c>
    </row>
    <row r="272" spans="1:9" ht="21.75" customHeight="1" x14ac:dyDescent="0.25">
      <c r="A272" s="29" t="s">
        <v>13</v>
      </c>
      <c r="B272" s="31" t="str">
        <f>'Build Plan w Hours'!C52</f>
        <v>.725</v>
      </c>
      <c r="C272" s="40" t="str">
        <f>'Build Plan w Hours'!D52</f>
        <v>Set nozzles in shell - tack_x000D_
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110-25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71</v>
      </c>
    </row>
    <row r="278" spans="1:9" ht="21.75" customHeight="1" x14ac:dyDescent="0.25">
      <c r="A278" s="29" t="s">
        <v>13</v>
      </c>
      <c r="B278" s="31" t="str">
        <f>'Build Plan w Hours'!C53</f>
        <v>.765</v>
      </c>
      <c r="C278" s="40" t="str">
        <f>'Build Plan w Hours'!D53</f>
        <v>Install name tag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110-25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71</v>
      </c>
    </row>
    <row r="284" spans="1:9" ht="21.75" customHeight="1" x14ac:dyDescent="0.25">
      <c r="A284" s="29" t="s">
        <v>13</v>
      </c>
      <c r="B284" s="31" t="str">
        <f>'Build Plan w Hours'!C54</f>
        <v>.770</v>
      </c>
      <c r="C284" s="40" t="str">
        <f>'Build Plan w Hours'!D54</f>
        <v>Inspect tank, make repairs, get QC inspector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110-25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71</v>
      </c>
    </row>
    <row r="290" spans="1:9" ht="21.75" customHeight="1" x14ac:dyDescent="0.25">
      <c r="A290" s="29" t="s">
        <v>13</v>
      </c>
      <c r="B290" s="31" t="str">
        <f>'Build Plan w Hours'!C55</f>
        <v>.801</v>
      </c>
      <c r="C290" s="40" t="str">
        <f>'Build Plan w Hours'!D55</f>
        <v>Move to shop test area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110-25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71</v>
      </c>
    </row>
    <row r="296" spans="1:9" ht="21.75" customHeight="1" x14ac:dyDescent="0.25">
      <c r="A296" s="29" t="s">
        <v>13</v>
      </c>
      <c r="B296" s="31" t="str">
        <f>'Build Plan w Hours'!C56</f>
        <v>.910</v>
      </c>
      <c r="C296" s="40" t="str">
        <f>'Build Plan w Hours'!D56</f>
        <v>Test tank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110-25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71</v>
      </c>
    </row>
    <row r="302" spans="1:9" ht="21.75" customHeight="1" x14ac:dyDescent="0.25">
      <c r="A302" s="29" t="s">
        <v>13</v>
      </c>
      <c r="B302" s="31" t="str">
        <f>'Build Plan w Hours'!C57</f>
        <v>.QC7</v>
      </c>
      <c r="C302" s="40" t="str">
        <f>'Build Plan w Hours'!D57</f>
        <v>QC Inspection - Test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110-25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71</v>
      </c>
    </row>
    <row r="308" spans="1:9" ht="21.75" customHeight="1" x14ac:dyDescent="0.25">
      <c r="A308" s="29" t="s">
        <v>13</v>
      </c>
      <c r="B308" s="31" t="str">
        <f>'Build Plan w Hours'!C58</f>
        <v>.OI3</v>
      </c>
      <c r="C308" s="40" t="str">
        <f>'Build Plan w Hours'!D58</f>
        <v>ASME Inspection Test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110-25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71</v>
      </c>
    </row>
    <row r="314" spans="1:9" ht="21.75" customHeight="1" x14ac:dyDescent="0.25">
      <c r="A314" s="29" t="s">
        <v>13</v>
      </c>
      <c r="B314" s="31" t="str">
        <f>'Build Plan w Hours'!C59</f>
        <v>.920</v>
      </c>
      <c r="C314" s="40" t="str">
        <f>'Build Plan w Hours'!D59</f>
        <v>Clean tank complete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110-25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71</v>
      </c>
    </row>
    <row r="320" spans="1:9" ht="21.75" customHeight="1" x14ac:dyDescent="0.25">
      <c r="A320" s="29" t="s">
        <v>13</v>
      </c>
      <c r="B320" s="31" t="str">
        <f>'Build Plan w Hours'!C60</f>
        <v>.QC8</v>
      </c>
      <c r="C320" s="40" t="str">
        <f>'Build Plan w Hours'!D60</f>
        <v>QC Inspection - Clean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110-25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71</v>
      </c>
    </row>
    <row r="326" spans="1:9" ht="21.75" customHeight="1" x14ac:dyDescent="0.25">
      <c r="A326" s="29" t="s">
        <v>13</v>
      </c>
      <c r="B326" s="31" t="str">
        <f>'Build Plan w Hours'!C61</f>
        <v>.940</v>
      </c>
      <c r="C326" s="40" t="str">
        <f>'Build Plan w Hours'!D61</f>
        <v>Prepare tank for shipment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110-25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71</v>
      </c>
    </row>
    <row r="332" spans="1:9" ht="21.75" customHeight="1" x14ac:dyDescent="0.25">
      <c r="A332" s="29" t="s">
        <v>13</v>
      </c>
      <c r="B332" s="31" t="str">
        <f>'Build Plan w Hours'!C62</f>
        <v>.QC95</v>
      </c>
      <c r="C332" s="40" t="str">
        <f>'Build Plan w Hours'!D62</f>
        <v>QC Inspection - Final &amp; Loose Items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110-25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71</v>
      </c>
    </row>
    <row r="338" spans="1:9" ht="21.75" customHeight="1" x14ac:dyDescent="0.25">
      <c r="A338" s="29" t="s">
        <v>13</v>
      </c>
      <c r="B338" s="31" t="str">
        <f>'Build Plan w Hours'!C63</f>
        <v>.960</v>
      </c>
      <c r="C338" s="40" t="str">
        <f>'Build Plan w Hours'!D63</f>
        <v>Load on truck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110-25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71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110-25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71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110-25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71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110-25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71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110-25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71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110-25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71</v>
      </c>
    </row>
    <row r="374" spans="1:9" ht="21.75" customHeight="1" x14ac:dyDescent="0.25">
      <c r="A374" s="29" t="s">
        <v>13</v>
      </c>
      <c r="B374" s="31" t="str">
        <f>'Build Plan w Hours'!C69</f>
        <v>Location</v>
      </c>
      <c r="C374" s="40" t="str">
        <f>'Build Plan w Hours'!D69</f>
        <v/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110-25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71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110-25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71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110-25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71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110-25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71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110-25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71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110-25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71</v>
      </c>
    </row>
    <row r="410" spans="1:9" ht="21" customHeight="1" x14ac:dyDescent="0.25">
      <c r="A410" s="29" t="s">
        <v>13</v>
      </c>
      <c r="B410" s="31" t="str">
        <f>'Build Plan w Hours'!C75</f>
        <v>Quantity</v>
      </c>
      <c r="C410" s="40" t="str">
        <f>'Build Plan w Hours'!D75</f>
        <v>Name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110-25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71</v>
      </c>
    </row>
    <row r="416" spans="1:9" ht="21" customHeight="1" x14ac:dyDescent="0.25">
      <c r="A416" s="29" t="s">
        <v>13</v>
      </c>
      <c r="B416" s="31" t="str">
        <f>'Build Plan w Hours'!C76</f>
        <v>______________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110-25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71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110-25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71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110-25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71</v>
      </c>
    </row>
    <row r="434" spans="1:9" ht="21" customHeight="1" x14ac:dyDescent="0.25">
      <c r="A434" s="29" t="s">
        <v>13</v>
      </c>
      <c r="B434" s="31" t="str">
        <f>'Build Plan w Hours'!C79</f>
        <v>______________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110-25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71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110-25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71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110-25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71</v>
      </c>
    </row>
    <row r="452" spans="1:9" ht="21" customHeight="1" x14ac:dyDescent="0.25">
      <c r="A452" s="29" t="s">
        <v>13</v>
      </c>
      <c r="B452" s="31" t="str">
        <f>'Build Plan w Hours'!C82</f>
        <v>______________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110-25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71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110-25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71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110-25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71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110-25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71</v>
      </c>
    </row>
    <row r="476" spans="1:9" ht="21" customHeight="1" x14ac:dyDescent="0.25">
      <c r="A476" s="29" t="s">
        <v>13</v>
      </c>
      <c r="B476" s="31" t="str">
        <f>'Build Plan w Hours'!C86</f>
        <v>______________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110-25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71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110-25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71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2026-04-02T20:39:59Z</cp:lastPrinted>
  <dcterms:created xsi:type="dcterms:W3CDTF">2016-06-28T20:53:17Z</dcterms:created>
  <dcterms:modified xsi:type="dcterms:W3CDTF">2026-04-02T20:40:35Z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