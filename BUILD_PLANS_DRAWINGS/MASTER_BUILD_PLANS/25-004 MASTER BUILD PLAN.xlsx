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4-25 - Thiele Kaolin - Blunger Tank #4\"/>
    </mc:Choice>
  </mc:AlternateContent>
  <xr:revisionPtr revIDLastSave="0" documentId="8_{A29D906F-6573-49A5-A59A-E0BD69673CC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<sst xmlns="http://schemas.openxmlformats.org/spreadsheetml/2006/main" count="1774" uniqueCount="234">
  <si>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</si>
  <si>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</si>
  <si>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</si>
  <si>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</si>
  <si>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</si>
  <si>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</si>
  <si>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</si>
  <si>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</si>
  <si>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</si>
  <si>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</si>
  <si>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</si>
  <si>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</si>
  <si>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</si>
  <si>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</si>
  <si>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</si>
  <si>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</si>
  <si>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</si>
  <si>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</si>
  <si>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</si>
  <si>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</si>
  <si>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</si>
  <si>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</si>
  <si>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</si>
  <si>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</si>
  <si>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</si>
  <si>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</si>
  <si>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</si>
  <si>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</si>
  <si>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</si>
  <si>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</si>
  <si>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</si>
  <si>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</si>
  <si>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</si>
  <si>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</si>
  <si>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</si>
  <si>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</si>
  <si>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</si>
  <si>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</si>
  <si>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</si>
  <si>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</si>
  <si>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</si>
  <si>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</si>
  <si>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</si>
  <si>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</si>
  <si>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</si>
  <si>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</si>
  <si>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</si>
  <si>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</si>
  <si>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</si>
  <si>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</si>
  <si>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</si>
  <si>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</si>
  <si>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</si>
  <si>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</si>
  <si>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</si>
  <si>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</si>
  <si>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</si>
  <si>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</si>
  <si>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</si>
  <si>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</si>
  <si>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</si>
  <si>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</si>
  <si>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</si>
  <si>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</si>
  <si>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</si>
  <si>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</si>
  <si>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</si>
  <si>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</si>
  <si>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</si>
  <si>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</si>
  <si>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</si>
  <si>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</si>
  <si>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</si>
  <si>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</si>
  <si>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</si>
  <si>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</si>
  <si>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</si>
  <si>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</si>
  <si>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</si>
  <si>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</si>
  <si>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</si>
  <si>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</si>
  <si>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</si>
  <si>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</si>
  <si>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</si>
  <si>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</si>
  <si>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</si>
  <si>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</si>
  <si>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</si>
  <si>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</si>
  <si>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</si>
  <si>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</si>
  <si>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</si>
  <si>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</si>
  <si>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</si>
  <si>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</si>
  <si>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</si>
  <si>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</si>
  <si>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</si>
  <si>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</si>
  <si>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</si>
  <si>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</si>
  <si>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</si>
  <si>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</si>
  <si>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</si>
  <si>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</si>
  <si>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</si>
  <si>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</si>
  <si>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</si>
  <si>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</si>
  <si>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</si>
  <si>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</si>
  <si>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</si>
  <si>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</si>
  <si>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</si>
  <si>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</si>
  <si>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Fit Bottom Head to Shell</t>
  </si>
  <si>
    <t>.600</t>
  </si>
  <si>
    <t>L/O Shell, B&amp;C Holes</t>
  </si>
  <si>
    <t>.620</t>
  </si>
  <si>
    <t>QC Inspection - Internal</t>
  </si>
  <si>
    <t>.QC5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</si>
  <si>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</si>
  <si>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</si>
  <si>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</si>
  <si>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</si>
  <si>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</si>
  <si>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</si>
  <si>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</si>
  <si>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</si>
  <si>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</si>
  <si>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</si>
  <si>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</si>
  <si>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</si>
  <si>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</si>
  <si>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</si>
  <si>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</si>
  <si>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</si>
  <si>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</si>
  <si>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</si>
  <si>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</si>
  <si>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</si>
  <si>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</si>
  <si>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</si>
  <si>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</si>
  <si>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</si>
  <si>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</si>
  <si>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</si>
  <si>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</si>
  <si>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</si>
  <si>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</si>
  <si>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</si>
  <si>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</si>
  <si>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</si>
  <si>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</si>
  <si>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repads: drill and tap _x000D_
FOR LIFT LUGS</t>
  </si>
  <si>
    <t>Fab Miscellaneous Parts</t>
  </si>
  <si>
    <t>.252</t>
  </si>
  <si>
    <t>Build Bottom Head/Cone</t>
  </si>
  <si>
    <t>.450</t>
  </si>
  <si>
    <t>Install Rim Angle</t>
  </si>
  <si>
    <t>.615</t>
  </si>
  <si>
    <t>Weld Rim Angle</t>
  </si>
  <si>
    <t>.616</t>
  </si>
  <si>
    <t>Install lift lugs on shell_x000D_
INCL REPADS</t>
  </si>
  <si>
    <t>BLUNGER TANK #4</t>
  </si>
  <si>
    <t>247729</t>
  </si>
  <si>
    <t>9111</t>
  </si>
  <si>
    <t>3</t>
  </si>
  <si>
    <t>Cut Parts on Burn Table</t>
  </si>
  <si>
    <t>Clean &amp; Prep Parts</t>
  </si>
  <si>
    <t>.156</t>
  </si>
  <si>
    <t>Build supports: legs, lugs, saddles_x000D_
BUILD (6) ANCHOR CHAIRS. TACK ONLY</t>
  </si>
  <si>
    <t>B&amp;C Baffles</t>
  </si>
  <si>
    <t>.215</t>
  </si>
  <si>
    <t>Burn and clean baffles (CHECK BEFORE BURNING)_x000D_
BUILD DIVIDER PLATE ASSEMBLY</t>
  </si>
  <si>
    <t>Form Baffles</t>
  </si>
  <si>
    <t>.220</t>
  </si>
  <si>
    <t>Form baffles_x000D_
FORM (4) BAFFLES</t>
  </si>
  <si>
    <t>Cut, Make Baffle Supports</t>
  </si>
  <si>
    <t>.225</t>
  </si>
  <si>
    <t>Cut and make baffle supports_x000D_
MAKE (8) BAFFLE SUPPORTS</t>
  </si>
  <si>
    <t>Build Baffles-Weld</t>
  </si>
  <si>
    <t>.230</t>
  </si>
  <si>
    <t>Build baffles and weld_x000D_
BUILD (4) BAFFLES</t>
  </si>
  <si>
    <t>Cut Parts-Mixer Bridge</t>
  </si>
  <si>
    <t>.245</t>
  </si>
  <si>
    <t>Cut parts for mixer bridge_x000D_
CUT TUBES &amp; ANGLES FOR AGITATION BRIDGE</t>
  </si>
  <si>
    <t>Fabricate miscellaneous parts_x000D_
MAKE (5) SHELL SQUARE TUBE ASSEMBLIES</t>
  </si>
  <si>
    <t>Drill/Punch holes</t>
  </si>
  <si>
    <t>.255</t>
  </si>
  <si>
    <t>Drill/punch holes_x000D_
DRILL THRU HOLES IN TUBES &amp; BRACES</t>
  </si>
  <si>
    <t>Misc Fabrication</t>
  </si>
  <si>
    <t>.261</t>
  </si>
  <si>
    <t>Miscellaneous Fabrication - Braces, Mounting Plates, Cone Outlet Necks_x000D_
MAKE OVERFLOW BOX ASSEMBLY</t>
  </si>
  <si>
    <t>Shells: bring in plate, square, trim and clean_x000D_
SET UP (1) DOUBLE SHELL</t>
  </si>
  <si>
    <t>Roll shells, tack and weld inside seams_x000D_
ROLL &amp; WELD (1) DOUBLE SHELL</t>
  </si>
  <si>
    <t>Build Mixer Bridge</t>
  </si>
  <si>
    <t>.380</t>
  </si>
  <si>
    <t>Build mixer bridge</t>
  </si>
  <si>
    <t>Build bottom head/cone_x000D_
MAKE FLAT BOTTOM</t>
  </si>
  <si>
    <t>Fit bottom head to shell_x000D_
AND WELD INSIDE &amp; OUTSIDE</t>
  </si>
  <si>
    <t>Install rim angle - tack only_x000D_
INSTALL TOP RING &amp; WELD COMPLETE</t>
  </si>
  <si>
    <t>Weld rim angle complete_x000D_
FIT &amp; WELD (10) TOP RING GUSSETS</t>
  </si>
  <si>
    <t>Lay out shell, burn and clean holes_x000D_
CLEAN UP HOLES CUT ON BURN TABLE</t>
  </si>
  <si>
    <t>Install Baffles-Weld</t>
  </si>
  <si>
    <t>.625</t>
  </si>
  <si>
    <t>Install baffles and weld_x000D_
INSTALL (4) BAFFLES</t>
  </si>
  <si>
    <t>Install Internal Parts</t>
  </si>
  <si>
    <t>.630</t>
  </si>
  <si>
    <t>Install internals - wear plates, rings, clips, etc._x000D_
INSTALL DIVIDER PLATE ASSEMBLY &amp; WELD</t>
  </si>
  <si>
    <t>Weld all Outside Seams</t>
  </si>
  <si>
    <t>.645</t>
  </si>
  <si>
    <t>Weld all outside seams</t>
  </si>
  <si>
    <t>Install supports - legs, lugs, anchors, saddles, skirt_x000D_
FIT &amp; WELD (6) ANCHOR CHAIRS</t>
  </si>
  <si>
    <t>Set nozzles in shell - tack_x000D_
INCL OVERFLOW BOX</t>
  </si>
  <si>
    <t>Weld shell nozzles, manways, etc._x000D_
INCL OVERFLOW BOX</t>
  </si>
  <si>
    <t>Add Repads-Weld</t>
  </si>
  <si>
    <t>.730</t>
  </si>
  <si>
    <t>Add repads and weld_x000D_
(6) SHELL REPADS FORSQ. TUBES ***WATCH HEAT***</t>
  </si>
  <si>
    <t>Install Mixer Bridge</t>
  </si>
  <si>
    <t>.745</t>
  </si>
  <si>
    <t>Install mixer bridge_x000D_
TEST FIT AGITATOR BRIDGE AND TOP COVERS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</si>
  <si>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</si>
  <si>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</si>
  <si>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</si>
  <si>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</si>
  <si>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</si>
  <si>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</si>
  <si>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</si>
  <si>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</si>
  <si>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</si>
  <si>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</si>
  <si>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004-25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</si>
</sst>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BLUNGER TANK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15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BUILD (6) ANCHOR CHAIRS. TACK ONLY</v>
      </c>
      <c r="E18" s="13">
        <f>'Sheet2-PASTE HERE!'!F28</f>
        <v>6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LIFT LUGS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.215</v>
      </c>
      <c r="D21" s="22" t="str">
        <f>'Sheet2-PASTE HERE!'!K31</f>
        <v>Burn and clean baffles (CHECK BEFORE BURNING)_x000D_
BUILD DIVIDER PLATE ASSEMBLY</v>
      </c>
      <c r="E21" s="13">
        <f>'Sheet2-PASTE HERE!'!F31</f>
        <v>15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.220</v>
      </c>
      <c r="D22" s="22" t="str">
        <f>'Sheet2-PASTE HERE!'!K32</f>
        <v>Form baffles_x000D_
FORM (4) BAFFLES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MAKE (8) BAFFLE SUPPORTS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weld_x000D_
BUILD (4) BAFFLES</v>
      </c>
      <c r="E24" s="13">
        <f>'Sheet2-PASTE HERE!'!F34</f>
        <v>3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CUT TUBES &amp; ANGLES FOR AGITATION BRIDGE</v>
      </c>
      <c r="E25" s="13">
        <f>'Sheet2-PASTE HERE!'!F35</f>
        <v>16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.252</v>
      </c>
      <c r="D26" s="22" t="str">
        <f>'Sheet2-PASTE HERE!'!K36</f>
        <v>Fabricate miscellaneous parts_x000D_
MAKE (5) SHELL SQUARE TUBE ASSEMBLIES</v>
      </c>
      <c r="E26" s="13">
        <f>'Sheet2-PASTE HERE!'!F36</f>
        <v>5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.255</v>
      </c>
      <c r="D27" s="22" t="str">
        <f>'Sheet2-PASTE HERE!'!K37</f>
        <v>Drill/punch holes_x000D_
DRILL THRU HOLES IN TUBES &amp; BRACES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.261</v>
      </c>
      <c r="D28" s="22" t="str">
        <f>'Sheet2-PASTE HERE!'!K38</f>
        <v>Miscellaneous Fabrication - Braces, Mounting Plates, Cone Outlet Necks_x000D_
MAKE OVERFLOW BOX ASSEMBLY</v>
      </c>
      <c r="E28" s="13">
        <f>'Sheet2-PASTE HERE!'!F38</f>
        <v>10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.QC3</v>
      </c>
      <c r="D29" s="22" t="str">
        <f>'Sheet2-PASTE HERE!'!K39</f>
        <v>UT Shells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.305</v>
      </c>
      <c r="D30" s="22" t="str">
        <f>'Sheet2-PASTE HERE!'!K40</f>
        <v>Shells: bring in plate, square, trim and clean_x000D_
SET UP (1) DOUBLE SHELL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.315</v>
      </c>
      <c r="D31" s="22" t="str">
        <f>'Sheet2-PASTE HERE!'!K41</f>
        <v>Roll shells, tack and weld inside seams_x000D_
ROLL &amp; WELD (1) DOUBLE SHELL</v>
      </c>
      <c r="E31" s="13">
        <f>'Sheet2-PASTE HERE!'!F41</f>
        <v>5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.380</v>
      </c>
      <c r="D33" s="22" t="str">
        <f>'Sheet2-PASTE HERE!'!K43</f>
        <v>Build mixer bridge</v>
      </c>
      <c r="E33" s="13">
        <f>'Sheet2-PASTE HERE!'!F43</f>
        <v>65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.450</v>
      </c>
      <c r="D34" s="22" t="str">
        <f>'Sheet2-PASTE HERE!'!K44</f>
        <v>Build bottom head/cone_x000D_
MAKE FLAT BOTTOM</v>
      </c>
      <c r="E34" s="13">
        <f>'Sheet2-PASTE HERE!'!F44</f>
        <v>5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&amp; OUTSIDE</v>
      </c>
      <c r="E36" s="13">
        <f>'Sheet2-PASTE HERE!'!F46</f>
        <v>7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.615</v>
      </c>
      <c r="D37" s="22" t="str">
        <f>'Sheet2-PASTE HERE!'!K47</f>
        <v>Install rim angle - tack only_x000D_
INSTALL TOP RING &amp; WELD COMPLETE</v>
      </c>
      <c r="E37" s="13">
        <f>'Sheet2-PASTE HERE!'!F47</f>
        <v>9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.616</v>
      </c>
      <c r="D38" s="22" t="str">
        <f>'Sheet2-PASTE HERE!'!K48</f>
        <v>Weld rim angle complete_x000D_
FIT &amp; WELD (10) TOP RING GUSSETS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.620</v>
      </c>
      <c r="D39" s="22" t="str">
        <f>'Sheet2-PASTE HERE!'!K49</f>
        <v>Lay out shell, burn and clean holes_x000D_
CLEAN UP HOLES CUT ON BURN TABLE</v>
      </c>
      <c r="E39" s="13">
        <f>'Sheet2-PASTE HERE!'!F49</f>
        <v>1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.625</v>
      </c>
      <c r="D40" s="22" t="str">
        <f>'Sheet2-PASTE HERE!'!K50</f>
        <v>Install baffles and weld_x000D_
INSTALL (4) BAFFLES</v>
      </c>
      <c r="E40" s="13">
        <f>'Sheet2-PASTE HERE!'!F50</f>
        <v>6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.630</v>
      </c>
      <c r="D41" s="22" t="str">
        <f>'Sheet2-PASTE HERE!'!K51</f>
        <v>Install internals - wear plates, rings, clips, etc._x000D_
INSTALL DIVIDER PLATE ASSEMBLY &amp; WELD</v>
      </c>
      <c r="E41" s="13">
        <f>'Sheet2-PASTE HERE!'!F51</f>
        <v>20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.645</v>
      </c>
      <c r="D43" s="22" t="str">
        <f>'Sheet2-PASTE HERE!'!K53</f>
        <v>Weld all outside seams</v>
      </c>
      <c r="E43" s="13">
        <f>'Sheet2-PASTE HERE!'!F53</f>
        <v>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.717</v>
      </c>
      <c r="D45" s="22" t="str">
        <f>'Sheet2-PASTE HERE!'!K55</f>
        <v>Install lift lugs on shell_x000D_
INCL REPADS</v>
      </c>
      <c r="E45" s="13">
        <f>'Sheet2-PASTE HERE!'!F55</f>
        <v>3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FIT &amp; WELD (6) ANCHOR CHAIRS</v>
      </c>
      <c r="E46" s="13">
        <f>'Sheet2-PASTE HERE!'!F56</f>
        <v>12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tack_x000D_
INCL OVERFLOW BOX</v>
      </c>
      <c r="E47" s="13">
        <f>'Sheet2-PASTE HERE!'!F57</f>
        <v>8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etc._x000D_
INCL OVERFLOW BOX</v>
      </c>
      <c r="E48" s="13">
        <f>'Sheet2-PASTE HERE!'!F58</f>
        <v>15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weld_x000D_
(6) SHELL REPADS FORSQ. TUBES ***WATCH HEAT***</v>
      </c>
      <c r="E49" s="13">
        <f>'Sheet2-PASTE HERE!'!F59</f>
        <v>6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.745</v>
      </c>
      <c r="D50" s="22" t="str">
        <f>'Sheet2-PASTE HERE!'!K60</f>
        <v>Install mixer bridge_x000D_
TEST FIT AGITATOR BRIDGE AND TOP COVERS</v>
      </c>
      <c r="E50" s="13">
        <f>'Sheet2-PASTE HERE!'!F60</f>
        <v>20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.765</v>
      </c>
      <c r="D51" s="22" t="str">
        <f>'Sheet2-PASTE HERE!'!K61</f>
        <v>Install name tag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.770</v>
      </c>
      <c r="D52" s="22" t="str">
        <f>'Sheet2-PASTE HERE!'!K62</f>
        <v>Inspect tank, make repairs, get QC inspector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.QC6</v>
      </c>
      <c r="D53" s="22" t="str">
        <f>'Sheet2-PASTE HERE!'!K63</f>
        <v>QC Inspection - Fabrication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.801</v>
      </c>
      <c r="D54" s="22" t="str">
        <f>'Sheet2-PASTE HERE!'!K64</f>
        <v>Move to shop test area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.910</v>
      </c>
      <c r="D55" s="22" t="str">
        <f>'Sheet2-PASTE HERE!'!K65</f>
        <v>Test tank</v>
      </c>
      <c r="E55" s="13">
        <f>'Sheet2-PASTE HERE!'!F65</f>
        <v>12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.QC7</v>
      </c>
      <c r="D56" s="22" t="str">
        <f>'Sheet2-PASTE HERE!'!K66</f>
        <v>QC Inspection - Test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.920</v>
      </c>
      <c r="D57" s="22" t="str">
        <f>'Sheet2-PASTE HERE!'!K67</f>
        <v>Clean tank complete</v>
      </c>
      <c r="E57" s="13">
        <f>'Sheet2-PASTE HERE!'!F67</f>
        <v>30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.QC8</v>
      </c>
      <c r="D58" s="22" t="str">
        <f>'Sheet2-PASTE HERE!'!K68</f>
        <v>QC Inspection - Clean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.802</v>
      </c>
      <c r="D59" s="22" t="str">
        <f>'Sheet2-PASTE HERE!'!K69</f>
        <v>Move to paint area</v>
      </c>
      <c r="E59" s="13">
        <f>'Sheet2-PASTE HERE!'!F69</f>
        <v>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.QC9</v>
      </c>
      <c r="D60" s="22" t="str">
        <f>'Sheet2-PASTE HERE!'!K70</f>
        <v>QC Inspection - Sandblast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.QC90</v>
      </c>
      <c r="D61" s="22" t="str">
        <f>'Sheet2-PASTE HERE!'!K71</f>
        <v>QC Inspection - Paint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.940</v>
      </c>
      <c r="D62" s="22" t="str">
        <f>'Sheet2-PASTE HERE!'!K72</f>
        <v>Prepare tank for shipment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.950</v>
      </c>
      <c r="D63" s="22" t="str">
        <f>'Sheet2-PASTE HERE!'!K73</f>
        <v>Check bill of materials and pack loose parts</v>
      </c>
      <c r="E63" s="13">
        <f>'Sheet2-PASTE HERE!'!F73</f>
        <v>2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.QC95</v>
      </c>
      <c r="D64" s="22" t="str">
        <f>'Sheet2-PASTE HERE!'!K74</f>
        <v>QC Inspection - Final &amp; Loose Items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.960</v>
      </c>
      <c r="D65" s="22" t="str">
        <f>'Sheet2-PASTE HERE!'!K75</f>
        <v>Load on truck</v>
      </c>
      <c r="E65" s="13">
        <f>'Sheet2-PASTE HERE!'!F75</f>
        <v>4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 t="str">
        <f>'Sheet2-PASTE HERE!'!F77</f>
        <v/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BLUNGER TANK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15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BUILD (6) ANCHOR CHAIRS. TACK ONLY</v>
      </c>
      <c r="E18" s="13">
        <f>'Sheet2-PASTE HERE!'!F28</f>
        <v>6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LIFT LUGS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.215</v>
      </c>
      <c r="D21" s="22" t="str">
        <f>'Sheet2-PASTE HERE!'!K31</f>
        <v>Burn and clean baffles (CHECK BEFORE BURNING)_x000D_
BUILD DIVIDER PLATE ASSEMBLY</v>
      </c>
      <c r="E21" s="13">
        <f>'Sheet2-PASTE HERE!'!F31</f>
        <v>15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.220</v>
      </c>
      <c r="D22" s="22" t="str">
        <f>'Sheet2-PASTE HERE!'!K32</f>
        <v>Form baffles_x000D_
FORM (4) BAFFLES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MAKE (8) BAFFLE SUPPORTS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weld_x000D_
BUILD (4) BAFFLES</v>
      </c>
      <c r="E24" s="13">
        <f>'Sheet2-PASTE HERE!'!F34</f>
        <v>3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CUT TUBES &amp; ANGLES FOR AGITATION BRIDGE</v>
      </c>
      <c r="E25" s="13">
        <f>'Sheet2-PASTE HERE!'!F35</f>
        <v>16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.252</v>
      </c>
      <c r="D26" s="22" t="str">
        <f>'Sheet2-PASTE HERE!'!K36</f>
        <v>Fabricate miscellaneous parts_x000D_
MAKE (5) SHELL SQUARE TUBE ASSEMBLIES</v>
      </c>
      <c r="E26" s="13">
        <f>'Sheet2-PASTE HERE!'!F36</f>
        <v>5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.255</v>
      </c>
      <c r="D27" s="22" t="str">
        <f>'Sheet2-PASTE HERE!'!K37</f>
        <v>Drill/punch holes_x000D_
DRILL THRU HOLES IN TUBES &amp; BRACES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.261</v>
      </c>
      <c r="D28" s="22" t="str">
        <f>'Sheet2-PASTE HERE!'!K38</f>
        <v>Miscellaneous Fabrication - Braces, Mounting Plates, Cone Outlet Necks_x000D_
MAKE OVERFLOW BOX ASSEMBLY</v>
      </c>
      <c r="E28" s="13">
        <f>'Sheet2-PASTE HERE!'!F38</f>
        <v>10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.QC3</v>
      </c>
      <c r="D29" s="22" t="str">
        <f>'Sheet2-PASTE HERE!'!K39</f>
        <v>UT Shells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.305</v>
      </c>
      <c r="D30" s="22" t="str">
        <f>'Sheet2-PASTE HERE!'!K40</f>
        <v>Shells: bring in plate, square, trim and clean_x000D_
SET UP (1) DOUBLE SHELL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.315</v>
      </c>
      <c r="D31" s="22" t="str">
        <f>'Sheet2-PASTE HERE!'!K41</f>
        <v>Roll shells, tack and weld inside seams_x000D_
ROLL &amp; WELD (1) DOUBLE SHELL</v>
      </c>
      <c r="E31" s="13">
        <f>'Sheet2-PASTE HERE!'!F41</f>
        <v>5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.380</v>
      </c>
      <c r="D33" s="22" t="str">
        <f>'Sheet2-PASTE HERE!'!K43</f>
        <v>Build mixer bridge</v>
      </c>
      <c r="E33" s="13">
        <f>'Sheet2-PASTE HERE!'!F43</f>
        <v>65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.450</v>
      </c>
      <c r="D34" s="22" t="str">
        <f>'Sheet2-PASTE HERE!'!K44</f>
        <v>Build bottom head/cone_x000D_
MAKE FLAT BOTTOM</v>
      </c>
      <c r="E34" s="13">
        <f>'Sheet2-PASTE HERE!'!F44</f>
        <v>5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&amp; OUTSIDE</v>
      </c>
      <c r="E36" s="13">
        <f>'Sheet2-PASTE HERE!'!F46</f>
        <v>7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.615</v>
      </c>
      <c r="D37" s="22" t="str">
        <f>'Sheet2-PASTE HERE!'!K47</f>
        <v>Install rim angle - tack only_x000D_
INSTALL TOP RING &amp; WELD COMPLETE</v>
      </c>
      <c r="E37" s="13">
        <f>'Sheet2-PASTE HERE!'!F47</f>
        <v>9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.616</v>
      </c>
      <c r="D38" s="22" t="str">
        <f>'Sheet2-PASTE HERE!'!K48</f>
        <v>Weld rim angle complete_x000D_
FIT &amp; WELD (10) TOP RING GUSSETS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.620</v>
      </c>
      <c r="D39" s="22" t="str">
        <f>'Sheet2-PASTE HERE!'!K49</f>
        <v>Lay out shell, burn and clean holes_x000D_
CLEAN UP HOLES CUT ON BURN TABLE</v>
      </c>
      <c r="E39" s="13">
        <f>'Sheet2-PASTE HERE!'!F49</f>
        <v>1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.625</v>
      </c>
      <c r="D40" s="22" t="str">
        <f>'Sheet2-PASTE HERE!'!K50</f>
        <v>Install baffles and weld_x000D_
INSTALL (4) BAFFLES</v>
      </c>
      <c r="E40" s="13">
        <f>'Sheet2-PASTE HERE!'!F50</f>
        <v>6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.630</v>
      </c>
      <c r="D41" s="22" t="str">
        <f>'Sheet2-PASTE HERE!'!K51</f>
        <v>Install internals - wear plates, rings, clips, etc._x000D_
INSTALL DIVIDER PLATE ASSEMBLY &amp; WELD</v>
      </c>
      <c r="E41" s="13">
        <f>'Sheet2-PASTE HERE!'!F51</f>
        <v>20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.645</v>
      </c>
      <c r="D43" s="22" t="str">
        <f>'Sheet2-PASTE HERE!'!K53</f>
        <v>Weld all outside seams</v>
      </c>
      <c r="E43" s="13">
        <f>'Sheet2-PASTE HERE!'!F53</f>
        <v>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.717</v>
      </c>
      <c r="D45" s="22" t="str">
        <f>'Sheet2-PASTE HERE!'!K55</f>
        <v>Install lift lugs on shell_x000D_
INCL REPADS</v>
      </c>
      <c r="E45" s="13">
        <f>'Sheet2-PASTE HERE!'!F55</f>
        <v>3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FIT &amp; WELD (6) ANCHOR CHAIRS</v>
      </c>
      <c r="E46" s="13">
        <f>'Sheet2-PASTE HERE!'!F56</f>
        <v>12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tack_x000D_
INCL OVERFLOW BOX</v>
      </c>
      <c r="E47" s="13">
        <f>'Sheet2-PASTE HERE!'!F57</f>
        <v>8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etc._x000D_
INCL OVERFLOW BOX</v>
      </c>
      <c r="E48" s="13">
        <f>'Sheet2-PASTE HERE!'!F58</f>
        <v>15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weld_x000D_
(6) SHELL REPADS FORSQ. TUBES ***WATCH HEAT***</v>
      </c>
      <c r="E49" s="13">
        <f>'Sheet2-PASTE HERE!'!F59</f>
        <v>6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.745</v>
      </c>
      <c r="D50" s="22" t="str">
        <f>'Sheet2-PASTE HERE!'!K60</f>
        <v>Install mixer bridge_x000D_
TEST FIT AGITATOR BRIDGE AND TOP COVERS</v>
      </c>
      <c r="E50" s="13">
        <f>'Sheet2-PASTE HERE!'!F60</f>
        <v>20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.765</v>
      </c>
      <c r="D51" s="22" t="str">
        <f>'Sheet2-PASTE HERE!'!K61</f>
        <v>Install name tag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.770</v>
      </c>
      <c r="D52" s="22" t="str">
        <f>'Sheet2-PASTE HERE!'!K62</f>
        <v>Inspect tank, make repairs, get QC inspector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.QC6</v>
      </c>
      <c r="D53" s="22" t="str">
        <f>'Sheet2-PASTE HERE!'!K63</f>
        <v>QC Inspection - Fabrication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.801</v>
      </c>
      <c r="D54" s="22" t="str">
        <f>'Sheet2-PASTE HERE!'!K64</f>
        <v>Move to shop test area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.910</v>
      </c>
      <c r="D55" s="22" t="str">
        <f>'Sheet2-PASTE HERE!'!K65</f>
        <v>Test tank</v>
      </c>
      <c r="E55" s="13">
        <f>'Sheet2-PASTE HERE!'!F65</f>
        <v>12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.QC7</v>
      </c>
      <c r="D56" s="22" t="str">
        <f>'Sheet2-PASTE HERE!'!K66</f>
        <v>QC Inspection - Test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.920</v>
      </c>
      <c r="D57" s="22" t="str">
        <f>'Sheet2-PASTE HERE!'!K67</f>
        <v>Clean tank complete</v>
      </c>
      <c r="E57" s="13">
        <f>'Sheet2-PASTE HERE!'!F67</f>
        <v>30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.QC8</v>
      </c>
      <c r="D58" s="22" t="str">
        <f>'Sheet2-PASTE HERE!'!K68</f>
        <v>QC Inspection - Clean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.802</v>
      </c>
      <c r="D59" s="22" t="str">
        <f>'Sheet2-PASTE HERE!'!K69</f>
        <v>Move to paint area</v>
      </c>
      <c r="E59" s="13">
        <f>'Sheet2-PASTE HERE!'!F69</f>
        <v>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.QC9</v>
      </c>
      <c r="D60" s="22" t="str">
        <f>'Sheet2-PASTE HERE!'!K70</f>
        <v>QC Inspection - Sandblast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.QC90</v>
      </c>
      <c r="D61" s="22" t="str">
        <f>'Sheet2-PASTE HERE!'!K71</f>
        <v>QC Inspection - Paint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.940</v>
      </c>
      <c r="D62" s="22" t="str">
        <f>'Sheet2-PASTE HERE!'!K72</f>
        <v>Prepare tank for shipment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.950</v>
      </c>
      <c r="D63" s="22" t="str">
        <f>'Sheet2-PASTE HERE!'!K73</f>
        <v>Check bill of materials and pack loose parts</v>
      </c>
      <c r="E63" s="13">
        <f>'Sheet2-PASTE HERE!'!F73</f>
        <v>2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.QC95</v>
      </c>
      <c r="D64" s="22" t="str">
        <f>'Sheet2-PASTE HERE!'!K74</f>
        <v>QC Inspection - Final &amp; Loose Items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.960</v>
      </c>
      <c r="D65" s="22" t="str">
        <f>'Sheet2-PASTE HERE!'!K75</f>
        <v>Load on truck</v>
      </c>
      <c r="E65" s="13">
        <f>'Sheet2-PASTE HERE!'!F75</f>
        <v>4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 t="str">
        <f>'Sheet2-PASTE HERE!'!F77</f>
        <v/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165</v>
      </c>
      <c r="C1" s="8" t="s">
        <v>17</v>
      </c>
      <c r="D1" s="8" t="s">
        <v>166</v>
      </c>
      <c r="E1" s="8" t="s">
        <v>18</v>
      </c>
      <c r="F1" s="8" t="s">
        <v>167</v>
      </c>
      <c r="G1" s="8" t="s">
        <v>165</v>
      </c>
      <c r="H1" s="8" t="s">
        <v>20</v>
      </c>
      <c r="I1" s="8" t="s">
        <v>168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45674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382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51382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51383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51384</v>
      </c>
      <c r="C19" s="19">
        <v>0</v>
      </c>
      <c r="D19" s="8" t="s">
        <v>57</v>
      </c>
      <c r="E19" s="20">
        <v>0</v>
      </c>
      <c r="F19" s="20">
        <v>1</v>
      </c>
      <c r="G19" s="8" t="s">
        <v>54</v>
      </c>
      <c r="H19" s="20">
        <v>1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51385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51386</v>
      </c>
      <c r="C21" s="19">
        <v>0</v>
      </c>
      <c r="D21" s="8" t="s">
        <v>86</v>
      </c>
      <c r="E21" s="20">
        <v>0</v>
      </c>
      <c r="F21" s="20">
        <v>2</v>
      </c>
      <c r="G21" s="8" t="s">
        <v>54</v>
      </c>
      <c r="H21" s="20">
        <v>2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51387</v>
      </c>
      <c r="C22" s="19">
        <v>0</v>
      </c>
      <c r="D22" s="8" t="s">
        <v>89</v>
      </c>
      <c r="E22" s="20">
        <v>0</v>
      </c>
      <c r="F22" s="20">
        <v>2</v>
      </c>
      <c r="G22" s="8" t="s">
        <v>54</v>
      </c>
      <c r="H22" s="20">
        <v>2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51388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51389</v>
      </c>
      <c r="C24" s="19">
        <v>0</v>
      </c>
      <c r="D24" s="8" t="s">
        <v>95</v>
      </c>
      <c r="E24" s="20">
        <v>0</v>
      </c>
      <c r="F24" s="20">
        <v>4</v>
      </c>
      <c r="G24" s="8" t="s">
        <v>54</v>
      </c>
      <c r="H24" s="20">
        <v>4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51390</v>
      </c>
      <c r="C25" s="19">
        <v>0</v>
      </c>
      <c r="D25" s="8" t="s">
        <v>98</v>
      </c>
      <c r="E25" s="20">
        <v>0</v>
      </c>
      <c r="F25" s="20">
        <v>4</v>
      </c>
      <c r="G25" s="8" t="s">
        <v>54</v>
      </c>
      <c r="H25" s="20">
        <v>4</v>
      </c>
      <c r="I25" s="8" t="s">
        <v>99</v>
      </c>
      <c r="J25" s="19">
        <v>0</v>
      </c>
      <c r="K25" s="8" t="s">
        <v>100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51391</v>
      </c>
      <c r="C26" s="19">
        <v>0</v>
      </c>
      <c r="D26" s="8" t="s">
        <v>169</v>
      </c>
      <c r="E26" s="20">
        <v>0</v>
      </c>
      <c r="F26" s="20">
        <v>30</v>
      </c>
      <c r="G26" s="8" t="s">
        <v>54</v>
      </c>
      <c r="H26" s="20">
        <v>30</v>
      </c>
      <c r="I26" s="8" t="s">
        <v>59</v>
      </c>
      <c r="J26" s="19">
        <v>0</v>
      </c>
      <c r="K26" s="8" t="s">
        <v>101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51392</v>
      </c>
      <c r="C27" s="19">
        <v>0</v>
      </c>
      <c r="D27" s="8" t="s">
        <v>170</v>
      </c>
      <c r="E27" s="20">
        <v>0</v>
      </c>
      <c r="F27" s="20">
        <v>15</v>
      </c>
      <c r="G27" s="8" t="s">
        <v>54</v>
      </c>
      <c r="H27" s="20">
        <v>15</v>
      </c>
      <c r="I27" s="8" t="s">
        <v>171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51393</v>
      </c>
      <c r="C28" s="19">
        <v>0</v>
      </c>
      <c r="D28" s="8" t="s">
        <v>60</v>
      </c>
      <c r="E28" s="20">
        <v>0</v>
      </c>
      <c r="F28" s="20">
        <v>6</v>
      </c>
      <c r="G28" s="8" t="s">
        <v>54</v>
      </c>
      <c r="H28" s="20">
        <v>6</v>
      </c>
      <c r="I28" s="8" t="s">
        <v>61</v>
      </c>
      <c r="J28" s="19">
        <v>0</v>
      </c>
      <c r="K28" s="8" t="s">
        <v>172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51394</v>
      </c>
      <c r="C29" s="19">
        <v>0</v>
      </c>
      <c r="D29" s="8" t="s">
        <v>102</v>
      </c>
      <c r="E29" s="20">
        <v>0</v>
      </c>
      <c r="F29" s="20">
        <v>1</v>
      </c>
      <c r="G29" s="8" t="s">
        <v>54</v>
      </c>
      <c r="H29" s="20">
        <v>1</v>
      </c>
      <c r="I29" s="8" t="s">
        <v>103</v>
      </c>
      <c r="J29" s="19">
        <v>0</v>
      </c>
      <c r="K29" s="8" t="s">
        <v>155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51395</v>
      </c>
      <c r="C30" s="19">
        <v>0</v>
      </c>
      <c r="D30" s="8" t="s">
        <v>104</v>
      </c>
      <c r="E30" s="20">
        <v>0</v>
      </c>
      <c r="F30" s="20">
        <v>2</v>
      </c>
      <c r="G30" s="8" t="s">
        <v>54</v>
      </c>
      <c r="H30" s="20">
        <v>2</v>
      </c>
      <c r="I30" s="8" t="s">
        <v>105</v>
      </c>
      <c r="J30" s="19">
        <v>0</v>
      </c>
      <c r="K30" s="8" t="s">
        <v>106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51396</v>
      </c>
      <c r="C31" s="19">
        <v>0</v>
      </c>
      <c r="D31" s="8" t="s">
        <v>173</v>
      </c>
      <c r="E31" s="20">
        <v>0</v>
      </c>
      <c r="F31" s="20">
        <v>15</v>
      </c>
      <c r="G31" s="8" t="s">
        <v>54</v>
      </c>
      <c r="H31" s="20">
        <v>15</v>
      </c>
      <c r="I31" s="8" t="s">
        <v>174</v>
      </c>
      <c r="J31" s="19">
        <v>0</v>
      </c>
      <c r="K31" s="8" t="s">
        <v>175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51397</v>
      </c>
      <c r="C32" s="19">
        <v>0</v>
      </c>
      <c r="D32" s="8" t="s">
        <v>176</v>
      </c>
      <c r="E32" s="20">
        <v>0</v>
      </c>
      <c r="F32" s="20">
        <v>2</v>
      </c>
      <c r="G32" s="8" t="s">
        <v>54</v>
      </c>
      <c r="H32" s="20">
        <v>2</v>
      </c>
      <c r="I32" s="8" t="s">
        <v>177</v>
      </c>
      <c r="J32" s="19">
        <v>0</v>
      </c>
      <c r="K32" s="8" t="s">
        <v>178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51398</v>
      </c>
      <c r="C33" s="19">
        <v>0</v>
      </c>
      <c r="D33" s="8" t="s">
        <v>179</v>
      </c>
      <c r="E33" s="20">
        <v>0</v>
      </c>
      <c r="F33" s="20">
        <v>4</v>
      </c>
      <c r="G33" s="8" t="s">
        <v>54</v>
      </c>
      <c r="H33" s="20">
        <v>4</v>
      </c>
      <c r="I33" s="8" t="s">
        <v>180</v>
      </c>
      <c r="J33" s="19">
        <v>0</v>
      </c>
      <c r="K33" s="8" t="s">
        <v>181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51399</v>
      </c>
      <c r="C34" s="19">
        <v>0</v>
      </c>
      <c r="D34" s="8" t="s">
        <v>182</v>
      </c>
      <c r="E34" s="20">
        <v>0</v>
      </c>
      <c r="F34" s="20">
        <v>3</v>
      </c>
      <c r="G34" s="8" t="s">
        <v>54</v>
      </c>
      <c r="H34" s="20">
        <v>3</v>
      </c>
      <c r="I34" s="8" t="s">
        <v>183</v>
      </c>
      <c r="J34" s="19">
        <v>0</v>
      </c>
      <c r="K34" s="8" t="s">
        <v>184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51400</v>
      </c>
      <c r="C35" s="19">
        <v>0</v>
      </c>
      <c r="D35" s="8" t="s">
        <v>185</v>
      </c>
      <c r="E35" s="20">
        <v>0</v>
      </c>
      <c r="F35" s="20">
        <v>16</v>
      </c>
      <c r="G35" s="8" t="s">
        <v>54</v>
      </c>
      <c r="H35" s="20">
        <v>16</v>
      </c>
      <c r="I35" s="8" t="s">
        <v>186</v>
      </c>
      <c r="J35" s="19">
        <v>0</v>
      </c>
      <c r="K35" s="8" t="s">
        <v>187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51401</v>
      </c>
      <c r="C36" s="19">
        <v>0</v>
      </c>
      <c r="D36" s="8" t="s">
        <v>156</v>
      </c>
      <c r="E36" s="20">
        <v>0</v>
      </c>
      <c r="F36" s="20">
        <v>5</v>
      </c>
      <c r="G36" s="8" t="s">
        <v>54</v>
      </c>
      <c r="H36" s="20">
        <v>5</v>
      </c>
      <c r="I36" s="8" t="s">
        <v>157</v>
      </c>
      <c r="J36" s="19">
        <v>0</v>
      </c>
      <c r="K36" s="8" t="s">
        <v>188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51402</v>
      </c>
      <c r="C37" s="19">
        <v>0</v>
      </c>
      <c r="D37" s="8" t="s">
        <v>189</v>
      </c>
      <c r="E37" s="20">
        <v>0</v>
      </c>
      <c r="F37" s="20">
        <v>3</v>
      </c>
      <c r="G37" s="8" t="s">
        <v>54</v>
      </c>
      <c r="H37" s="20">
        <v>3</v>
      </c>
      <c r="I37" s="8" t="s">
        <v>190</v>
      </c>
      <c r="J37" s="19">
        <v>0</v>
      </c>
      <c r="K37" s="8" t="s">
        <v>191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51403</v>
      </c>
      <c r="C38" s="19">
        <v>0</v>
      </c>
      <c r="D38" s="8" t="s">
        <v>192</v>
      </c>
      <c r="E38" s="20">
        <v>0</v>
      </c>
      <c r="F38" s="20">
        <v>10</v>
      </c>
      <c r="G38" s="8" t="s">
        <v>54</v>
      </c>
      <c r="H38" s="20">
        <v>10</v>
      </c>
      <c r="I38" s="8" t="s">
        <v>193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51404</v>
      </c>
      <c r="C39" s="19">
        <v>0</v>
      </c>
      <c r="D39" s="8" t="s">
        <v>107</v>
      </c>
      <c r="E39" s="20">
        <v>0</v>
      </c>
      <c r="F39" s="20">
        <v>0</v>
      </c>
      <c r="G39" s="8" t="s">
        <v>54</v>
      </c>
      <c r="H39" s="20">
        <v>0</v>
      </c>
      <c r="I39" s="8" t="s">
        <v>108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51405</v>
      </c>
      <c r="C40" s="19">
        <v>0</v>
      </c>
      <c r="D40" s="8" t="s">
        <v>109</v>
      </c>
      <c r="E40" s="20">
        <v>0</v>
      </c>
      <c r="F40" s="20">
        <v>3</v>
      </c>
      <c r="G40" s="8" t="s">
        <v>54</v>
      </c>
      <c r="H40" s="20">
        <v>3</v>
      </c>
      <c r="I40" s="8" t="s">
        <v>110</v>
      </c>
      <c r="J40" s="19">
        <v>0</v>
      </c>
      <c r="K40" s="8" t="s">
        <v>195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51406</v>
      </c>
      <c r="C41" s="19">
        <v>0</v>
      </c>
      <c r="D41" s="8" t="s">
        <v>111</v>
      </c>
      <c r="E41" s="20">
        <v>0</v>
      </c>
      <c r="F41" s="20">
        <v>5</v>
      </c>
      <c r="G41" s="8" t="s">
        <v>54</v>
      </c>
      <c r="H41" s="20">
        <v>5</v>
      </c>
      <c r="I41" s="8" t="s">
        <v>112</v>
      </c>
      <c r="J41" s="19">
        <v>0</v>
      </c>
      <c r="K41" s="8" t="s">
        <v>196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51407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51408</v>
      </c>
      <c r="C43" s="19">
        <v>0</v>
      </c>
      <c r="D43" s="8" t="s">
        <v>197</v>
      </c>
      <c r="E43" s="20">
        <v>0</v>
      </c>
      <c r="F43" s="20">
        <v>65</v>
      </c>
      <c r="G43" s="8" t="s">
        <v>54</v>
      </c>
      <c r="H43" s="20">
        <v>65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51409</v>
      </c>
      <c r="C44" s="19">
        <v>0</v>
      </c>
      <c r="D44" s="8" t="s">
        <v>158</v>
      </c>
      <c r="E44" s="20">
        <v>0</v>
      </c>
      <c r="F44" s="20">
        <v>5</v>
      </c>
      <c r="G44" s="8" t="s">
        <v>54</v>
      </c>
      <c r="H44" s="20">
        <v>5</v>
      </c>
      <c r="I44" s="8" t="s">
        <v>159</v>
      </c>
      <c r="J44" s="19">
        <v>0</v>
      </c>
      <c r="K44" s="8" t="s">
        <v>200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51410</v>
      </c>
      <c r="C45" s="19">
        <v>0</v>
      </c>
      <c r="D45" s="8" t="s">
        <v>113</v>
      </c>
      <c r="E45" s="20">
        <v>0</v>
      </c>
      <c r="F45" s="20">
        <v>0</v>
      </c>
      <c r="G45" s="8" t="s">
        <v>54</v>
      </c>
      <c r="H45" s="20">
        <v>0</v>
      </c>
      <c r="I45" s="8" t="s">
        <v>114</v>
      </c>
      <c r="J45" s="19">
        <v>0</v>
      </c>
      <c r="K45" s="8" t="s">
        <v>115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76</v>
      </c>
      <c r="B46" s="18">
        <v>51411</v>
      </c>
      <c r="C46" s="19">
        <v>0</v>
      </c>
      <c r="D46" s="8" t="s">
        <v>116</v>
      </c>
      <c r="E46" s="20">
        <v>0</v>
      </c>
      <c r="F46" s="20">
        <v>7</v>
      </c>
      <c r="G46" s="8" t="s">
        <v>54</v>
      </c>
      <c r="H46" s="20">
        <v>7</v>
      </c>
      <c r="I46" s="8" t="s">
        <v>117</v>
      </c>
      <c r="J46" s="19">
        <v>0</v>
      </c>
      <c r="K46" s="8" t="s">
        <v>201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76</v>
      </c>
      <c r="B47" s="18">
        <v>51412</v>
      </c>
      <c r="C47" s="19">
        <v>0</v>
      </c>
      <c r="D47" s="8" t="s">
        <v>160</v>
      </c>
      <c r="E47" s="20">
        <v>0</v>
      </c>
      <c r="F47" s="20">
        <v>9</v>
      </c>
      <c r="G47" s="8" t="s">
        <v>54</v>
      </c>
      <c r="H47" s="20">
        <v>9</v>
      </c>
      <c r="I47" s="8" t="s">
        <v>161</v>
      </c>
      <c r="J47" s="19">
        <v>0</v>
      </c>
      <c r="K47" s="8" t="s">
        <v>202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76</v>
      </c>
      <c r="B48" s="18">
        <v>51413</v>
      </c>
      <c r="C48" s="19">
        <v>0</v>
      </c>
      <c r="D48" s="8" t="s">
        <v>162</v>
      </c>
      <c r="E48" s="20">
        <v>0</v>
      </c>
      <c r="F48" s="20">
        <v>8</v>
      </c>
      <c r="G48" s="8" t="s">
        <v>54</v>
      </c>
      <c r="H48" s="20">
        <v>8</v>
      </c>
      <c r="I48" s="8" t="s">
        <v>163</v>
      </c>
      <c r="J48" s="19">
        <v>0</v>
      </c>
      <c r="K48" s="8" t="s">
        <v>203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76</v>
      </c>
      <c r="B49" s="18">
        <v>51414</v>
      </c>
      <c r="C49" s="19">
        <v>0</v>
      </c>
      <c r="D49" s="8" t="s">
        <v>118</v>
      </c>
      <c r="E49" s="20">
        <v>0</v>
      </c>
      <c r="F49" s="20">
        <v>1</v>
      </c>
      <c r="G49" s="8" t="s">
        <v>54</v>
      </c>
      <c r="H49" s="20">
        <v>1</v>
      </c>
      <c r="I49" s="8" t="s">
        <v>119</v>
      </c>
      <c r="J49" s="19">
        <v>0</v>
      </c>
      <c r="K49" s="8" t="s">
        <v>204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76</v>
      </c>
      <c r="B50" s="18">
        <v>51415</v>
      </c>
      <c r="C50" s="19">
        <v>0</v>
      </c>
      <c r="D50" s="8" t="s">
        <v>205</v>
      </c>
      <c r="E50" s="20">
        <v>0</v>
      </c>
      <c r="F50" s="20">
        <v>6</v>
      </c>
      <c r="G50" s="8" t="s">
        <v>54</v>
      </c>
      <c r="H50" s="20">
        <v>6</v>
      </c>
      <c r="I50" s="8" t="s">
        <v>206</v>
      </c>
      <c r="J50" s="19">
        <v>0</v>
      </c>
      <c r="K50" s="8" t="s">
        <v>207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76</v>
      </c>
      <c r="B51" s="18">
        <v>51416</v>
      </c>
      <c r="C51" s="19">
        <v>0</v>
      </c>
      <c r="D51" s="8" t="s">
        <v>208</v>
      </c>
      <c r="E51" s="20">
        <v>0</v>
      </c>
      <c r="F51" s="20">
        <v>20</v>
      </c>
      <c r="G51" s="8" t="s">
        <v>54</v>
      </c>
      <c r="H51" s="20">
        <v>20</v>
      </c>
      <c r="I51" s="8" t="s">
        <v>209</v>
      </c>
      <c r="J51" s="19">
        <v>0</v>
      </c>
      <c r="K51" s="8" t="s">
        <v>210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51417</v>
      </c>
      <c r="C52" s="19">
        <v>0</v>
      </c>
      <c r="D52" s="8" t="s">
        <v>120</v>
      </c>
      <c r="E52" s="20">
        <v>0</v>
      </c>
      <c r="F52" s="20">
        <v>0</v>
      </c>
      <c r="G52" s="8" t="s">
        <v>54</v>
      </c>
      <c r="H52" s="20">
        <v>0</v>
      </c>
      <c r="I52" s="8" t="s">
        <v>121</v>
      </c>
      <c r="J52" s="19">
        <v>0</v>
      </c>
      <c r="K52" s="8" t="s">
        <v>120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51418</v>
      </c>
      <c r="C53" s="19">
        <v>0</v>
      </c>
      <c r="D53" s="8" t="s">
        <v>211</v>
      </c>
      <c r="E53" s="20">
        <v>0</v>
      </c>
      <c r="F53" s="20">
        <v>5</v>
      </c>
      <c r="G53" s="8" t="s">
        <v>54</v>
      </c>
      <c r="H53" s="20">
        <v>5</v>
      </c>
      <c r="I53" s="8" t="s">
        <v>212</v>
      </c>
      <c r="J53" s="19">
        <v>0</v>
      </c>
      <c r="K53" s="8" t="s">
        <v>213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122</v>
      </c>
      <c r="B54" s="18">
        <v>51419</v>
      </c>
      <c r="C54" s="19">
        <v>0</v>
      </c>
      <c r="D54" s="8" t="s">
        <v>123</v>
      </c>
      <c r="E54" s="20">
        <v>0</v>
      </c>
      <c r="F54" s="20">
        <v>1</v>
      </c>
      <c r="G54" s="8" t="s">
        <v>54</v>
      </c>
      <c r="H54" s="20">
        <v>1</v>
      </c>
      <c r="I54" s="8" t="s">
        <v>124</v>
      </c>
      <c r="J54" s="19">
        <v>0</v>
      </c>
      <c r="K54" s="8" t="s">
        <v>125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76</v>
      </c>
      <c r="B55" s="18">
        <v>51420</v>
      </c>
      <c r="C55" s="19">
        <v>0</v>
      </c>
      <c r="D55" s="8" t="s">
        <v>62</v>
      </c>
      <c r="E55" s="20">
        <v>0</v>
      </c>
      <c r="F55" s="20">
        <v>3</v>
      </c>
      <c r="G55" s="8" t="s">
        <v>54</v>
      </c>
      <c r="H55" s="20">
        <v>3</v>
      </c>
      <c r="I55" s="8" t="s">
        <v>63</v>
      </c>
      <c r="J55" s="19">
        <v>0</v>
      </c>
      <c r="K55" s="8" t="s">
        <v>164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51421</v>
      </c>
      <c r="C56" s="19">
        <v>0</v>
      </c>
      <c r="D56" s="8" t="s">
        <v>126</v>
      </c>
      <c r="E56" s="20">
        <v>0</v>
      </c>
      <c r="F56" s="20">
        <v>12</v>
      </c>
      <c r="G56" s="8" t="s">
        <v>54</v>
      </c>
      <c r="H56" s="20">
        <v>12</v>
      </c>
      <c r="I56" s="8" t="s">
        <v>127</v>
      </c>
      <c r="J56" s="19">
        <v>0</v>
      </c>
      <c r="K56" s="8" t="s">
        <v>214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76</v>
      </c>
      <c r="B57" s="18">
        <v>51422</v>
      </c>
      <c r="C57" s="19">
        <v>0</v>
      </c>
      <c r="D57" s="8" t="s">
        <v>128</v>
      </c>
      <c r="E57" s="20">
        <v>0</v>
      </c>
      <c r="F57" s="20">
        <v>8</v>
      </c>
      <c r="G57" s="8" t="s">
        <v>54</v>
      </c>
      <c r="H57" s="20">
        <v>8</v>
      </c>
      <c r="I57" s="8" t="s">
        <v>129</v>
      </c>
      <c r="J57" s="19">
        <v>0</v>
      </c>
      <c r="K57" s="8" t="s">
        <v>215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51423</v>
      </c>
      <c r="C58" s="19">
        <v>0</v>
      </c>
      <c r="D58" s="8" t="s">
        <v>130</v>
      </c>
      <c r="E58" s="20">
        <v>0</v>
      </c>
      <c r="F58" s="20">
        <v>15</v>
      </c>
      <c r="G58" s="8" t="s">
        <v>54</v>
      </c>
      <c r="H58" s="20">
        <v>15</v>
      </c>
      <c r="I58" s="8" t="s">
        <v>131</v>
      </c>
      <c r="J58" s="19">
        <v>0</v>
      </c>
      <c r="K58" s="8" t="s">
        <v>216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76</v>
      </c>
      <c r="B59" s="18">
        <v>51424</v>
      </c>
      <c r="C59" s="19">
        <v>0</v>
      </c>
      <c r="D59" s="8" t="s">
        <v>217</v>
      </c>
      <c r="E59" s="20">
        <v>0</v>
      </c>
      <c r="F59" s="20">
        <v>6</v>
      </c>
      <c r="G59" s="8" t="s">
        <v>54</v>
      </c>
      <c r="H59" s="20">
        <v>6</v>
      </c>
      <c r="I59" s="8" t="s">
        <v>218</v>
      </c>
      <c r="J59" s="19">
        <v>0</v>
      </c>
      <c r="K59" s="8" t="s">
        <v>219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51425</v>
      </c>
      <c r="C60" s="19">
        <v>0</v>
      </c>
      <c r="D60" s="8" t="s">
        <v>220</v>
      </c>
      <c r="E60" s="20">
        <v>0</v>
      </c>
      <c r="F60" s="20">
        <v>20</v>
      </c>
      <c r="G60" s="8" t="s">
        <v>54</v>
      </c>
      <c r="H60" s="20">
        <v>20</v>
      </c>
      <c r="I60" s="8" t="s">
        <v>221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51426</v>
      </c>
      <c r="C61" s="19">
        <v>0</v>
      </c>
      <c r="D61" s="8" t="s">
        <v>132</v>
      </c>
      <c r="E61" s="20">
        <v>0</v>
      </c>
      <c r="F61" s="20">
        <v>1</v>
      </c>
      <c r="G61" s="8" t="s">
        <v>54</v>
      </c>
      <c r="H61" s="20">
        <v>1</v>
      </c>
      <c r="I61" s="8" t="s">
        <v>133</v>
      </c>
      <c r="J61" s="19">
        <v>0</v>
      </c>
      <c r="K61" s="8" t="s">
        <v>134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76</v>
      </c>
      <c r="B62" s="18">
        <v>51427</v>
      </c>
      <c r="C62" s="19">
        <v>0</v>
      </c>
      <c r="D62" s="8" t="s">
        <v>135</v>
      </c>
      <c r="E62" s="20">
        <v>0</v>
      </c>
      <c r="F62" s="20">
        <v>1</v>
      </c>
      <c r="G62" s="8" t="s">
        <v>54</v>
      </c>
      <c r="H62" s="20">
        <v>1</v>
      </c>
      <c r="I62" s="8" t="s">
        <v>136</v>
      </c>
      <c r="J62" s="19">
        <v>0</v>
      </c>
      <c r="K62" s="8" t="s">
        <v>137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51428</v>
      </c>
      <c r="C63" s="19">
        <v>0</v>
      </c>
      <c r="D63" s="8" t="s">
        <v>138</v>
      </c>
      <c r="E63" s="20">
        <v>0</v>
      </c>
      <c r="F63" s="20">
        <v>0</v>
      </c>
      <c r="G63" s="8" t="s">
        <v>54</v>
      </c>
      <c r="H63" s="20">
        <v>0</v>
      </c>
      <c r="I63" s="8" t="s">
        <v>139</v>
      </c>
      <c r="J63" s="19">
        <v>0</v>
      </c>
      <c r="K63" s="8" t="s">
        <v>140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122</v>
      </c>
      <c r="B64" s="18">
        <v>51429</v>
      </c>
      <c r="C64" s="19">
        <v>0</v>
      </c>
      <c r="D64" s="8" t="s">
        <v>141</v>
      </c>
      <c r="E64" s="20">
        <v>0</v>
      </c>
      <c r="F64" s="20">
        <v>1</v>
      </c>
      <c r="G64" s="8" t="s">
        <v>54</v>
      </c>
      <c r="H64" s="20">
        <v>1</v>
      </c>
      <c r="I64" s="8" t="s">
        <v>142</v>
      </c>
      <c r="J64" s="19">
        <v>0</v>
      </c>
      <c r="K64" s="8" t="s">
        <v>143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64</v>
      </c>
      <c r="B65" s="18">
        <v>51430</v>
      </c>
      <c r="C65" s="19">
        <v>0</v>
      </c>
      <c r="D65" s="8" t="s">
        <v>144</v>
      </c>
      <c r="E65" s="20">
        <v>0</v>
      </c>
      <c r="F65" s="20">
        <v>12</v>
      </c>
      <c r="G65" s="8" t="s">
        <v>54</v>
      </c>
      <c r="H65" s="20">
        <v>12</v>
      </c>
      <c r="I65" s="8" t="s">
        <v>145</v>
      </c>
      <c r="J65" s="19">
        <v>0</v>
      </c>
      <c r="K65" s="8" t="s">
        <v>146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51431</v>
      </c>
      <c r="C66" s="19">
        <v>0</v>
      </c>
      <c r="D66" s="8" t="s">
        <v>147</v>
      </c>
      <c r="E66" s="20">
        <v>0</v>
      </c>
      <c r="F66" s="20">
        <v>0</v>
      </c>
      <c r="G66" s="8" t="s">
        <v>54</v>
      </c>
      <c r="H66" s="20">
        <v>0</v>
      </c>
      <c r="I66" s="8" t="s">
        <v>148</v>
      </c>
      <c r="J66" s="19">
        <v>0</v>
      </c>
      <c r="K66" s="8" t="s">
        <v>147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64</v>
      </c>
      <c r="B67" s="18">
        <v>51432</v>
      </c>
      <c r="C67" s="19">
        <v>0</v>
      </c>
      <c r="D67" s="8" t="s">
        <v>149</v>
      </c>
      <c r="E67" s="20">
        <v>0</v>
      </c>
      <c r="F67" s="20">
        <v>30</v>
      </c>
      <c r="G67" s="8" t="s">
        <v>54</v>
      </c>
      <c r="H67" s="20">
        <v>30</v>
      </c>
      <c r="I67" s="8" t="s">
        <v>150</v>
      </c>
      <c r="J67" s="19">
        <v>0</v>
      </c>
      <c r="K67" s="8" t="s">
        <v>151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51433</v>
      </c>
      <c r="C68" s="19">
        <v>0</v>
      </c>
      <c r="D68" s="8" t="s">
        <v>152</v>
      </c>
      <c r="E68" s="20">
        <v>0</v>
      </c>
      <c r="F68" s="20">
        <v>0</v>
      </c>
      <c r="G68" s="8" t="s">
        <v>54</v>
      </c>
      <c r="H68" s="20">
        <v>0</v>
      </c>
      <c r="I68" s="8" t="s">
        <v>153</v>
      </c>
      <c r="J68" s="19">
        <v>0</v>
      </c>
      <c r="K68" s="8" t="s">
        <v>152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122</v>
      </c>
      <c r="B69" s="18">
        <v>51434</v>
      </c>
      <c r="C69" s="19">
        <v>0</v>
      </c>
      <c r="D69" s="8" t="s">
        <v>223</v>
      </c>
      <c r="E69" s="20">
        <v>0</v>
      </c>
      <c r="F69" s="20">
        <v>2</v>
      </c>
      <c r="G69" s="8" t="s">
        <v>54</v>
      </c>
      <c r="H69" s="20">
        <v>2</v>
      </c>
      <c r="I69" s="8" t="s">
        <v>224</v>
      </c>
      <c r="J69" s="19">
        <v>0</v>
      </c>
      <c r="K69" s="8" t="s">
        <v>225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51435</v>
      </c>
      <c r="C70" s="19">
        <v>0</v>
      </c>
      <c r="D70" s="8" t="s">
        <v>226</v>
      </c>
      <c r="E70" s="20">
        <v>0</v>
      </c>
      <c r="F70" s="20">
        <v>0</v>
      </c>
      <c r="G70" s="8" t="s">
        <v>54</v>
      </c>
      <c r="H70" s="20">
        <v>0</v>
      </c>
      <c r="I70" s="8" t="s">
        <v>227</v>
      </c>
      <c r="J70" s="19">
        <v>0</v>
      </c>
      <c r="K70" s="8" t="s">
        <v>226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51436</v>
      </c>
      <c r="C71" s="19">
        <v>0</v>
      </c>
      <c r="D71" s="8" t="s">
        <v>228</v>
      </c>
      <c r="E71" s="20">
        <v>0</v>
      </c>
      <c r="F71" s="20">
        <v>0</v>
      </c>
      <c r="G71" s="8" t="s">
        <v>54</v>
      </c>
      <c r="H71" s="20">
        <v>0</v>
      </c>
      <c r="I71" s="8" t="s">
        <v>229</v>
      </c>
      <c r="J71" s="19">
        <v>0</v>
      </c>
      <c r="K71" s="8" t="s">
        <v>228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64</v>
      </c>
      <c r="B72" s="18">
        <v>51437</v>
      </c>
      <c r="C72" s="19">
        <v>0</v>
      </c>
      <c r="D72" s="8" t="s">
        <v>65</v>
      </c>
      <c r="E72" s="20">
        <v>0</v>
      </c>
      <c r="F72" s="20">
        <v>2</v>
      </c>
      <c r="G72" s="8" t="s">
        <v>54</v>
      </c>
      <c r="H72" s="20">
        <v>2</v>
      </c>
      <c r="I72" s="8" t="s">
        <v>66</v>
      </c>
      <c r="J72" s="19">
        <v>0</v>
      </c>
      <c r="K72" s="8" t="s">
        <v>154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64</v>
      </c>
      <c r="B73" s="18">
        <v>51438</v>
      </c>
      <c r="C73" s="19">
        <v>0</v>
      </c>
      <c r="D73" s="8" t="s">
        <v>230</v>
      </c>
      <c r="E73" s="20">
        <v>0</v>
      </c>
      <c r="F73" s="20">
        <v>2</v>
      </c>
      <c r="G73" s="8" t="s">
        <v>54</v>
      </c>
      <c r="H73" s="20">
        <v>2</v>
      </c>
      <c r="I73" s="8" t="s">
        <v>231</v>
      </c>
      <c r="J73" s="19">
        <v>0</v>
      </c>
      <c r="K73" s="8" t="s">
        <v>232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51439</v>
      </c>
      <c r="C74" s="19">
        <v>0</v>
      </c>
      <c r="D74" s="8" t="s">
        <v>67</v>
      </c>
      <c r="E74" s="20">
        <v>0</v>
      </c>
      <c r="F74" s="20">
        <v>0</v>
      </c>
      <c r="G74" s="8" t="s">
        <v>54</v>
      </c>
      <c r="H74" s="20">
        <v>0</v>
      </c>
      <c r="I74" s="8" t="s">
        <v>68</v>
      </c>
      <c r="J74" s="19">
        <v>0</v>
      </c>
      <c r="K74" s="8" t="s">
        <v>69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70</v>
      </c>
      <c r="B75" s="18">
        <v>51440</v>
      </c>
      <c r="C75" s="19">
        <v>0</v>
      </c>
      <c r="D75" s="8" t="s">
        <v>71</v>
      </c>
      <c r="E75" s="20">
        <v>0</v>
      </c>
      <c r="F75" s="20">
        <v>4</v>
      </c>
      <c r="G75" s="8" t="s">
        <v>54</v>
      </c>
      <c r="H75" s="20">
        <v>4</v>
      </c>
      <c r="I75" s="8" t="s">
        <v>72</v>
      </c>
      <c r="J75" s="19">
        <v>0</v>
      </c>
      <c r="K75" s="8" t="s">
        <v>73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/>
    <row r="77" spans="1:14" ht="12.75" customHeight="1" x14ac:dyDescent="0.2">
      <c r="B77" s="8" t="s">
        <v>16</v>
      </c>
      <c r="C77" s="8" t="s">
        <v>165</v>
      </c>
      <c r="E77" s="8" t="s">
        <v>19</v>
      </c>
      <c r="F77" s="8" t="s">
        <v>19</v>
      </c>
      <c r="G77" s="8" t="s">
        <v>21</v>
      </c>
      <c r="H77" s="8" t="s">
        <v>19</v>
      </c>
      <c r="J77" s="8" t="s">
        <v>19</v>
      </c>
    </row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30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15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BUILD (6) ANCHOR CHAIRS. 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6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LIFT LUGS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.215</v>
      </c>
      <c r="C86" s="40" t="str">
        <f>'Build Plan w Hours'!D21</f>
        <v>Burn and clean baffles (CHECK BEFORE BURNING)_x000D_
BUILD DIVIDER PLATE ASSEMBLY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15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.220</v>
      </c>
      <c r="C92" s="40" t="str">
        <f>'Build Plan w Hours'!D22</f>
        <v>Form baffles_x000D_
FORM (4) BAFFLES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MAKE (8)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weld_x000D_
BUILD (4) BAFFLES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3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CUT TUBES &amp; ANGLES FOR AGITATION BRIDGE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16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.252</v>
      </c>
      <c r="C116" s="40" t="str">
        <f>'Build Plan w Hours'!D26</f>
        <v>Fabricate miscellaneous parts_x000D_
MAKE (5) SHELL SQUARE TUBE ASSEMBLIES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5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.255</v>
      </c>
      <c r="C122" s="40" t="str">
        <f>'Build Plan w Hours'!D27</f>
        <v>Drill/punch holes_x000D_
DRILL THRU HOLES IN TUBES &amp; BRACES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.261</v>
      </c>
      <c r="C128" s="40" t="str">
        <f>'Build Plan w Hours'!D28</f>
        <v>Miscellaneous Fabrication - Braces, Mounting Plates, Cone Outlet Necks_x000D_
MAKE OVERFLOW BOX ASSEMBLY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10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.QC3</v>
      </c>
      <c r="C134" s="40" t="str">
        <f>'Build Plan w Hours'!D29</f>
        <v>UT Shells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.305</v>
      </c>
      <c r="C140" s="40" t="str">
        <f>'Build Plan w Hours'!D30</f>
        <v>Shells: bring in plate, square, trim and clean_x000D_
SET UP (1) DOUBLE SHELL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.315</v>
      </c>
      <c r="C146" s="40" t="str">
        <f>'Build Plan w Hours'!D31</f>
        <v>Roll shells, tack and weld inside seams_x000D_
ROLL &amp; WELD (1) DOUBLE SHELL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5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.380</v>
      </c>
      <c r="C158" s="40" t="str">
        <f>'Build Plan w Hours'!D33</f>
        <v>Build mixer bridge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65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.450</v>
      </c>
      <c r="C164" s="40" t="str">
        <f>'Build Plan w Hours'!D34</f>
        <v>Build bottom head/cone_x000D_
MAKE FLAT BOTTOM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5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&amp;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7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.615</v>
      </c>
      <c r="C182" s="40" t="str">
        <f>'Build Plan w Hours'!D37</f>
        <v>Install rim angle - tack only_x000D_
INSTALL TOP RING &amp; WELD COMPLETE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9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.616</v>
      </c>
      <c r="C188" s="40" t="str">
        <f>'Build Plan w Hours'!D38</f>
        <v>Weld rim angle complete_x000D_
FIT &amp; WELD (10) TOP RING GUSSETS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.620</v>
      </c>
      <c r="C194" s="40" t="str">
        <f>'Build Plan w Hours'!D39</f>
        <v>Lay out shell, burn and clean holes_x000D_
CLEAN UP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1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.625</v>
      </c>
      <c r="C200" s="40" t="str">
        <f>'Build Plan w Hours'!D40</f>
        <v>Install baffles and weld_x000D_
INSTALL (4) BAFFLES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6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.630</v>
      </c>
      <c r="C206" s="40" t="str">
        <f>'Build Plan w Hours'!D41</f>
        <v>Install internals - wear plates, rings, clips, etc._x000D_
INSTALL DIVIDER PLATE ASSEMBLY &amp;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20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.645</v>
      </c>
      <c r="C218" s="40" t="str">
        <f>'Build Plan w Hours'!D43</f>
        <v>Weld all outside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.717</v>
      </c>
      <c r="C230" s="40" t="str">
        <f>'Build Plan w Hours'!D45</f>
        <v>Install lift lugs on shell_x000D_
INCL REPADS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3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FIT &amp; WELD (6) ANCHOR CHAIRS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12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tack_x000D_
INCL OVERFLOW BOX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8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etc._x000D_
INCL OVERFLOW BOX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15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weld_x000D_
(6) SHELL REPADS FORSQ. TUBES ***WATCH HEAT***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6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.745</v>
      </c>
      <c r="C260" s="40" t="str">
        <f>'Build Plan w Hours'!D50</f>
        <v>Install mixer bridge_x000D_
TEST FIT AGITATOR BRIDGE AND TOP COVERS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20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.765</v>
      </c>
      <c r="C266" s="40" t="str">
        <f>'Build Plan w Hours'!D51</f>
        <v>Install name tag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.770</v>
      </c>
      <c r="C272" s="40" t="str">
        <f>'Build Plan w Hours'!D52</f>
        <v>Inspect tank, make repairs, get QC inspector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.QC6</v>
      </c>
      <c r="C278" s="40" t="str">
        <f>'Build Plan w Hours'!D53</f>
        <v>QC Inspection - Fabrication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.801</v>
      </c>
      <c r="C284" s="40" t="str">
        <f>'Build Plan w Hours'!D54</f>
        <v>Move to shop test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.910</v>
      </c>
      <c r="C290" s="40" t="str">
        <f>'Build Plan w Hours'!D55</f>
        <v>Test tank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12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.QC7</v>
      </c>
      <c r="C296" s="40" t="str">
        <f>'Build Plan w Hours'!D56</f>
        <v>QC Inspection -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.920</v>
      </c>
      <c r="C302" s="40" t="str">
        <f>'Build Plan w Hours'!D57</f>
        <v>Clean tank complete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30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.QC8</v>
      </c>
      <c r="C308" s="40" t="str">
        <f>'Build Plan w Hours'!D58</f>
        <v>QC Inspection - Clean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.802</v>
      </c>
      <c r="C314" s="40" t="str">
        <f>'Build Plan w Hours'!D59</f>
        <v>Move to paint area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.QC9</v>
      </c>
      <c r="C320" s="40" t="str">
        <f>'Build Plan w Hours'!D60</f>
        <v>QC Inspection - Sandblast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.QC90</v>
      </c>
      <c r="C326" s="40" t="str">
        <f>'Build Plan w Hours'!D61</f>
        <v>QC Inspection - Paint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.940</v>
      </c>
      <c r="C332" s="40" t="str">
        <f>'Build Plan w Hours'!D62</f>
        <v>Prepare tank for shipment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.950</v>
      </c>
      <c r="C338" s="40" t="str">
        <f>'Build Plan w Hours'!D63</f>
        <v>Check bill of materials and pack loose parts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2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.QC95</v>
      </c>
      <c r="C344" s="40" t="str">
        <f>'Build Plan w Hours'!D64</f>
        <v>QC Inspection - Final &amp; Loose Items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.960</v>
      </c>
      <c r="C350" s="40" t="str">
        <f>'Build Plan w Hours'!D65</f>
        <v>Load on truck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4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 t="str">
        <f>'Build Plan w Hours'!E67</f>
        <v/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BUILD (6) ANCHOR CHAIRS. 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LIFT LUGS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.215</v>
      </c>
      <c r="C86" s="40" t="str">
        <f>'Build Plan w Hours'!D21</f>
        <v>Burn and clean baffles (CHECK BEFORE BURNING)_x000D_
BUILD DIVIDER PLATE ASSEMBLY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.220</v>
      </c>
      <c r="C92" s="40" t="str">
        <f>'Build Plan w Hours'!D22</f>
        <v>Form baffles_x000D_
FORM (4) BAFFLES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MAKE (8)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weld_x000D_
BUILD (4) BAFFLES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CUT TUBES &amp; ANGLES FOR AGITATION BRIDGE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.252</v>
      </c>
      <c r="C116" s="40" t="str">
        <f>'Build Plan w Hours'!D26</f>
        <v>Fabricate miscellaneous parts_x000D_
MAKE (5) SHELL SQUARE TUBE ASSEMBLIES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.255</v>
      </c>
      <c r="C122" s="40" t="str">
        <f>'Build Plan w Hours'!D27</f>
        <v>Drill/punch holes_x000D_
DRILL THRU HOLES IN TUBES &amp; BRACES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.261</v>
      </c>
      <c r="C128" s="40" t="str">
        <f>'Build Plan w Hours'!D28</f>
        <v>Miscellaneous Fabrication - Braces, Mounting Plates, Cone Outlet Necks_x000D_
MAKE OVERFLOW BOX ASSEMBLY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.QC3</v>
      </c>
      <c r="C134" s="40" t="str">
        <f>'Build Plan w Hours'!D29</f>
        <v>UT Shells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.305</v>
      </c>
      <c r="C140" s="40" t="str">
        <f>'Build Plan w Hours'!D30</f>
        <v>Shells: bring in plate, square, trim and clean_x000D_
SET UP (1) DOUBLE SHELL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.315</v>
      </c>
      <c r="C146" s="40" t="str">
        <f>'Build Plan w Hours'!D31</f>
        <v>Roll shells, tack and weld inside seams_x000D_
ROLL &amp; WELD (1) DOUBLE SHELL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.380</v>
      </c>
      <c r="C158" s="40" t="str">
        <f>'Build Plan w Hours'!D33</f>
        <v>Build mixer bridge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.450</v>
      </c>
      <c r="C164" s="40" t="str">
        <f>'Build Plan w Hours'!D34</f>
        <v>Build bottom head/cone_x000D_
MAKE FLAT BOTTOM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&amp;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.615</v>
      </c>
      <c r="C182" s="40" t="str">
        <f>'Build Plan w Hours'!D37</f>
        <v>Install rim angle - tack only_x000D_
INSTALL TOP RING &amp; WELD COMPLETE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.616</v>
      </c>
      <c r="C188" s="40" t="str">
        <f>'Build Plan w Hours'!D38</f>
        <v>Weld rim angle complete_x000D_
FIT &amp; WELD (10) TOP RING GUSSETS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.620</v>
      </c>
      <c r="C194" s="40" t="str">
        <f>'Build Plan w Hours'!D39</f>
        <v>Lay out shell, burn and clean holes_x000D_
CLEAN UP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.625</v>
      </c>
      <c r="C200" s="40" t="str">
        <f>'Build Plan w Hours'!D40</f>
        <v>Install baffles and weld_x000D_
INSTALL (4) BAFFLES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.630</v>
      </c>
      <c r="C206" s="40" t="str">
        <f>'Build Plan w Hours'!D41</f>
        <v>Install internals - wear plates, rings, clips, etc._x000D_
INSTALL DIVIDER PLATE ASSEMBLY &amp;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.645</v>
      </c>
      <c r="C218" s="40" t="str">
        <f>'Build Plan w Hours'!D43</f>
        <v>Weld all outside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.717</v>
      </c>
      <c r="C230" s="40" t="str">
        <f>'Build Plan w Hours'!D45</f>
        <v>Install lift lugs on shell_x000D_
INCL REPADS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FIT &amp; WELD (6) ANCHOR CHAIRS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tack_x000D_
INCL OVERFLOW BOX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etc._x000D_
INCL OVERFLOW BOX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weld_x000D_
(6) SHELL REPADS FORSQ. TUBES ***WATCH HEAT***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.745</v>
      </c>
      <c r="C260" s="40" t="str">
        <f>'Build Plan w Hours'!D50</f>
        <v>Install mixer bridge_x000D_
TEST FIT AGITATOR BRIDGE AND TOP COVERS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.765</v>
      </c>
      <c r="C266" s="40" t="str">
        <f>'Build Plan w Hours'!D51</f>
        <v>Install name tag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.770</v>
      </c>
      <c r="C272" s="40" t="str">
        <f>'Build Plan w Hours'!D52</f>
        <v>Inspect tank, make repairs, get QC inspector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.QC6</v>
      </c>
      <c r="C278" s="40" t="str">
        <f>'Build Plan w Hours'!D53</f>
        <v>QC Inspection - Fabrication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.801</v>
      </c>
      <c r="C284" s="40" t="str">
        <f>'Build Plan w Hours'!D54</f>
        <v>Move to shop test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.910</v>
      </c>
      <c r="C290" s="40" t="str">
        <f>'Build Plan w Hours'!D55</f>
        <v>Test tank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.QC7</v>
      </c>
      <c r="C296" s="40" t="str">
        <f>'Build Plan w Hours'!D56</f>
        <v>QC Inspection -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.920</v>
      </c>
      <c r="C302" s="40" t="str">
        <f>'Build Plan w Hours'!D57</f>
        <v>Clean tank complete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.QC8</v>
      </c>
      <c r="C308" s="40" t="str">
        <f>'Build Plan w Hours'!D58</f>
        <v>QC Inspection - Clean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.802</v>
      </c>
      <c r="C314" s="40" t="str">
        <f>'Build Plan w Hours'!D59</f>
        <v>Move to paint area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.QC9</v>
      </c>
      <c r="C320" s="40" t="str">
        <f>'Build Plan w Hours'!D60</f>
        <v>QC Inspection - Sandblast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.QC90</v>
      </c>
      <c r="C326" s="40" t="str">
        <f>'Build Plan w Hours'!D61</f>
        <v>QC Inspection - Paint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.940</v>
      </c>
      <c r="C332" s="40" t="str">
        <f>'Build Plan w Hours'!D62</f>
        <v>Prepare tank for shipment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.950</v>
      </c>
      <c r="C338" s="40" t="str">
        <f>'Build Plan w Hours'!D63</f>
        <v>Check bill of materials and pack loose parts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.QC95</v>
      </c>
      <c r="C344" s="40" t="str">
        <f>'Build Plan w Hours'!D64</f>
        <v>QC Inspection - Final &amp; Loose Items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.960</v>
      </c>
      <c r="C350" s="40" t="str">
        <f>'Build Plan w Hours'!D65</f>
        <v>Load on truck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2025-04-24T12:32:03Z</cp:lastPrinted>
  <dcterms:created xsi:type="dcterms:W3CDTF">2016-06-28T20:53:17Z</dcterms:created>
  <dcterms:modified xsi:type="dcterms:W3CDTF">2025-04-24T12:33:51Z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