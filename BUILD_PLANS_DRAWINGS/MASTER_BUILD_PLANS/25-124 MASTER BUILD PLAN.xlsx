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124-25 thru 347-25Vertiv Jobs\124-25 - Vertiv - Buffer Tank - 1 of 224\"/>
    </mc:Choice>
  </mc:AlternateContent>
  <xr:revisionPtr revIDLastSave="0" documentId="8_{72DAEF79-D042-4E04-BC9C-0FBD42743DC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Hours'!$A$1:$H$50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<sst xmlns="http://schemas.openxmlformats.org/spreadsheetml/2006/main" count="1666" uniqueCount="193">
  <si>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</si>
  <si>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</si>
  <si>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</si>
  <si>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</si>
  <si>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</si>
  <si>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</si>
  <si>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</si>
  <si>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</si>
  <si>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</si>
  <si>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</si>
  <si>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</si>
  <si>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</si>
  <si>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</si>
  <si>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</si>
  <si>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</si>
  <si>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</si>
  <si>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</si>
  <si>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</si>
  <si>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</si>
  <si>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</si>
  <si>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</si>
  <si>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</si>
  <si>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</si>
  <si>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</si>
  <si>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</si>
  <si>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</si>
  <si>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</si>
  <si>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</si>
  <si>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</si>
  <si>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</si>
  <si>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</si>
  <si>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</si>
  <si>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</si>
  <si>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</si>
  <si>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</si>
  <si>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</si>
  <si>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</si>
  <si>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</si>
  <si>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</si>
  <si>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</si>
  <si>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</si>
  <si>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</si>
  <si>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</si>
  <si>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</si>
  <si>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</si>
  <si>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</si>
  <si>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</si>
  <si>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</si>
  <si>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</si>
  <si>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</si>
  <si>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</si>
  <si>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</si>
  <si>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</si>
  <si>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</si>
  <si>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</si>
  <si>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</si>
  <si>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</si>
  <si>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</si>
  <si>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</si>
  <si>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</si>
  <si>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</si>
  <si>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</si>
  <si>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</si>
  <si>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</si>
  <si>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</si>
  <si>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</si>
  <si>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</si>
  <si>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</si>
  <si>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</si>
  <si>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</si>
  <si>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</si>
  <si>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</si>
  <si>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</si>
  <si>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</si>
  <si>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</si>
  <si>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</si>
  <si>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</si>
  <si>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</si>
  <si>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</si>
  <si>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</si>
  <si>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</si>
  <si>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</si>
  <si>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</si>
  <si>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</si>
  <si>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</si>
  <si>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</si>
  <si>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</si>
  <si>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</si>
  <si>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</si>
  <si>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</si>
  <si>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</si>
  <si>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Set Nozzles &amp; Lugs - Top</t>
  </si>
  <si>
    <t>.365</t>
  </si>
  <si>
    <t>Weld Nozzles - Top Head</t>
  </si>
  <si>
    <t>.366</t>
  </si>
  <si>
    <t>Fit Bottom Head to Shell</t>
  </si>
  <si>
    <t>.600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</si>
  <si>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</si>
  <si>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</si>
  <si>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</si>
  <si>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</si>
  <si>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</si>
  <si>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</si>
  <si>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</si>
  <si>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</si>
  <si>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</si>
  <si>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</si>
  <si>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</si>
  <si>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</si>
  <si>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</si>
  <si>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</si>
  <si>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</si>
  <si>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</si>
  <si>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</si>
  <si>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</si>
  <si>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</si>
  <si>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</si>
  <si>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</si>
  <si>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</si>
  <si>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</si>
  <si>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</si>
  <si>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</si>
  <si>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</si>
  <si>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</si>
  <si>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</si>
  <si>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</si>
  <si>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</si>
  <si>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</si>
  <si>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</si>
  <si>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</si>
  <si>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QC Inspection - Clean</t>
  </si>
  <si>
    <t>.QC8</t>
  </si>
  <si>
    <t>Fab Miscellaneous Parts</t>
  </si>
  <si>
    <t>.252</t>
  </si>
  <si>
    <t>Cut Parts on Burn Table</t>
  </si>
  <si>
    <t>Clean &amp; Prep Parts</t>
  </si>
  <si>
    <t>.156</t>
  </si>
  <si>
    <t>Misc Fabrication</t>
  </si>
  <si>
    <t>.261</t>
  </si>
  <si>
    <t>Install Internal Parts</t>
  </si>
  <si>
    <t>.630</t>
  </si>
  <si>
    <t>Weld all Outside Seams</t>
  </si>
  <si>
    <t>.645</t>
  </si>
  <si>
    <t>Weld all outside seams</t>
  </si>
  <si>
    <t>124-25</t>
  </si>
  <si>
    <t>BUFFER TANK 1 OF 224</t>
  </si>
  <si>
    <t>130391459</t>
  </si>
  <si>
    <t>9391.4</t>
  </si>
  <si>
    <t>Build nozzles and weld_x000D_
USE COBOT FOR N1 &amp; N2</t>
  </si>
  <si>
    <t>Make lift lugs, ground lugs, etc.</t>
  </si>
  <si>
    <t>Fabricate miscellaneous parts_x000D_
CUT (4) ANCHOR ANGLES &amp; PUNCH BOLT HOLES</t>
  </si>
  <si>
    <t>Miscellaneous Fabrication - Braces, Mounting Plates, Cone Outlet Necks_x000D_
ROLL &amp; WELD BACKING BAR</t>
  </si>
  <si>
    <t>Wrap Top &amp; Bottom Heads</t>
  </si>
  <si>
    <t>.300</t>
  </si>
  <si>
    <t>Wrap top and bottom heads</t>
  </si>
  <si>
    <t>Shells: bring in plate, square, trim and clean</t>
  </si>
  <si>
    <t>Roll shells, tack and weld inside seams_x000D_
INCL WELD LONG SEAM INSIDE &amp; OUTSIDE</t>
  </si>
  <si>
    <t>Set  nozzles, lift lugs, etc. in top head - tack</t>
  </si>
  <si>
    <t>Weld out top head nozzles, etc. _x000D_
INCL (2) LIFT LUGS</t>
  </si>
  <si>
    <t>Set Nozzles - Bottom Head</t>
  </si>
  <si>
    <t>.465</t>
  </si>
  <si>
    <t>Set  nozzles in bottom head - tack</t>
  </si>
  <si>
    <t>Weld Nozzles - Bot. Head</t>
  </si>
  <si>
    <t>.466</t>
  </si>
  <si>
    <t>Weld nozzles in bottom head; weld complete</t>
  </si>
  <si>
    <t>Bld Skirt, Roll &amp; Tack</t>
  </si>
  <si>
    <t>.500</t>
  </si>
  <si>
    <t>Build skirt - fit and weld shells_x000D_
ROLL SKIRT SHELL &amp; WELD LONG SEAM INSIDE &amp; OUTSIDE</t>
  </si>
  <si>
    <t>Bld Skirt, Fit Anchor/Gst</t>
  </si>
  <si>
    <t>.530</t>
  </si>
  <si>
    <t>Build skirt - fit anchors / gussets</t>
  </si>
  <si>
    <t>Weld Skirt Nozzles, Etc.</t>
  </si>
  <si>
    <t>.545</t>
  </si>
  <si>
    <t>Weld skirt anchors, gussets, nozzles, manways, etc.</t>
  </si>
  <si>
    <t>ASME Hold Point</t>
  </si>
  <si>
    <t>.OI1</t>
  </si>
  <si>
    <t>Fit bottom head to shell_x000D_
AND WELD INSIDE</t>
  </si>
  <si>
    <t>Install Baffles-Weld</t>
  </si>
  <si>
    <t>.625</t>
  </si>
  <si>
    <t>Install baffles and weld</t>
  </si>
  <si>
    <t>Install internals - wear plates, rings, clips, etc._x000D_
FIT &amp; WELD BACKING BAR TO SHELL</t>
  </si>
  <si>
    <t>Fit top head to shell - tack</t>
  </si>
  <si>
    <t>Install supports - legs, lugs, anchors, saddles, skirt_x000D_
FIT SKIRT &amp; WELD TO BOTTOM HEAD</t>
  </si>
  <si>
    <t>Set nozzles in shell - tack</t>
  </si>
  <si>
    <t>Weld shell nozzles, manways, etc._x000D_
SET &amp; WELD NOZZLES BEFORE INSTALLING TOP HEADS</t>
  </si>
  <si>
    <t>ASME Inspection Internal</t>
  </si>
  <si>
    <t>.OI2</t>
  </si>
  <si>
    <t>ASME Inspection Test</t>
  </si>
  <si>
    <t>.OI3</t>
  </si>
  <si>
    <t>Clean tank complete_x000D_
CLEAN INSIDE BEFORE INSTALLING TOP HEAD</t>
  </si>
  <si>
    <t>Prepare Tank for Shipment</t>
  </si>
  <si>
    <t>.940</t>
  </si>
  <si>
    <t>Prepare tank for shipment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</si>
</sst>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50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144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BUFFER TANK 1 OF 224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2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weld_x000D_
USE COBOT FOR N1 &amp; N2</v>
      </c>
      <c r="E8" s="13">
        <f>'Sheet2-PASTE HERE!'!F18</f>
        <v>4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.155</v>
      </c>
      <c r="D9" s="22" t="str">
        <f>'Sheet2-PASTE HERE!'!K19</f>
        <v>Burn and clean parts:  lugs, supports, repads, base ring, etc. (CHECK!)</v>
      </c>
      <c r="E9" s="13">
        <f>'Sheet2-PASTE HERE!'!F19</f>
        <v>6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.156</v>
      </c>
      <c r="D10" s="22">
        <f>'Sheet2-PASTE HERE!'!K20</f>
        <v>0</v>
      </c>
      <c r="E10" s="13">
        <f>'Sheet2-PASTE HERE!'!F20</f>
        <v>3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.200</v>
      </c>
      <c r="D11" s="22" t="str">
        <f>'Sheet2-PASTE HERE!'!K21</f>
        <v>Make lift lugs, ground lugs, etc.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.252</v>
      </c>
      <c r="D12" s="22" t="str">
        <f>'Sheet2-PASTE HERE!'!K22</f>
        <v>Fabricate miscellaneous parts_x000D_
CUT (4) ANCHOR ANGLES &amp; PUNCH BOLT HOLES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.261</v>
      </c>
      <c r="D13" s="22" t="str">
        <f>'Sheet2-PASTE HERE!'!K23</f>
        <v>Miscellaneous Fabrication - Braces, Mounting Plates, Cone Outlet Necks_x000D_
ROLL &amp; WELD BACKING BAR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.300</v>
      </c>
      <c r="D14" s="22" t="str">
        <f>'Sheet2-PASTE HERE!'!K24</f>
        <v>Wrap top and bottom heads</v>
      </c>
      <c r="E14" s="13">
        <f>'Sheet2-PASTE HERE!'!F24</f>
        <v>1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INSPECTION</v>
      </c>
      <c r="B15" s="11"/>
      <c r="C15" s="17" t="str">
        <f>'Sheet2-PASTE HERE!'!I25</f>
        <v>.QC3</v>
      </c>
      <c r="D15" s="22" t="str">
        <f>'Sheet2-PASTE HERE!'!K25</f>
        <v>UT Shells</v>
      </c>
      <c r="E15" s="13">
        <f>'Sheet2-PASTE HERE!'!F25</f>
        <v>0</v>
      </c>
      <c r="F15" s="12"/>
      <c r="G15" s="12"/>
      <c r="H15" s="12"/>
      <c r="K15">
        <f t="shared" si="0"/>
        <v>1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.305</v>
      </c>
      <c r="D16" s="22" t="str">
        <f>'Sheet2-PASTE HERE!'!K26</f>
        <v>Shells: bring in plate, square, trim and clean</v>
      </c>
      <c r="E16" s="13">
        <f>'Sheet2-PASTE HERE!'!F26</f>
        <v>1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.315</v>
      </c>
      <c r="D17" s="22" t="str">
        <f>'Sheet2-PASTE HERE!'!K27</f>
        <v>Roll shells, tack and weld inside seams_x000D_
INCL WELD LONG SEAM INSIDE &amp; OUTSIDE</v>
      </c>
      <c r="E17" s="13">
        <f>'Sheet2-PASTE HERE!'!F27</f>
        <v>3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.QC4</v>
      </c>
      <c r="D18" s="22" t="str">
        <f>'Sheet2-PASTE HERE!'!K28</f>
        <v>QC Inspection - Top/Bottom/Cones</v>
      </c>
      <c r="E18" s="13">
        <f>'Sheet2-PASTE HERE!'!F28</f>
        <v>0</v>
      </c>
      <c r="F18" s="12"/>
      <c r="G18" s="12"/>
      <c r="H18" s="12"/>
      <c r="K18">
        <f t="shared" si="2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.365</v>
      </c>
      <c r="D19" s="22" t="str">
        <f>'Sheet2-PASTE HERE!'!K29</f>
        <v>Set  nozzles, lift lugs, etc. in top head - tack</v>
      </c>
      <c r="E19" s="13">
        <f>'Sheet2-PASTE HERE!'!F29</f>
        <v>1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.366</v>
      </c>
      <c r="D20" s="22" t="str">
        <f>'Sheet2-PASTE HERE!'!K30</f>
        <v>Weld out top head nozzles, etc. _x000D_
INCL (2) LIFT LUGS</v>
      </c>
      <c r="E20" s="13">
        <f>'Sheet2-PASTE HERE!'!F30</f>
        <v>3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INSPECTION</v>
      </c>
      <c r="B21" s="11"/>
      <c r="C21" s="17" t="str">
        <f>'Sheet2-PASTE HERE!'!I31</f>
        <v>.QC4</v>
      </c>
      <c r="D21" s="22" t="str">
        <f>'Sheet2-PASTE HERE!'!K31</f>
        <v>QC Inspection - Top/Bottom/Cones</v>
      </c>
      <c r="E21" s="13">
        <f>'Sheet2-PASTE HERE!'!F31</f>
        <v>0</v>
      </c>
      <c r="F21" s="12"/>
      <c r="G21" s="12"/>
      <c r="H21" s="12"/>
      <c r="K21">
        <f t="shared" si="2"/>
        <v>1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.465</v>
      </c>
      <c r="D22" s="22" t="str">
        <f>'Sheet2-PASTE HERE!'!K32</f>
        <v>Set  nozzles in bottom head - tack</v>
      </c>
      <c r="E22" s="13">
        <f>'Sheet2-PASTE HERE!'!F32</f>
        <v>1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.466</v>
      </c>
      <c r="D23" s="22" t="str">
        <f>'Sheet2-PASTE HERE!'!K33</f>
        <v>Weld nozzles in bottom head; weld complete</v>
      </c>
      <c r="E23" s="13">
        <f>'Sheet2-PASTE HERE!'!F33</f>
        <v>1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.500</v>
      </c>
      <c r="D24" s="22" t="str">
        <f>'Sheet2-PASTE HERE!'!K34</f>
        <v>Build skirt - fit and weld shells_x000D_
ROLL SKIRT SHELL &amp; WELD LONG SEAM INSIDE &amp; OUTSIDE</v>
      </c>
      <c r="E24" s="13">
        <f>'Sheet2-PASTE HERE!'!F34</f>
        <v>2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FIT</v>
      </c>
      <c r="B25" s="11"/>
      <c r="C25" s="17" t="str">
        <f>'Sheet2-PASTE HERE!'!I35</f>
        <v>.530</v>
      </c>
      <c r="D25" s="22" t="str">
        <f>'Sheet2-PASTE HERE!'!K35</f>
        <v>Build skirt - fit anchors / gussets</v>
      </c>
      <c r="E25" s="13">
        <f>'Sheet2-PASTE HERE!'!F35</f>
        <v>1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FIT</v>
      </c>
      <c r="B26" s="11"/>
      <c r="C26" s="17" t="str">
        <f>'Sheet2-PASTE HERE!'!I36</f>
        <v>.545</v>
      </c>
      <c r="D26" s="22" t="str">
        <f>'Sheet2-PASTE HERE!'!K36</f>
        <v>Weld skirt anchors, gussets, nozzles, manways, etc.</v>
      </c>
      <c r="E26" s="13">
        <f>'Sheet2-PASTE HERE!'!F36</f>
        <v>1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.OI1</v>
      </c>
      <c r="D27" s="22" t="str">
        <f>'Sheet2-PASTE HERE!'!K37</f>
        <v>ASME Hold Point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1</v>
      </c>
    </row>
    <row r="28" spans="1:12" ht="26.25" customHeight="1" x14ac:dyDescent="0.2">
      <c r="A28" s="10" t="str">
        <f>'Sheet2-PASTE HERE!'!A38</f>
        <v>FIT</v>
      </c>
      <c r="B28" s="11"/>
      <c r="C28" s="17" t="str">
        <f>'Sheet2-PASTE HERE!'!I38</f>
        <v>.600</v>
      </c>
      <c r="D28" s="22" t="str">
        <f>'Sheet2-PASTE HERE!'!K38</f>
        <v>Fit bottom head to shell_x000D_
AND WELD INSIDE</v>
      </c>
      <c r="E28" s="13">
        <f>'Sheet2-PASTE HERE!'!F38</f>
        <v>4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FIT</v>
      </c>
      <c r="B29" s="11"/>
      <c r="C29" s="17" t="str">
        <f>'Sheet2-PASTE HERE!'!I39</f>
        <v>.625</v>
      </c>
      <c r="D29" s="22" t="str">
        <f>'Sheet2-PASTE HERE!'!K39</f>
        <v>Install baffles and weld</v>
      </c>
      <c r="E29" s="13">
        <f>'Sheet2-PASTE HERE!'!F39</f>
        <v>6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FIT</v>
      </c>
      <c r="B30" s="11"/>
      <c r="C30" s="17" t="str">
        <f>'Sheet2-PASTE HERE!'!I40</f>
        <v>.630</v>
      </c>
      <c r="D30" s="22" t="str">
        <f>'Sheet2-PASTE HERE!'!K40</f>
        <v>Install internals - wear plates, rings, clips, etc._x000D_
FIT &amp; WELD BACKING BAR TO SHELL</v>
      </c>
      <c r="E30" s="13">
        <f>'Sheet2-PASTE HERE!'!F40</f>
        <v>3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.QC5</v>
      </c>
      <c r="D31" s="22" t="str">
        <f>'Sheet2-PASTE HERE!'!K41</f>
        <v>QC Inspection - Internal</v>
      </c>
      <c r="E31" s="13">
        <f>'Sheet2-PASTE HERE!'!F41</f>
        <v>0</v>
      </c>
      <c r="F31" s="12"/>
      <c r="G31" s="12"/>
      <c r="H31" s="12"/>
      <c r="K31">
        <f t="shared" si="2"/>
        <v>1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.640</v>
      </c>
      <c r="D32" s="22" t="str">
        <f>'Sheet2-PASTE HERE!'!K42</f>
        <v>Fit top head to shell - tack</v>
      </c>
      <c r="E32" s="13">
        <f>'Sheet2-PASTE HERE!'!F42</f>
        <v>1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.645</v>
      </c>
      <c r="D33" s="22" t="str">
        <f>'Sheet2-PASTE HERE!'!K43</f>
        <v>Weld all outside seams</v>
      </c>
      <c r="E33" s="13">
        <f>'Sheet2-PASTE HERE!'!F43</f>
        <v>2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MOVE TANK</v>
      </c>
      <c r="B34" s="11"/>
      <c r="C34" s="17" t="str">
        <f>'Sheet2-PASTE HERE!'!I44</f>
        <v>.800</v>
      </c>
      <c r="D34" s="22" t="str">
        <f>'Sheet2-PASTE HERE!'!K44</f>
        <v>Move tank to detail rolls</v>
      </c>
      <c r="E34" s="13">
        <f>'Sheet2-PASTE HERE!'!F44</f>
        <v>1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.720</v>
      </c>
      <c r="D35" s="22" t="str">
        <f>'Sheet2-PASTE HERE!'!K45</f>
        <v>Install supports - legs, lugs, anchors, saddles, skirt_x000D_
FIT SKIRT &amp; WELD TO BOTTOM HEAD</v>
      </c>
      <c r="E35" s="13">
        <f>'Sheet2-PASTE HERE!'!F45</f>
        <v>4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.725</v>
      </c>
      <c r="D36" s="22" t="str">
        <f>'Sheet2-PASTE HERE!'!K46</f>
        <v>Set nozzles in shell - tack</v>
      </c>
      <c r="E36" s="13">
        <f>'Sheet2-PASTE HERE!'!F46</f>
        <v>1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.726</v>
      </c>
      <c r="D37" s="22" t="str">
        <f>'Sheet2-PASTE HERE!'!K47</f>
        <v>Weld shell nozzles, manways, etc._x000D_
SET &amp; WELD NOZZLES BEFORE INSTALLING TOP HEADS</v>
      </c>
      <c r="E37" s="13">
        <f>'Sheet2-PASTE HERE!'!F47</f>
        <v>3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FINISHING</v>
      </c>
      <c r="B38" s="11"/>
      <c r="C38" s="17" t="str">
        <f>'Sheet2-PASTE HERE!'!I48</f>
        <v>.765</v>
      </c>
      <c r="D38" s="22" t="str">
        <f>'Sheet2-PASTE HERE!'!K48</f>
        <v>Install name tag</v>
      </c>
      <c r="E38" s="13">
        <f>'Sheet2-PASTE HERE!'!F48</f>
        <v>1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.770</v>
      </c>
      <c r="D39" s="22" t="str">
        <f>'Sheet2-PASTE HERE!'!K49</f>
        <v>Inspect tank, make repairs, get QC inspector</v>
      </c>
      <c r="E39" s="13">
        <f>'Sheet2-PASTE HERE!'!F49</f>
        <v>1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INSPECTION</v>
      </c>
      <c r="B40" s="11"/>
      <c r="C40" s="17" t="str">
        <f>'Sheet2-PASTE HERE!'!I50</f>
        <v>.QC6</v>
      </c>
      <c r="D40" s="22" t="str">
        <f>'Sheet2-PASTE HERE!'!K50</f>
        <v>QC Inspection - Fabrication</v>
      </c>
      <c r="E40" s="13">
        <f>'Sheet2-PASTE HERE!'!F50</f>
        <v>0</v>
      </c>
      <c r="F40" s="12"/>
      <c r="G40" s="12"/>
      <c r="H40" s="12"/>
      <c r="K40">
        <f t="shared" si="2"/>
        <v>1</v>
      </c>
      <c r="L40">
        <f t="shared" si="1"/>
        <v>0</v>
      </c>
    </row>
    <row r="41" spans="1:12" ht="26.25" customHeight="1" x14ac:dyDescent="0.2">
      <c r="A41" s="10" t="str">
        <f>'Sheet2-PASTE HERE!'!A51</f>
        <v>INSPECTION</v>
      </c>
      <c r="B41" s="11"/>
      <c r="C41" s="17" t="str">
        <f>'Sheet2-PASTE HERE!'!I51</f>
        <v>.OI2</v>
      </c>
      <c r="D41" s="22" t="str">
        <f>'Sheet2-PASTE HERE!'!K51</f>
        <v>ASME Inspection Internal</v>
      </c>
      <c r="E41" s="13">
        <f>'Sheet2-PASTE HERE!'!F51</f>
        <v>0</v>
      </c>
      <c r="F41" s="12"/>
      <c r="G41" s="12"/>
      <c r="H41" s="12"/>
      <c r="K41">
        <f t="shared" si="2"/>
        <v>1</v>
      </c>
      <c r="L41">
        <f t="shared" si="1"/>
        <v>1</v>
      </c>
    </row>
    <row r="42" spans="1:12" ht="26.25" customHeight="1" x14ac:dyDescent="0.2">
      <c r="A42" s="10" t="str">
        <f>'Sheet2-PASTE HERE!'!A52</f>
        <v>MOVE TANK</v>
      </c>
      <c r="B42" s="11"/>
      <c r="C42" s="17" t="str">
        <f>'Sheet2-PASTE HERE!'!I52</f>
        <v>.801</v>
      </c>
      <c r="D42" s="22" t="str">
        <f>'Sheet2-PASTE HERE!'!K52</f>
        <v>Move to shop test area</v>
      </c>
      <c r="E42" s="13">
        <f>'Sheet2-PASTE HERE!'!F52</f>
        <v>1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FINISHING</v>
      </c>
      <c r="B43" s="11"/>
      <c r="C43" s="17" t="str">
        <f>'Sheet2-PASTE HERE!'!I53</f>
        <v>.910</v>
      </c>
      <c r="D43" s="22" t="str">
        <f>'Sheet2-PASTE HERE!'!K53</f>
        <v>Test tank</v>
      </c>
      <c r="E43" s="13">
        <f>'Sheet2-PASTE HERE!'!F53</f>
        <v>4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INSPECTION</v>
      </c>
      <c r="B44" s="11"/>
      <c r="C44" s="17" t="str">
        <f>'Sheet2-PASTE HERE!'!I54</f>
        <v>.QC7</v>
      </c>
      <c r="D44" s="22" t="str">
        <f>'Sheet2-PASTE HERE!'!K54</f>
        <v>QC Inspection - Test</v>
      </c>
      <c r="E44" s="13">
        <f>'Sheet2-PASTE HERE!'!F54</f>
        <v>0</v>
      </c>
      <c r="F44" s="12"/>
      <c r="G44" s="12"/>
      <c r="H44" s="12"/>
      <c r="K44">
        <f t="shared" si="2"/>
        <v>1</v>
      </c>
      <c r="L44">
        <f t="shared" si="1"/>
        <v>0</v>
      </c>
    </row>
    <row r="45" spans="1:12" ht="26.25" customHeight="1" x14ac:dyDescent="0.2">
      <c r="A45" s="10" t="str">
        <f>'Sheet2-PASTE HERE!'!A55</f>
        <v>INSPECTION</v>
      </c>
      <c r="B45" s="11"/>
      <c r="C45" s="17" t="str">
        <f>'Sheet2-PASTE HERE!'!I55</f>
        <v>.OI3</v>
      </c>
      <c r="D45" s="22" t="str">
        <f>'Sheet2-PASTE HERE!'!K55</f>
        <v>ASME Inspection Test</v>
      </c>
      <c r="E45" s="13">
        <f>'Sheet2-PASTE HERE!'!F55</f>
        <v>0</v>
      </c>
      <c r="F45" s="12"/>
      <c r="G45" s="12"/>
      <c r="H45" s="12"/>
      <c r="K45">
        <f t="shared" si="2"/>
        <v>1</v>
      </c>
      <c r="L45">
        <f t="shared" si="1"/>
        <v>1</v>
      </c>
    </row>
    <row r="46" spans="1:12" ht="26.25" customHeight="1" x14ac:dyDescent="0.2">
      <c r="A46" s="10" t="str">
        <f>'Sheet2-PASTE HERE!'!A56</f>
        <v>FINISHING</v>
      </c>
      <c r="B46" s="11"/>
      <c r="C46" s="17" t="str">
        <f>'Sheet2-PASTE HERE!'!I56</f>
        <v>.920</v>
      </c>
      <c r="D46" s="22" t="str">
        <f>'Sheet2-PASTE HERE!'!K56</f>
        <v>Clean tank complete_x000D_
CLEAN INSIDE BEFORE INSTALLING TOP HEAD</v>
      </c>
      <c r="E46" s="13">
        <f>'Sheet2-PASTE HERE!'!F56</f>
        <v>5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INSPECTION</v>
      </c>
      <c r="B47" s="11"/>
      <c r="C47" s="17" t="str">
        <f>'Sheet2-PASTE HERE!'!I57</f>
        <v>.QC8</v>
      </c>
      <c r="D47" s="22" t="str">
        <f>'Sheet2-PASTE HERE!'!K57</f>
        <v>QC Inspection - Clean</v>
      </c>
      <c r="E47" s="13">
        <f>'Sheet2-PASTE HERE!'!F57</f>
        <v>0</v>
      </c>
      <c r="F47" s="12"/>
      <c r="G47" s="12"/>
      <c r="H47" s="12"/>
      <c r="K47">
        <f t="shared" si="2"/>
        <v>1</v>
      </c>
      <c r="L47">
        <f t="shared" si="1"/>
        <v>0</v>
      </c>
    </row>
    <row r="48" spans="1:12" ht="26.25" customHeight="1" x14ac:dyDescent="0.2">
      <c r="A48" s="10" t="str">
        <f>'Sheet2-PASTE HERE!'!A58</f>
        <v>FINISHING</v>
      </c>
      <c r="B48" s="11"/>
      <c r="C48" s="17" t="str">
        <f>'Sheet2-PASTE HERE!'!I58</f>
        <v>.940</v>
      </c>
      <c r="D48" s="22" t="str">
        <f>'Sheet2-PASTE HERE!'!K58</f>
        <v>Prepare tank for shipment</v>
      </c>
      <c r="E48" s="13">
        <f>'Sheet2-PASTE HERE!'!F58</f>
        <v>1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INSPECTION</v>
      </c>
      <c r="B49" s="11"/>
      <c r="C49" s="17" t="str">
        <f>'Sheet2-PASTE HERE!'!I59</f>
        <v>.QC95</v>
      </c>
      <c r="D49" s="22" t="str">
        <f>'Sheet2-PASTE HERE!'!K59</f>
        <v>QC Inspection - Final &amp; Loose Items</v>
      </c>
      <c r="E49" s="13">
        <f>'Sheet2-PASTE HERE!'!F59</f>
        <v>0</v>
      </c>
      <c r="F49" s="12"/>
      <c r="G49" s="12"/>
      <c r="H49" s="12"/>
      <c r="K49">
        <f t="shared" si="2"/>
        <v>1</v>
      </c>
      <c r="L49">
        <f t="shared" si="1"/>
        <v>0</v>
      </c>
    </row>
    <row r="50" spans="1:12" ht="26.25" customHeight="1" x14ac:dyDescent="0.2">
      <c r="A50" s="10" t="str">
        <f>'Sheet2-PASTE HERE!'!A60</f>
        <v>SHIPPING</v>
      </c>
      <c r="B50" s="11"/>
      <c r="C50" s="17" t="str">
        <f>'Sheet2-PASTE HERE!'!I60</f>
        <v>.960</v>
      </c>
      <c r="D50" s="22" t="str">
        <f>'Sheet2-PASTE HERE!'!K60</f>
        <v>Load on truck</v>
      </c>
      <c r="E50" s="13">
        <f>'Sheet2-PASTE HERE!'!F60</f>
        <v>1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 t="str">
        <f>'Sheet2-PASTE HERE!'!F62</f>
        <v/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144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BUFFER TANK 1 OF 224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2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weld_x000D_
USE COBOT FOR N1 &amp; N2</v>
      </c>
      <c r="E8" s="13">
        <f>'Sheet2-PASTE HERE!'!F18</f>
        <v>4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.155</v>
      </c>
      <c r="D9" s="22" t="str">
        <f>'Sheet2-PASTE HERE!'!K19</f>
        <v>Burn and clean parts:  lugs, supports, repads, base ring, etc. (CHECK!)</v>
      </c>
      <c r="E9" s="13">
        <f>'Sheet2-PASTE HERE!'!F19</f>
        <v>6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.156</v>
      </c>
      <c r="D10" s="22">
        <f>'Sheet2-PASTE HERE!'!K20</f>
        <v>0</v>
      </c>
      <c r="E10" s="13">
        <f>'Sheet2-PASTE HERE!'!F20</f>
        <v>3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.200</v>
      </c>
      <c r="D11" s="22" t="str">
        <f>'Sheet2-PASTE HERE!'!K21</f>
        <v>Make lift lugs, ground lugs, etc.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.252</v>
      </c>
      <c r="D12" s="22" t="str">
        <f>'Sheet2-PASTE HERE!'!K22</f>
        <v>Fabricate miscellaneous parts_x000D_
CUT (4) ANCHOR ANGLES &amp; PUNCH BOLT HOLES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.261</v>
      </c>
      <c r="D13" s="22" t="str">
        <f>'Sheet2-PASTE HERE!'!K23</f>
        <v>Miscellaneous Fabrication - Braces, Mounting Plates, Cone Outlet Necks_x000D_
ROLL &amp; WELD BACKING BAR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.300</v>
      </c>
      <c r="D14" s="22" t="str">
        <f>'Sheet2-PASTE HERE!'!K24</f>
        <v>Wrap top and bottom heads</v>
      </c>
      <c r="E14" s="13">
        <f>'Sheet2-PASTE HERE!'!F24</f>
        <v>1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INSPECTION</v>
      </c>
      <c r="B15" s="11"/>
      <c r="C15" s="17" t="str">
        <f>'Sheet2-PASTE HERE!'!I25</f>
        <v>.QC3</v>
      </c>
      <c r="D15" s="22" t="str">
        <f>'Sheet2-PASTE HERE!'!K25</f>
        <v>UT Shells</v>
      </c>
      <c r="E15" s="13">
        <f>'Sheet2-PASTE HERE!'!F25</f>
        <v>0</v>
      </c>
      <c r="F15" s="12"/>
      <c r="G15" s="12"/>
      <c r="H15" s="12"/>
      <c r="K15">
        <f t="shared" si="0"/>
        <v>1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.305</v>
      </c>
      <c r="D16" s="22" t="str">
        <f>'Sheet2-PASTE HERE!'!K26</f>
        <v>Shells: bring in plate, square, trim and clean</v>
      </c>
      <c r="E16" s="13">
        <f>'Sheet2-PASTE HERE!'!F26</f>
        <v>1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.315</v>
      </c>
      <c r="D17" s="22" t="str">
        <f>'Sheet2-PASTE HERE!'!K27</f>
        <v>Roll shells, tack and weld inside seams_x000D_
INCL WELD LONG SEAM INSIDE &amp; OUTSIDE</v>
      </c>
      <c r="E17" s="13">
        <f>'Sheet2-PASTE HERE!'!F27</f>
        <v>3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.QC4</v>
      </c>
      <c r="D18" s="22" t="str">
        <f>'Sheet2-PASTE HERE!'!K28</f>
        <v>QC Inspection - Top/Bottom/Cones</v>
      </c>
      <c r="E18" s="13">
        <f>'Sheet2-PASTE HERE!'!F28</f>
        <v>0</v>
      </c>
      <c r="F18" s="12"/>
      <c r="G18" s="12"/>
      <c r="H18" s="12"/>
      <c r="K18">
        <f t="shared" si="0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.365</v>
      </c>
      <c r="D19" s="22" t="str">
        <f>'Sheet2-PASTE HERE!'!K29</f>
        <v>Set  nozzles, lift lugs, etc. in top head - tack</v>
      </c>
      <c r="E19" s="13">
        <f>'Sheet2-PASTE HERE!'!F29</f>
        <v>1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.366</v>
      </c>
      <c r="D20" s="22" t="str">
        <f>'Sheet2-PASTE HERE!'!K30</f>
        <v>Weld out top head nozzles, etc. _x000D_
INCL (2) LIFT LUGS</v>
      </c>
      <c r="E20" s="13">
        <f>'Sheet2-PASTE HERE!'!F30</f>
        <v>3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INSPECTION</v>
      </c>
      <c r="B21" s="11"/>
      <c r="C21" s="17" t="str">
        <f>'Sheet2-PASTE HERE!'!I31</f>
        <v>.QC4</v>
      </c>
      <c r="D21" s="22" t="str">
        <f>'Sheet2-PASTE HERE!'!K31</f>
        <v>QC Inspection - Top/Bottom/Cones</v>
      </c>
      <c r="E21" s="13">
        <f>'Sheet2-PASTE HERE!'!F31</f>
        <v>0</v>
      </c>
      <c r="F21" s="12"/>
      <c r="G21" s="12"/>
      <c r="H21" s="12"/>
      <c r="K21">
        <f t="shared" si="0"/>
        <v>1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.465</v>
      </c>
      <c r="D22" s="22" t="str">
        <f>'Sheet2-PASTE HERE!'!K32</f>
        <v>Set  nozzles in bottom head - tack</v>
      </c>
      <c r="E22" s="13">
        <f>'Sheet2-PASTE HERE!'!F32</f>
        <v>1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.466</v>
      </c>
      <c r="D23" s="22" t="str">
        <f>'Sheet2-PASTE HERE!'!K33</f>
        <v>Weld nozzles in bottom head; weld complete</v>
      </c>
      <c r="E23" s="13">
        <f>'Sheet2-PASTE HERE!'!F33</f>
        <v>1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.500</v>
      </c>
      <c r="D24" s="22" t="str">
        <f>'Sheet2-PASTE HERE!'!K34</f>
        <v>Build skirt - fit and weld shells_x000D_
ROLL SKIRT SHELL &amp; WELD LONG SEAM INSIDE &amp; OUTSIDE</v>
      </c>
      <c r="E24" s="13">
        <f>'Sheet2-PASTE HERE!'!F34</f>
        <v>2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FIT</v>
      </c>
      <c r="B25" s="11"/>
      <c r="C25" s="17" t="str">
        <f>'Sheet2-PASTE HERE!'!I35</f>
        <v>.530</v>
      </c>
      <c r="D25" s="22" t="str">
        <f>'Sheet2-PASTE HERE!'!K35</f>
        <v>Build skirt - fit anchors / gussets</v>
      </c>
      <c r="E25" s="13">
        <f>'Sheet2-PASTE HERE!'!F35</f>
        <v>1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FIT</v>
      </c>
      <c r="B26" s="11"/>
      <c r="C26" s="17" t="str">
        <f>'Sheet2-PASTE HERE!'!I36</f>
        <v>.545</v>
      </c>
      <c r="D26" s="22" t="str">
        <f>'Sheet2-PASTE HERE!'!K36</f>
        <v>Weld skirt anchors, gussets, nozzles, manways, etc.</v>
      </c>
      <c r="E26" s="13">
        <f>'Sheet2-PASTE HERE!'!F36</f>
        <v>1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.OI1</v>
      </c>
      <c r="D27" s="22" t="str">
        <f>'Sheet2-PASTE HERE!'!K37</f>
        <v>ASME Hold Point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1</v>
      </c>
    </row>
    <row r="28" spans="1:12" ht="26.25" customHeight="1" x14ac:dyDescent="0.2">
      <c r="A28" s="10" t="str">
        <f>'Sheet2-PASTE HERE!'!A38</f>
        <v>FIT</v>
      </c>
      <c r="B28" s="11"/>
      <c r="C28" s="17" t="str">
        <f>'Sheet2-PASTE HERE!'!I38</f>
        <v>.600</v>
      </c>
      <c r="D28" s="22" t="str">
        <f>'Sheet2-PASTE HERE!'!K38</f>
        <v>Fit bottom head to shell_x000D_
AND WELD INSIDE</v>
      </c>
      <c r="E28" s="13">
        <f>'Sheet2-PASTE HERE!'!F38</f>
        <v>4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FIT</v>
      </c>
      <c r="B29" s="11"/>
      <c r="C29" s="17" t="str">
        <f>'Sheet2-PASTE HERE!'!I39</f>
        <v>.625</v>
      </c>
      <c r="D29" s="22" t="str">
        <f>'Sheet2-PASTE HERE!'!K39</f>
        <v>Install baffles and weld</v>
      </c>
      <c r="E29" s="13">
        <f>'Sheet2-PASTE HERE!'!F39</f>
        <v>6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FIT</v>
      </c>
      <c r="B30" s="11"/>
      <c r="C30" s="17" t="str">
        <f>'Sheet2-PASTE HERE!'!I40</f>
        <v>.630</v>
      </c>
      <c r="D30" s="22" t="str">
        <f>'Sheet2-PASTE HERE!'!K40</f>
        <v>Install internals - wear plates, rings, clips, etc._x000D_
FIT &amp; WELD BACKING BAR TO SHELL</v>
      </c>
      <c r="E30" s="13">
        <f>'Sheet2-PASTE HERE!'!F40</f>
        <v>3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.QC5</v>
      </c>
      <c r="D31" s="22" t="str">
        <f>'Sheet2-PASTE HERE!'!K41</f>
        <v>QC Inspection - Internal</v>
      </c>
      <c r="E31" s="13">
        <f>'Sheet2-PASTE HERE!'!F41</f>
        <v>0</v>
      </c>
      <c r="F31" s="12"/>
      <c r="G31" s="12"/>
      <c r="H31" s="12"/>
      <c r="K31">
        <f t="shared" si="0"/>
        <v>1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.640</v>
      </c>
      <c r="D32" s="22" t="str">
        <f>'Sheet2-PASTE HERE!'!K42</f>
        <v>Fit top head to shell - tack</v>
      </c>
      <c r="E32" s="13">
        <f>'Sheet2-PASTE HERE!'!F42</f>
        <v>1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.645</v>
      </c>
      <c r="D33" s="22" t="str">
        <f>'Sheet2-PASTE HERE!'!K43</f>
        <v>Weld all outside seams</v>
      </c>
      <c r="E33" s="13">
        <f>'Sheet2-PASTE HERE!'!F43</f>
        <v>2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MOVE TANK</v>
      </c>
      <c r="B34" s="11"/>
      <c r="C34" s="17" t="str">
        <f>'Sheet2-PASTE HERE!'!I44</f>
        <v>.800</v>
      </c>
      <c r="D34" s="22" t="str">
        <f>'Sheet2-PASTE HERE!'!K44</f>
        <v>Move tank to detail rolls</v>
      </c>
      <c r="E34" s="13">
        <f>'Sheet2-PASTE HERE!'!F44</f>
        <v>1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.720</v>
      </c>
      <c r="D35" s="22" t="str">
        <f>'Sheet2-PASTE HERE!'!K45</f>
        <v>Install supports - legs, lugs, anchors, saddles, skirt_x000D_
FIT SKIRT &amp; WELD TO BOTTOM HEAD</v>
      </c>
      <c r="E35" s="13">
        <f>'Sheet2-PASTE HERE!'!F45</f>
        <v>4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.725</v>
      </c>
      <c r="D36" s="22" t="str">
        <f>'Sheet2-PASTE HERE!'!K46</f>
        <v>Set nozzles in shell - tack</v>
      </c>
      <c r="E36" s="13">
        <f>'Sheet2-PASTE HERE!'!F46</f>
        <v>1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.726</v>
      </c>
      <c r="D37" s="22" t="str">
        <f>'Sheet2-PASTE HERE!'!K47</f>
        <v>Weld shell nozzles, manways, etc._x000D_
SET &amp; WELD NOZZLES BEFORE INSTALLING TOP HEADS</v>
      </c>
      <c r="E37" s="13">
        <f>'Sheet2-PASTE HERE!'!F47</f>
        <v>3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FINISHING</v>
      </c>
      <c r="B38" s="11"/>
      <c r="C38" s="17" t="str">
        <f>'Sheet2-PASTE HERE!'!I48</f>
        <v>.765</v>
      </c>
      <c r="D38" s="22" t="str">
        <f>'Sheet2-PASTE HERE!'!K48</f>
        <v>Install name tag</v>
      </c>
      <c r="E38" s="13">
        <f>'Sheet2-PASTE HERE!'!F48</f>
        <v>1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.770</v>
      </c>
      <c r="D39" s="22" t="str">
        <f>'Sheet2-PASTE HERE!'!K49</f>
        <v>Inspect tank, make repairs, get QC inspector</v>
      </c>
      <c r="E39" s="13">
        <f>'Sheet2-PASTE HERE!'!F49</f>
        <v>1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INSPECTION</v>
      </c>
      <c r="B40" s="11"/>
      <c r="C40" s="17" t="str">
        <f>'Sheet2-PASTE HERE!'!I50</f>
        <v>.QC6</v>
      </c>
      <c r="D40" s="22" t="str">
        <f>'Sheet2-PASTE HERE!'!K50</f>
        <v>QC Inspection - Fabrication</v>
      </c>
      <c r="E40" s="13">
        <f>'Sheet2-PASTE HERE!'!F50</f>
        <v>0</v>
      </c>
      <c r="F40" s="12"/>
      <c r="G40" s="12"/>
      <c r="H40" s="12"/>
      <c r="K40">
        <f t="shared" si="0"/>
        <v>1</v>
      </c>
      <c r="L40">
        <f t="shared" si="1"/>
        <v>0</v>
      </c>
    </row>
    <row r="41" spans="1:12" ht="26.25" customHeight="1" x14ac:dyDescent="0.2">
      <c r="A41" s="10" t="str">
        <f>'Sheet2-PASTE HERE!'!A51</f>
        <v>INSPECTION</v>
      </c>
      <c r="B41" s="11"/>
      <c r="C41" s="17" t="str">
        <f>'Sheet2-PASTE HERE!'!I51</f>
        <v>.OI2</v>
      </c>
      <c r="D41" s="22" t="str">
        <f>'Sheet2-PASTE HERE!'!K51</f>
        <v>ASME Inspection Internal</v>
      </c>
      <c r="E41" s="13">
        <f>'Sheet2-PASTE HERE!'!F51</f>
        <v>0</v>
      </c>
      <c r="F41" s="12"/>
      <c r="G41" s="12"/>
      <c r="H41" s="12"/>
      <c r="K41">
        <f t="shared" si="0"/>
        <v>1</v>
      </c>
      <c r="L41">
        <f t="shared" si="1"/>
        <v>1</v>
      </c>
    </row>
    <row r="42" spans="1:12" ht="26.25" customHeight="1" x14ac:dyDescent="0.2">
      <c r="A42" s="10" t="str">
        <f>'Sheet2-PASTE HERE!'!A52</f>
        <v>MOVE TANK</v>
      </c>
      <c r="B42" s="11"/>
      <c r="C42" s="17" t="str">
        <f>'Sheet2-PASTE HERE!'!I52</f>
        <v>.801</v>
      </c>
      <c r="D42" s="22" t="str">
        <f>'Sheet2-PASTE HERE!'!K52</f>
        <v>Move to shop test area</v>
      </c>
      <c r="E42" s="13">
        <f>'Sheet2-PASTE HERE!'!F52</f>
        <v>1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FINISHING</v>
      </c>
      <c r="B43" s="11"/>
      <c r="C43" s="17" t="str">
        <f>'Sheet2-PASTE HERE!'!I53</f>
        <v>.910</v>
      </c>
      <c r="D43" s="22" t="str">
        <f>'Sheet2-PASTE HERE!'!K53</f>
        <v>Test tank</v>
      </c>
      <c r="E43" s="13">
        <f>'Sheet2-PASTE HERE!'!F53</f>
        <v>4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INSPECTION</v>
      </c>
      <c r="B44" s="11"/>
      <c r="C44" s="17" t="str">
        <f>'Sheet2-PASTE HERE!'!I54</f>
        <v>.QC7</v>
      </c>
      <c r="D44" s="22" t="str">
        <f>'Sheet2-PASTE HERE!'!K54</f>
        <v>QC Inspection - Test</v>
      </c>
      <c r="E44" s="13">
        <f>'Sheet2-PASTE HERE!'!F54</f>
        <v>0</v>
      </c>
      <c r="F44" s="12"/>
      <c r="G44" s="12"/>
      <c r="H44" s="12"/>
      <c r="K44">
        <f t="shared" si="0"/>
        <v>1</v>
      </c>
      <c r="L44">
        <f t="shared" si="1"/>
        <v>0</v>
      </c>
    </row>
    <row r="45" spans="1:12" ht="26.25" customHeight="1" x14ac:dyDescent="0.2">
      <c r="A45" s="10" t="str">
        <f>'Sheet2-PASTE HERE!'!A55</f>
        <v>INSPECTION</v>
      </c>
      <c r="B45" s="11"/>
      <c r="C45" s="17" t="str">
        <f>'Sheet2-PASTE HERE!'!I55</f>
        <v>.OI3</v>
      </c>
      <c r="D45" s="22" t="str">
        <f>'Sheet2-PASTE HERE!'!K55</f>
        <v>ASME Inspection Test</v>
      </c>
      <c r="E45" s="13">
        <f>'Sheet2-PASTE HERE!'!F55</f>
        <v>0</v>
      </c>
      <c r="F45" s="12"/>
      <c r="G45" s="12"/>
      <c r="H45" s="12"/>
      <c r="K45">
        <f t="shared" si="0"/>
        <v>1</v>
      </c>
      <c r="L45">
        <f t="shared" si="1"/>
        <v>1</v>
      </c>
    </row>
    <row r="46" spans="1:12" ht="26.25" customHeight="1" x14ac:dyDescent="0.2">
      <c r="A46" s="10" t="str">
        <f>'Sheet2-PASTE HERE!'!A56</f>
        <v>FINISHING</v>
      </c>
      <c r="B46" s="11"/>
      <c r="C46" s="17" t="str">
        <f>'Sheet2-PASTE HERE!'!I56</f>
        <v>.920</v>
      </c>
      <c r="D46" s="22" t="str">
        <f>'Sheet2-PASTE HERE!'!K56</f>
        <v>Clean tank complete_x000D_
CLEAN INSIDE BEFORE INSTALLING TOP HEAD</v>
      </c>
      <c r="E46" s="13">
        <f>'Sheet2-PASTE HERE!'!F56</f>
        <v>5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INSPECTION</v>
      </c>
      <c r="B47" s="11"/>
      <c r="C47" s="17" t="str">
        <f>'Sheet2-PASTE HERE!'!I57</f>
        <v>.QC8</v>
      </c>
      <c r="D47" s="22" t="str">
        <f>'Sheet2-PASTE HERE!'!K57</f>
        <v>QC Inspection - Clean</v>
      </c>
      <c r="E47" s="13">
        <f>'Sheet2-PASTE HERE!'!F57</f>
        <v>0</v>
      </c>
      <c r="F47" s="12"/>
      <c r="G47" s="12"/>
      <c r="H47" s="12"/>
      <c r="K47">
        <f t="shared" si="0"/>
        <v>1</v>
      </c>
      <c r="L47">
        <f t="shared" si="1"/>
        <v>0</v>
      </c>
    </row>
    <row r="48" spans="1:12" ht="26.25" customHeight="1" x14ac:dyDescent="0.2">
      <c r="A48" s="10" t="str">
        <f>'Sheet2-PASTE HERE!'!A58</f>
        <v>FINISHING</v>
      </c>
      <c r="B48" s="11"/>
      <c r="C48" s="17" t="str">
        <f>'Sheet2-PASTE HERE!'!I58</f>
        <v>.940</v>
      </c>
      <c r="D48" s="22" t="str">
        <f>'Sheet2-PASTE HERE!'!K58</f>
        <v>Prepare tank for shipment</v>
      </c>
      <c r="E48" s="13">
        <f>'Sheet2-PASTE HERE!'!F58</f>
        <v>1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INSPECTION</v>
      </c>
      <c r="B49" s="11"/>
      <c r="C49" s="17" t="str">
        <f>'Sheet2-PASTE HERE!'!I59</f>
        <v>.QC95</v>
      </c>
      <c r="D49" s="22" t="str">
        <f>'Sheet2-PASTE HERE!'!K59</f>
        <v>QC Inspection - Final &amp; Loose Items</v>
      </c>
      <c r="E49" s="13">
        <f>'Sheet2-PASTE HERE!'!F59</f>
        <v>0</v>
      </c>
      <c r="F49" s="12"/>
      <c r="G49" s="12"/>
      <c r="H49" s="12"/>
      <c r="K49">
        <f t="shared" si="0"/>
        <v>1</v>
      </c>
      <c r="L49">
        <f t="shared" si="1"/>
        <v>0</v>
      </c>
    </row>
    <row r="50" spans="1:12" ht="26.25" customHeight="1" x14ac:dyDescent="0.2">
      <c r="A50" s="10" t="str">
        <f>'Sheet2-PASTE HERE!'!A60</f>
        <v>SHIPPING</v>
      </c>
      <c r="B50" s="11"/>
      <c r="C50" s="17" t="str">
        <f>'Sheet2-PASTE HERE!'!I60</f>
        <v>.960</v>
      </c>
      <c r="D50" s="22" t="str">
        <f>'Sheet2-PASTE HERE!'!K60</f>
        <v>Load on truck</v>
      </c>
      <c r="E50" s="13">
        <f>'Sheet2-PASTE HERE!'!F60</f>
        <v>1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 t="str">
        <f>'Sheet2-PASTE HERE!'!F62</f>
        <v/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145</v>
      </c>
      <c r="C1" s="8" t="s">
        <v>17</v>
      </c>
      <c r="D1" s="8" t="s">
        <v>146</v>
      </c>
      <c r="E1" s="8" t="s">
        <v>18</v>
      </c>
      <c r="F1" s="8" t="s">
        <v>147</v>
      </c>
      <c r="G1" s="8" t="s">
        <v>19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46006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74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55508</v>
      </c>
      <c r="C15" s="19">
        <v>0</v>
      </c>
      <c r="D15" s="8" t="s">
        <v>71</v>
      </c>
      <c r="E15" s="20">
        <v>0</v>
      </c>
      <c r="F15" s="20">
        <v>0</v>
      </c>
      <c r="G15" s="8" t="s">
        <v>54</v>
      </c>
      <c r="H15" s="20">
        <v>0</v>
      </c>
      <c r="I15" s="8" t="s">
        <v>72</v>
      </c>
      <c r="J15" s="19">
        <v>0</v>
      </c>
      <c r="K15" s="8" t="s">
        <v>71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55509</v>
      </c>
      <c r="C16" s="19">
        <v>0</v>
      </c>
      <c r="D16" s="8" t="s">
        <v>73</v>
      </c>
      <c r="E16" s="20">
        <v>0</v>
      </c>
      <c r="F16" s="20">
        <v>0</v>
      </c>
      <c r="G16" s="8" t="s">
        <v>54</v>
      </c>
      <c r="H16" s="20">
        <v>0</v>
      </c>
      <c r="I16" s="8" t="s">
        <v>74</v>
      </c>
      <c r="J16" s="19">
        <v>0</v>
      </c>
      <c r="K16" s="8" t="s">
        <v>75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55510</v>
      </c>
      <c r="C17" s="19">
        <v>0</v>
      </c>
      <c r="D17" s="8" t="s">
        <v>57</v>
      </c>
      <c r="E17" s="20">
        <v>0</v>
      </c>
      <c r="F17" s="20">
        <v>2</v>
      </c>
      <c r="G17" s="8" t="s">
        <v>54</v>
      </c>
      <c r="H17" s="20">
        <v>2</v>
      </c>
      <c r="I17" s="8" t="s">
        <v>58</v>
      </c>
      <c r="J17" s="19">
        <v>0</v>
      </c>
      <c r="K17" s="8" t="s">
        <v>76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55511</v>
      </c>
      <c r="C18" s="19">
        <v>0</v>
      </c>
      <c r="D18" s="8" t="s">
        <v>77</v>
      </c>
      <c r="E18" s="20">
        <v>0</v>
      </c>
      <c r="F18" s="20">
        <v>4</v>
      </c>
      <c r="G18" s="8" t="s">
        <v>54</v>
      </c>
      <c r="H18" s="20">
        <v>4</v>
      </c>
      <c r="I18" s="8" t="s">
        <v>78</v>
      </c>
      <c r="J18" s="19">
        <v>0</v>
      </c>
      <c r="K18" s="8" t="s">
        <v>148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55512</v>
      </c>
      <c r="C19" s="19">
        <v>0</v>
      </c>
      <c r="D19" s="8" t="s">
        <v>134</v>
      </c>
      <c r="E19" s="20">
        <v>0</v>
      </c>
      <c r="F19" s="20">
        <v>6</v>
      </c>
      <c r="G19" s="8" t="s">
        <v>54</v>
      </c>
      <c r="H19" s="20">
        <v>6</v>
      </c>
      <c r="I19" s="8" t="s">
        <v>59</v>
      </c>
      <c r="J19" s="19">
        <v>0</v>
      </c>
      <c r="K19" s="8" t="s">
        <v>79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55513</v>
      </c>
      <c r="C20" s="19">
        <v>0</v>
      </c>
      <c r="D20" s="8" t="s">
        <v>135</v>
      </c>
      <c r="E20" s="20">
        <v>0</v>
      </c>
      <c r="F20" s="20">
        <v>3</v>
      </c>
      <c r="G20" s="8" t="s">
        <v>54</v>
      </c>
      <c r="H20" s="20">
        <v>3</v>
      </c>
      <c r="I20" s="8" t="s">
        <v>136</v>
      </c>
      <c r="J20" s="19">
        <v>0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55514</v>
      </c>
      <c r="C21" s="19">
        <v>0</v>
      </c>
      <c r="D21" s="8" t="s">
        <v>80</v>
      </c>
      <c r="E21" s="20">
        <v>0</v>
      </c>
      <c r="F21" s="20">
        <v>1</v>
      </c>
      <c r="G21" s="8" t="s">
        <v>54</v>
      </c>
      <c r="H21" s="20">
        <v>1</v>
      </c>
      <c r="I21" s="8" t="s">
        <v>81</v>
      </c>
      <c r="J21" s="19">
        <v>0</v>
      </c>
      <c r="K21" s="8" t="s">
        <v>149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55515</v>
      </c>
      <c r="C22" s="19">
        <v>0</v>
      </c>
      <c r="D22" s="8" t="s">
        <v>132</v>
      </c>
      <c r="E22" s="20">
        <v>0</v>
      </c>
      <c r="F22" s="20">
        <v>2</v>
      </c>
      <c r="G22" s="8" t="s">
        <v>54</v>
      </c>
      <c r="H22" s="20">
        <v>2</v>
      </c>
      <c r="I22" s="8" t="s">
        <v>133</v>
      </c>
      <c r="J22" s="19">
        <v>0</v>
      </c>
      <c r="K22" s="8" t="s">
        <v>150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55516</v>
      </c>
      <c r="C23" s="19">
        <v>0</v>
      </c>
      <c r="D23" s="8" t="s">
        <v>137</v>
      </c>
      <c r="E23" s="20">
        <v>0</v>
      </c>
      <c r="F23" s="20">
        <v>2</v>
      </c>
      <c r="G23" s="8" t="s">
        <v>54</v>
      </c>
      <c r="H23" s="20">
        <v>2</v>
      </c>
      <c r="I23" s="8" t="s">
        <v>138</v>
      </c>
      <c r="J23" s="19">
        <v>0</v>
      </c>
      <c r="K23" s="8" t="s">
        <v>151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55517</v>
      </c>
      <c r="C24" s="19">
        <v>0</v>
      </c>
      <c r="D24" s="8" t="s">
        <v>152</v>
      </c>
      <c r="E24" s="20">
        <v>0</v>
      </c>
      <c r="F24" s="20">
        <v>1</v>
      </c>
      <c r="G24" s="8" t="s">
        <v>54</v>
      </c>
      <c r="H24" s="20">
        <v>1</v>
      </c>
      <c r="I24" s="8" t="s">
        <v>153</v>
      </c>
      <c r="J24" s="19">
        <v>0</v>
      </c>
      <c r="K24" s="8" t="s">
        <v>154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53</v>
      </c>
      <c r="B25" s="18">
        <v>55518</v>
      </c>
      <c r="C25" s="19">
        <v>0</v>
      </c>
      <c r="D25" s="8" t="s">
        <v>82</v>
      </c>
      <c r="E25" s="20">
        <v>0</v>
      </c>
      <c r="F25" s="20">
        <v>0</v>
      </c>
      <c r="G25" s="8" t="s">
        <v>54</v>
      </c>
      <c r="H25" s="20">
        <v>0</v>
      </c>
      <c r="I25" s="8" t="s">
        <v>83</v>
      </c>
      <c r="J25" s="19">
        <v>0</v>
      </c>
      <c r="K25" s="8" t="s">
        <v>82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55519</v>
      </c>
      <c r="C26" s="19">
        <v>0</v>
      </c>
      <c r="D26" s="8" t="s">
        <v>84</v>
      </c>
      <c r="E26" s="20">
        <v>0</v>
      </c>
      <c r="F26" s="20">
        <v>1</v>
      </c>
      <c r="G26" s="8" t="s">
        <v>54</v>
      </c>
      <c r="H26" s="20">
        <v>1</v>
      </c>
      <c r="I26" s="8" t="s">
        <v>85</v>
      </c>
      <c r="J26" s="19">
        <v>0</v>
      </c>
      <c r="K26" s="8" t="s">
        <v>155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55520</v>
      </c>
      <c r="C27" s="19">
        <v>0</v>
      </c>
      <c r="D27" s="8" t="s">
        <v>86</v>
      </c>
      <c r="E27" s="20">
        <v>0</v>
      </c>
      <c r="F27" s="20">
        <v>3</v>
      </c>
      <c r="G27" s="8" t="s">
        <v>54</v>
      </c>
      <c r="H27" s="20">
        <v>3</v>
      </c>
      <c r="I27" s="8" t="s">
        <v>87</v>
      </c>
      <c r="J27" s="19">
        <v>0</v>
      </c>
      <c r="K27" s="8" t="s">
        <v>156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53</v>
      </c>
      <c r="B28" s="18">
        <v>55521</v>
      </c>
      <c r="C28" s="19">
        <v>0</v>
      </c>
      <c r="D28" s="8" t="s">
        <v>88</v>
      </c>
      <c r="E28" s="20">
        <v>0</v>
      </c>
      <c r="F28" s="20">
        <v>0</v>
      </c>
      <c r="G28" s="8" t="s">
        <v>54</v>
      </c>
      <c r="H28" s="20">
        <v>0</v>
      </c>
      <c r="I28" s="8" t="s">
        <v>89</v>
      </c>
      <c r="J28" s="19">
        <v>0</v>
      </c>
      <c r="K28" s="8" t="s">
        <v>90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55522</v>
      </c>
      <c r="C29" s="19">
        <v>0</v>
      </c>
      <c r="D29" s="8" t="s">
        <v>91</v>
      </c>
      <c r="E29" s="20">
        <v>0</v>
      </c>
      <c r="F29" s="20">
        <v>1</v>
      </c>
      <c r="G29" s="8" t="s">
        <v>54</v>
      </c>
      <c r="H29" s="20">
        <v>1</v>
      </c>
      <c r="I29" s="8" t="s">
        <v>92</v>
      </c>
      <c r="J29" s="19">
        <v>0</v>
      </c>
      <c r="K29" s="8" t="s">
        <v>157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55523</v>
      </c>
      <c r="C30" s="19">
        <v>0</v>
      </c>
      <c r="D30" s="8" t="s">
        <v>93</v>
      </c>
      <c r="E30" s="20">
        <v>0</v>
      </c>
      <c r="F30" s="20">
        <v>3</v>
      </c>
      <c r="G30" s="8" t="s">
        <v>54</v>
      </c>
      <c r="H30" s="20">
        <v>3</v>
      </c>
      <c r="I30" s="8" t="s">
        <v>94</v>
      </c>
      <c r="J30" s="19">
        <v>0</v>
      </c>
      <c r="K30" s="8" t="s">
        <v>158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53</v>
      </c>
      <c r="B31" s="18">
        <v>55524</v>
      </c>
      <c r="C31" s="19">
        <v>0</v>
      </c>
      <c r="D31" s="8" t="s">
        <v>88</v>
      </c>
      <c r="E31" s="20">
        <v>0</v>
      </c>
      <c r="F31" s="20">
        <v>0</v>
      </c>
      <c r="G31" s="8" t="s">
        <v>54</v>
      </c>
      <c r="H31" s="20">
        <v>0</v>
      </c>
      <c r="I31" s="8" t="s">
        <v>89</v>
      </c>
      <c r="J31" s="19">
        <v>0</v>
      </c>
      <c r="K31" s="8" t="s">
        <v>90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55525</v>
      </c>
      <c r="C32" s="19">
        <v>0</v>
      </c>
      <c r="D32" s="8" t="s">
        <v>159</v>
      </c>
      <c r="E32" s="20">
        <v>0</v>
      </c>
      <c r="F32" s="20">
        <v>1</v>
      </c>
      <c r="G32" s="8" t="s">
        <v>54</v>
      </c>
      <c r="H32" s="20">
        <v>1</v>
      </c>
      <c r="I32" s="8" t="s">
        <v>160</v>
      </c>
      <c r="J32" s="19">
        <v>0</v>
      </c>
      <c r="K32" s="8" t="s">
        <v>161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55526</v>
      </c>
      <c r="C33" s="19">
        <v>0</v>
      </c>
      <c r="D33" s="8" t="s">
        <v>162</v>
      </c>
      <c r="E33" s="20">
        <v>0</v>
      </c>
      <c r="F33" s="20">
        <v>1</v>
      </c>
      <c r="G33" s="8" t="s">
        <v>54</v>
      </c>
      <c r="H33" s="20">
        <v>1</v>
      </c>
      <c r="I33" s="8" t="s">
        <v>163</v>
      </c>
      <c r="J33" s="19">
        <v>0</v>
      </c>
      <c r="K33" s="8" t="s">
        <v>164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55527</v>
      </c>
      <c r="C34" s="19">
        <v>0</v>
      </c>
      <c r="D34" s="8" t="s">
        <v>165</v>
      </c>
      <c r="E34" s="20">
        <v>0</v>
      </c>
      <c r="F34" s="20">
        <v>2</v>
      </c>
      <c r="G34" s="8" t="s">
        <v>54</v>
      </c>
      <c r="H34" s="20">
        <v>2</v>
      </c>
      <c r="I34" s="8" t="s">
        <v>166</v>
      </c>
      <c r="J34" s="19">
        <v>0</v>
      </c>
      <c r="K34" s="8" t="s">
        <v>167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70</v>
      </c>
      <c r="B35" s="18">
        <v>55528</v>
      </c>
      <c r="C35" s="19">
        <v>0</v>
      </c>
      <c r="D35" s="8" t="s">
        <v>168</v>
      </c>
      <c r="E35" s="20">
        <v>0</v>
      </c>
      <c r="F35" s="20">
        <v>1</v>
      </c>
      <c r="G35" s="8" t="s">
        <v>54</v>
      </c>
      <c r="H35" s="20">
        <v>1</v>
      </c>
      <c r="I35" s="8" t="s">
        <v>169</v>
      </c>
      <c r="J35" s="19">
        <v>0</v>
      </c>
      <c r="K35" s="8" t="s">
        <v>170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70</v>
      </c>
      <c r="B36" s="18">
        <v>55529</v>
      </c>
      <c r="C36" s="19">
        <v>0</v>
      </c>
      <c r="D36" s="8" t="s">
        <v>171</v>
      </c>
      <c r="E36" s="20">
        <v>0</v>
      </c>
      <c r="F36" s="20">
        <v>1</v>
      </c>
      <c r="G36" s="8" t="s">
        <v>54</v>
      </c>
      <c r="H36" s="20">
        <v>1</v>
      </c>
      <c r="I36" s="8" t="s">
        <v>172</v>
      </c>
      <c r="J36" s="19">
        <v>0</v>
      </c>
      <c r="K36" s="8" t="s">
        <v>173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55530</v>
      </c>
      <c r="C37" s="19">
        <v>0</v>
      </c>
      <c r="D37" s="8" t="s">
        <v>174</v>
      </c>
      <c r="E37" s="20">
        <v>0</v>
      </c>
      <c r="F37" s="20">
        <v>0</v>
      </c>
      <c r="G37" s="8" t="s">
        <v>54</v>
      </c>
      <c r="H37" s="20">
        <v>0</v>
      </c>
      <c r="I37" s="8" t="s">
        <v>175</v>
      </c>
      <c r="J37" s="19">
        <v>0</v>
      </c>
      <c r="K37" s="8" t="s">
        <v>174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70</v>
      </c>
      <c r="B38" s="18">
        <v>55531</v>
      </c>
      <c r="C38" s="19">
        <v>0</v>
      </c>
      <c r="D38" s="8" t="s">
        <v>95</v>
      </c>
      <c r="E38" s="20">
        <v>0</v>
      </c>
      <c r="F38" s="20">
        <v>4</v>
      </c>
      <c r="G38" s="8" t="s">
        <v>54</v>
      </c>
      <c r="H38" s="20">
        <v>4</v>
      </c>
      <c r="I38" s="8" t="s">
        <v>96</v>
      </c>
      <c r="J38" s="19">
        <v>0</v>
      </c>
      <c r="K38" s="8" t="s">
        <v>176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70</v>
      </c>
      <c r="B39" s="18">
        <v>55532</v>
      </c>
      <c r="C39" s="19">
        <v>0</v>
      </c>
      <c r="D39" s="8" t="s">
        <v>177</v>
      </c>
      <c r="E39" s="20">
        <v>0</v>
      </c>
      <c r="F39" s="20">
        <v>6</v>
      </c>
      <c r="G39" s="8" t="s">
        <v>54</v>
      </c>
      <c r="H39" s="20">
        <v>6</v>
      </c>
      <c r="I39" s="8" t="s">
        <v>178</v>
      </c>
      <c r="J39" s="19">
        <v>0</v>
      </c>
      <c r="K39" s="8" t="s">
        <v>179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70</v>
      </c>
      <c r="B40" s="18">
        <v>55533</v>
      </c>
      <c r="C40" s="19">
        <v>0</v>
      </c>
      <c r="D40" s="8" t="s">
        <v>139</v>
      </c>
      <c r="E40" s="20">
        <v>0</v>
      </c>
      <c r="F40" s="20">
        <v>3</v>
      </c>
      <c r="G40" s="8" t="s">
        <v>54</v>
      </c>
      <c r="H40" s="20">
        <v>3</v>
      </c>
      <c r="I40" s="8" t="s">
        <v>140</v>
      </c>
      <c r="J40" s="19">
        <v>0</v>
      </c>
      <c r="K40" s="8" t="s">
        <v>180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53</v>
      </c>
      <c r="B41" s="18">
        <v>55534</v>
      </c>
      <c r="C41" s="19">
        <v>0</v>
      </c>
      <c r="D41" s="8" t="s">
        <v>97</v>
      </c>
      <c r="E41" s="20">
        <v>0</v>
      </c>
      <c r="F41" s="20">
        <v>0</v>
      </c>
      <c r="G41" s="8" t="s">
        <v>54</v>
      </c>
      <c r="H41" s="20">
        <v>0</v>
      </c>
      <c r="I41" s="8" t="s">
        <v>98</v>
      </c>
      <c r="J41" s="19">
        <v>0</v>
      </c>
      <c r="K41" s="8" t="s">
        <v>97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70</v>
      </c>
      <c r="B42" s="18">
        <v>55535</v>
      </c>
      <c r="C42" s="19">
        <v>0</v>
      </c>
      <c r="D42" s="8" t="s">
        <v>99</v>
      </c>
      <c r="E42" s="20">
        <v>0</v>
      </c>
      <c r="F42" s="20">
        <v>1</v>
      </c>
      <c r="G42" s="8" t="s">
        <v>54</v>
      </c>
      <c r="H42" s="20">
        <v>1</v>
      </c>
      <c r="I42" s="8" t="s">
        <v>100</v>
      </c>
      <c r="J42" s="19">
        <v>0</v>
      </c>
      <c r="K42" s="8" t="s">
        <v>181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70</v>
      </c>
      <c r="B43" s="18">
        <v>55536</v>
      </c>
      <c r="C43" s="19">
        <v>0</v>
      </c>
      <c r="D43" s="8" t="s">
        <v>141</v>
      </c>
      <c r="E43" s="20">
        <v>0</v>
      </c>
      <c r="F43" s="20">
        <v>2</v>
      </c>
      <c r="G43" s="8" t="s">
        <v>54</v>
      </c>
      <c r="H43" s="20">
        <v>2</v>
      </c>
      <c r="I43" s="8" t="s">
        <v>142</v>
      </c>
      <c r="J43" s="19">
        <v>0</v>
      </c>
      <c r="K43" s="8" t="s">
        <v>143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101</v>
      </c>
      <c r="B44" s="18">
        <v>55537</v>
      </c>
      <c r="C44" s="19">
        <v>0</v>
      </c>
      <c r="D44" s="8" t="s">
        <v>102</v>
      </c>
      <c r="E44" s="20">
        <v>0</v>
      </c>
      <c r="F44" s="20">
        <v>1</v>
      </c>
      <c r="G44" s="8" t="s">
        <v>54</v>
      </c>
      <c r="H44" s="20">
        <v>1</v>
      </c>
      <c r="I44" s="8" t="s">
        <v>103</v>
      </c>
      <c r="J44" s="19">
        <v>0</v>
      </c>
      <c r="K44" s="8" t="s">
        <v>104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70</v>
      </c>
      <c r="B45" s="18">
        <v>55538</v>
      </c>
      <c r="C45" s="19">
        <v>0</v>
      </c>
      <c r="D45" s="8" t="s">
        <v>105</v>
      </c>
      <c r="E45" s="20">
        <v>0</v>
      </c>
      <c r="F45" s="20">
        <v>4</v>
      </c>
      <c r="G45" s="8" t="s">
        <v>54</v>
      </c>
      <c r="H45" s="20">
        <v>4</v>
      </c>
      <c r="I45" s="8" t="s">
        <v>106</v>
      </c>
      <c r="J45" s="19">
        <v>0</v>
      </c>
      <c r="K45" s="8" t="s">
        <v>182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70</v>
      </c>
      <c r="B46" s="18">
        <v>55539</v>
      </c>
      <c r="C46" s="19">
        <v>0</v>
      </c>
      <c r="D46" s="8" t="s">
        <v>107</v>
      </c>
      <c r="E46" s="20">
        <v>0</v>
      </c>
      <c r="F46" s="20">
        <v>1</v>
      </c>
      <c r="G46" s="8" t="s">
        <v>54</v>
      </c>
      <c r="H46" s="20">
        <v>1</v>
      </c>
      <c r="I46" s="8" t="s">
        <v>108</v>
      </c>
      <c r="J46" s="19">
        <v>0</v>
      </c>
      <c r="K46" s="8" t="s">
        <v>183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70</v>
      </c>
      <c r="B47" s="18">
        <v>55553</v>
      </c>
      <c r="C47" s="19">
        <v>0</v>
      </c>
      <c r="D47" s="8" t="s">
        <v>109</v>
      </c>
      <c r="E47" s="20">
        <v>0</v>
      </c>
      <c r="F47" s="20">
        <v>3</v>
      </c>
      <c r="G47" s="8" t="s">
        <v>54</v>
      </c>
      <c r="H47" s="20">
        <v>3</v>
      </c>
      <c r="I47" s="8" t="s">
        <v>110</v>
      </c>
      <c r="J47" s="19">
        <v>0</v>
      </c>
      <c r="K47" s="8" t="s">
        <v>184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60</v>
      </c>
      <c r="B48" s="18">
        <v>55540</v>
      </c>
      <c r="C48" s="19">
        <v>0</v>
      </c>
      <c r="D48" s="8" t="s">
        <v>111</v>
      </c>
      <c r="E48" s="20">
        <v>0</v>
      </c>
      <c r="F48" s="20">
        <v>1</v>
      </c>
      <c r="G48" s="8" t="s">
        <v>54</v>
      </c>
      <c r="H48" s="20">
        <v>1</v>
      </c>
      <c r="I48" s="8" t="s">
        <v>112</v>
      </c>
      <c r="J48" s="19">
        <v>0</v>
      </c>
      <c r="K48" s="8" t="s">
        <v>113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70</v>
      </c>
      <c r="B49" s="18">
        <v>55541</v>
      </c>
      <c r="C49" s="19">
        <v>0</v>
      </c>
      <c r="D49" s="8" t="s">
        <v>114</v>
      </c>
      <c r="E49" s="20">
        <v>0</v>
      </c>
      <c r="F49" s="20">
        <v>1</v>
      </c>
      <c r="G49" s="8" t="s">
        <v>54</v>
      </c>
      <c r="H49" s="20">
        <v>1</v>
      </c>
      <c r="I49" s="8" t="s">
        <v>115</v>
      </c>
      <c r="J49" s="19">
        <v>0</v>
      </c>
      <c r="K49" s="8" t="s">
        <v>116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53</v>
      </c>
      <c r="B50" s="18">
        <v>55542</v>
      </c>
      <c r="C50" s="19">
        <v>0</v>
      </c>
      <c r="D50" s="8" t="s">
        <v>117</v>
      </c>
      <c r="E50" s="20">
        <v>0</v>
      </c>
      <c r="F50" s="20">
        <v>0</v>
      </c>
      <c r="G50" s="8" t="s">
        <v>54</v>
      </c>
      <c r="H50" s="20">
        <v>0</v>
      </c>
      <c r="I50" s="8" t="s">
        <v>118</v>
      </c>
      <c r="J50" s="19">
        <v>0</v>
      </c>
      <c r="K50" s="8" t="s">
        <v>119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53</v>
      </c>
      <c r="B51" s="18">
        <v>55543</v>
      </c>
      <c r="C51" s="19">
        <v>0</v>
      </c>
      <c r="D51" s="8" t="s">
        <v>185</v>
      </c>
      <c r="E51" s="20">
        <v>0</v>
      </c>
      <c r="F51" s="20">
        <v>0</v>
      </c>
      <c r="G51" s="8" t="s">
        <v>54</v>
      </c>
      <c r="H51" s="20">
        <v>0</v>
      </c>
      <c r="I51" s="8" t="s">
        <v>186</v>
      </c>
      <c r="J51" s="19">
        <v>0</v>
      </c>
      <c r="K51" s="8" t="s">
        <v>185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101</v>
      </c>
      <c r="B52" s="18">
        <v>55544</v>
      </c>
      <c r="C52" s="19">
        <v>0</v>
      </c>
      <c r="D52" s="8" t="s">
        <v>120</v>
      </c>
      <c r="E52" s="20">
        <v>0</v>
      </c>
      <c r="F52" s="20">
        <v>1</v>
      </c>
      <c r="G52" s="8" t="s">
        <v>54</v>
      </c>
      <c r="H52" s="20">
        <v>1</v>
      </c>
      <c r="I52" s="8" t="s">
        <v>121</v>
      </c>
      <c r="J52" s="19">
        <v>0</v>
      </c>
      <c r="K52" s="8" t="s">
        <v>122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60</v>
      </c>
      <c r="B53" s="18">
        <v>55545</v>
      </c>
      <c r="C53" s="19">
        <v>0</v>
      </c>
      <c r="D53" s="8" t="s">
        <v>123</v>
      </c>
      <c r="E53" s="20">
        <v>0</v>
      </c>
      <c r="F53" s="20">
        <v>4</v>
      </c>
      <c r="G53" s="8" t="s">
        <v>54</v>
      </c>
      <c r="H53" s="20">
        <v>4</v>
      </c>
      <c r="I53" s="8" t="s">
        <v>124</v>
      </c>
      <c r="J53" s="19">
        <v>0</v>
      </c>
      <c r="K53" s="8" t="s">
        <v>125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53</v>
      </c>
      <c r="B54" s="18">
        <v>55546</v>
      </c>
      <c r="C54" s="19">
        <v>0</v>
      </c>
      <c r="D54" s="8" t="s">
        <v>126</v>
      </c>
      <c r="E54" s="20">
        <v>0</v>
      </c>
      <c r="F54" s="20">
        <v>0</v>
      </c>
      <c r="G54" s="8" t="s">
        <v>54</v>
      </c>
      <c r="H54" s="20">
        <v>0</v>
      </c>
      <c r="I54" s="8" t="s">
        <v>127</v>
      </c>
      <c r="J54" s="19">
        <v>0</v>
      </c>
      <c r="K54" s="8" t="s">
        <v>126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53</v>
      </c>
      <c r="B55" s="18">
        <v>55547</v>
      </c>
      <c r="C55" s="19">
        <v>0</v>
      </c>
      <c r="D55" s="8" t="s">
        <v>187</v>
      </c>
      <c r="E55" s="20">
        <v>0</v>
      </c>
      <c r="F55" s="20">
        <v>0</v>
      </c>
      <c r="G55" s="8" t="s">
        <v>54</v>
      </c>
      <c r="H55" s="20">
        <v>0</v>
      </c>
      <c r="I55" s="8" t="s">
        <v>188</v>
      </c>
      <c r="J55" s="19">
        <v>0</v>
      </c>
      <c r="K55" s="8" t="s">
        <v>187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60</v>
      </c>
      <c r="B56" s="18">
        <v>55548</v>
      </c>
      <c r="C56" s="19">
        <v>0</v>
      </c>
      <c r="D56" s="8" t="s">
        <v>128</v>
      </c>
      <c r="E56" s="20">
        <v>0</v>
      </c>
      <c r="F56" s="20">
        <v>5</v>
      </c>
      <c r="G56" s="8" t="s">
        <v>54</v>
      </c>
      <c r="H56" s="20">
        <v>5</v>
      </c>
      <c r="I56" s="8" t="s">
        <v>129</v>
      </c>
      <c r="J56" s="19">
        <v>0</v>
      </c>
      <c r="K56" s="8" t="s">
        <v>189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53</v>
      </c>
      <c r="B57" s="18">
        <v>55549</v>
      </c>
      <c r="C57" s="19">
        <v>0</v>
      </c>
      <c r="D57" s="8" t="s">
        <v>130</v>
      </c>
      <c r="E57" s="20">
        <v>0</v>
      </c>
      <c r="F57" s="20">
        <v>0</v>
      </c>
      <c r="G57" s="8" t="s">
        <v>54</v>
      </c>
      <c r="H57" s="20">
        <v>0</v>
      </c>
      <c r="I57" s="8" t="s">
        <v>131</v>
      </c>
      <c r="J57" s="19">
        <v>0</v>
      </c>
      <c r="K57" s="8" t="s">
        <v>130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60</v>
      </c>
      <c r="B58" s="18">
        <v>55550</v>
      </c>
      <c r="C58" s="19">
        <v>0</v>
      </c>
      <c r="D58" s="8" t="s">
        <v>190</v>
      </c>
      <c r="E58" s="20">
        <v>0</v>
      </c>
      <c r="F58" s="20">
        <v>1</v>
      </c>
      <c r="G58" s="8" t="s">
        <v>54</v>
      </c>
      <c r="H58" s="20">
        <v>1</v>
      </c>
      <c r="I58" s="8" t="s">
        <v>191</v>
      </c>
      <c r="J58" s="19">
        <v>0</v>
      </c>
      <c r="K58" s="8" t="s">
        <v>192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53</v>
      </c>
      <c r="B59" s="18">
        <v>55551</v>
      </c>
      <c r="C59" s="19">
        <v>0</v>
      </c>
      <c r="D59" s="8" t="s">
        <v>61</v>
      </c>
      <c r="E59" s="20">
        <v>0</v>
      </c>
      <c r="F59" s="20">
        <v>0</v>
      </c>
      <c r="G59" s="8" t="s">
        <v>54</v>
      </c>
      <c r="H59" s="20">
        <v>0</v>
      </c>
      <c r="I59" s="8" t="s">
        <v>62</v>
      </c>
      <c r="J59" s="19">
        <v>0</v>
      </c>
      <c r="K59" s="8" t="s">
        <v>63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64</v>
      </c>
      <c r="B60" s="18">
        <v>55552</v>
      </c>
      <c r="C60" s="19">
        <v>0</v>
      </c>
      <c r="D60" s="8" t="s">
        <v>65</v>
      </c>
      <c r="E60" s="20">
        <v>0</v>
      </c>
      <c r="F60" s="20">
        <v>1</v>
      </c>
      <c r="G60" s="8" t="s">
        <v>54</v>
      </c>
      <c r="H60" s="20">
        <v>1</v>
      </c>
      <c r="I60" s="8" t="s">
        <v>66</v>
      </c>
      <c r="J60" s="19">
        <v>0</v>
      </c>
      <c r="K60" s="8" t="s">
        <v>67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/>
    <row r="62" spans="1:14" ht="12.75" customHeight="1" x14ac:dyDescent="0.2">
      <c r="B62" s="8" t="s">
        <v>16</v>
      </c>
      <c r="C62" s="8" t="s">
        <v>145</v>
      </c>
      <c r="E62" s="8" t="s">
        <v>19</v>
      </c>
      <c r="F62" s="8" t="s">
        <v>19</v>
      </c>
      <c r="G62" s="8" t="s">
        <v>21</v>
      </c>
      <c r="H62" s="8" t="s">
        <v>19</v>
      </c>
      <c r="J62" s="8" t="s">
        <v>19</v>
      </c>
    </row>
    <row r="63" spans="1:14" ht="12.75" customHeight="1" x14ac:dyDescent="0.2"/>
    <row r="64" spans="1:1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124-25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68</v>
      </c>
      <c r="B4" s="38">
        <f>'Build Plan w Hours'!E7</f>
        <v>2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124-25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weld_x000D_
USE COBOT FOR N1 &amp; N2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68</v>
      </c>
      <c r="B10" s="38">
        <f>'Build Plan w Hours'!E8</f>
        <v>4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124-25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.155</v>
      </c>
      <c r="C14" s="40" t="str">
        <f>'Build Plan w Hours'!D9</f>
        <v>Burn and clean parts:  lugs, supports, repads, base ring, etc. (CHECK!)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68</v>
      </c>
      <c r="B16" s="38">
        <f>'Build Plan w Hours'!E9</f>
        <v>6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124-25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.156</v>
      </c>
      <c r="C20" s="40">
        <f>'Build Plan w Hours'!D10</f>
        <v>0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68</v>
      </c>
      <c r="B22" s="38">
        <f>'Build Plan w Hours'!E10</f>
        <v>3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124-25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.200</v>
      </c>
      <c r="C26" s="40" t="str">
        <f>'Build Plan w Hours'!D11</f>
        <v>Make lift lugs, ground lugs,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68</v>
      </c>
      <c r="B28" s="38">
        <f>'Build Plan w Hours'!E11</f>
        <v>1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124-25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.252</v>
      </c>
      <c r="C32" s="40" t="str">
        <f>'Build Plan w Hours'!D12</f>
        <v>Fabricate miscellaneous parts_x000D_
CUT (4) ANCHOR ANGLES &amp; PUNCH BOLT HOLES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68</v>
      </c>
      <c r="B34" s="38">
        <f>'Build Plan w Hours'!E12</f>
        <v>2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124-25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.261</v>
      </c>
      <c r="C38" s="40" t="str">
        <f>'Build Plan w Hours'!D13</f>
        <v>Miscellaneous Fabrication - Braces, Mounting Plates, Cone Outlet Necks_x000D_
ROLL &amp; WELD BACKING BAR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68</v>
      </c>
      <c r="B40" s="38">
        <f>'Build Plan w Hours'!E13</f>
        <v>2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124-25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.300</v>
      </c>
      <c r="C44" s="40" t="str">
        <f>'Build Plan w Hours'!D14</f>
        <v>Wrap top and bottom heads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68</v>
      </c>
      <c r="B46" s="38">
        <f>'Build Plan w Hours'!E14</f>
        <v>1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124-25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.QC3</v>
      </c>
      <c r="C50" s="40" t="str">
        <f>'Build Plan w Hours'!D15</f>
        <v>UT Shells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68</v>
      </c>
      <c r="B52" s="38">
        <f>'Build Plan w Hours'!E15</f>
        <v>0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124-25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.305</v>
      </c>
      <c r="C56" s="40" t="str">
        <f>'Build Plan w Hours'!D16</f>
        <v>Shells: bring in plate, square, trim and clean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68</v>
      </c>
      <c r="B58" s="38">
        <f>'Build Plan w Hours'!E16</f>
        <v>1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124-25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.315</v>
      </c>
      <c r="C62" s="40" t="str">
        <f>'Build Plan w Hours'!D17</f>
        <v>Roll shells, tack and weld inside seams_x000D_
INCL WELD LONG SEAM INSIDE &amp; OUTSIDE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68</v>
      </c>
      <c r="B64" s="38">
        <f>'Build Plan w Hours'!E17</f>
        <v>3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124-25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.QC4</v>
      </c>
      <c r="C68" s="40" t="str">
        <f>'Build Plan w Hours'!D18</f>
        <v>QC Inspection - Top/Bottom/Cones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68</v>
      </c>
      <c r="B70" s="38">
        <f>'Build Plan w Hours'!E18</f>
        <v>0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124-25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.365</v>
      </c>
      <c r="C74" s="40" t="str">
        <f>'Build Plan w Hours'!D19</f>
        <v>Set  nozzles, lift lugs, etc. in top head - tack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68</v>
      </c>
      <c r="B76" s="38">
        <f>'Build Plan w Hours'!E19</f>
        <v>1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124-25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.366</v>
      </c>
      <c r="C80" s="40" t="str">
        <f>'Build Plan w Hours'!D20</f>
        <v>Weld out top head nozzles, etc. _x000D_
INCL (2) LIFT LUGS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68</v>
      </c>
      <c r="B82" s="38">
        <f>'Build Plan w Hours'!E20</f>
        <v>3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124-25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.QC4</v>
      </c>
      <c r="C86" s="40" t="str">
        <f>'Build Plan w Hours'!D21</f>
        <v>QC Inspection - Top/Bottom/Cones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68</v>
      </c>
      <c r="B88" s="38">
        <f>'Build Plan w Hours'!E21</f>
        <v>0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124-25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.465</v>
      </c>
      <c r="C92" s="40" t="str">
        <f>'Build Plan w Hours'!D22</f>
        <v>Set  nozzles in bottom head - tack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68</v>
      </c>
      <c r="B94" s="38">
        <f>'Build Plan w Hours'!E22</f>
        <v>1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124-25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.466</v>
      </c>
      <c r="C98" s="40" t="str">
        <f>'Build Plan w Hours'!D23</f>
        <v>Weld nozzles in bottom head; weld complete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68</v>
      </c>
      <c r="B100" s="38">
        <f>'Build Plan w Hours'!E23</f>
        <v>1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124-25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.500</v>
      </c>
      <c r="C104" s="40" t="str">
        <f>'Build Plan w Hours'!D24</f>
        <v>Build skirt - fit and weld shells_x000D_
ROLL SKIRT SHELL &amp; WELD LONG SEAM INSIDE &amp; OUTSIDE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68</v>
      </c>
      <c r="B106" s="38">
        <f>'Build Plan w Hours'!E24</f>
        <v>2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124-25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.530</v>
      </c>
      <c r="C110" s="40" t="str">
        <f>'Build Plan w Hours'!D25</f>
        <v>Build skirt - fit anchors / gussets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68</v>
      </c>
      <c r="B112" s="38">
        <f>'Build Plan w Hours'!E25</f>
        <v>1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124-25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.545</v>
      </c>
      <c r="C116" s="40" t="str">
        <f>'Build Plan w Hours'!D26</f>
        <v>Weld skirt anchors, gussets, nozzles, manways, etc.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68</v>
      </c>
      <c r="B118" s="38">
        <f>'Build Plan w Hours'!E26</f>
        <v>1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124-25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.OI1</v>
      </c>
      <c r="C122" s="40" t="str">
        <f>'Build Plan w Hours'!D27</f>
        <v>ASME Hold Point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68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124-25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.600</v>
      </c>
      <c r="C128" s="40" t="str">
        <f>'Build Plan w Hours'!D28</f>
        <v>Fit bottom head to shell_x000D_
AND WELD INSIDE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68</v>
      </c>
      <c r="B130" s="38">
        <f>'Build Plan w Hours'!E28</f>
        <v>4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124-25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.625</v>
      </c>
      <c r="C134" s="40" t="str">
        <f>'Build Plan w Hours'!D29</f>
        <v>Install baffles and weld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68</v>
      </c>
      <c r="B136" s="38">
        <f>'Build Plan w Hours'!E29</f>
        <v>6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124-25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.630</v>
      </c>
      <c r="C140" s="40" t="str">
        <f>'Build Plan w Hours'!D30</f>
        <v>Install internals - wear plates, rings, clips, etc._x000D_
FIT &amp; WELD BACKING BAR TO SHELL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68</v>
      </c>
      <c r="B142" s="38">
        <f>'Build Plan w Hours'!E30</f>
        <v>3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124-25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.QC5</v>
      </c>
      <c r="C146" s="40" t="str">
        <f>'Build Plan w Hours'!D31</f>
        <v>QC Inspection - Internal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68</v>
      </c>
      <c r="B148" s="38">
        <f>'Build Plan w Hours'!E31</f>
        <v>0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124-25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.640</v>
      </c>
      <c r="C152" s="40" t="str">
        <f>'Build Plan w Hours'!D32</f>
        <v>Fit top head to shell - tack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68</v>
      </c>
      <c r="B154" s="38">
        <f>'Build Plan w Hours'!E32</f>
        <v>1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124-25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.645</v>
      </c>
      <c r="C158" s="40" t="str">
        <f>'Build Plan w Hours'!D33</f>
        <v>Weld all outside seams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68</v>
      </c>
      <c r="B160" s="38">
        <f>'Build Plan w Hours'!E33</f>
        <v>2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124-25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.800</v>
      </c>
      <c r="C164" s="40" t="str">
        <f>'Build Plan w Hours'!D34</f>
        <v>Move tank to detail rolls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68</v>
      </c>
      <c r="B166" s="38">
        <f>'Build Plan w Hours'!E34</f>
        <v>1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124-25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.720</v>
      </c>
      <c r="C170" s="40" t="str">
        <f>'Build Plan w Hours'!D35</f>
        <v>Install supports - legs, lugs, anchors, saddles, skirt_x000D_
FIT SKIRT &amp; WELD TO BOTTOM HEAD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68</v>
      </c>
      <c r="B172" s="38">
        <f>'Build Plan w Hours'!E35</f>
        <v>4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124-25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.725</v>
      </c>
      <c r="C176" s="40" t="str">
        <f>'Build Plan w Hours'!D36</f>
        <v>Set nozzles in shell - tack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68</v>
      </c>
      <c r="B178" s="38">
        <f>'Build Plan w Hours'!E36</f>
        <v>1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124-25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 t="str">
        <f>'Build Plan w Hours'!C37</f>
        <v>.726</v>
      </c>
      <c r="C182" s="40" t="str">
        <f>'Build Plan w Hours'!D37</f>
        <v>Weld shell nozzles, manways, etc._x000D_
SET &amp; WELD NOZZLES BEFORE INSTALLING TOP HEADS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68</v>
      </c>
      <c r="B184" s="38">
        <f>'Build Plan w Hours'!E37</f>
        <v>3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124-25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 t="str">
        <f>'Build Plan w Hours'!C38</f>
        <v>.765</v>
      </c>
      <c r="C188" s="40" t="str">
        <f>'Build Plan w Hours'!D38</f>
        <v>Install name tag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68</v>
      </c>
      <c r="B190" s="38">
        <f>'Build Plan w Hours'!E38</f>
        <v>1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124-25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 t="str">
        <f>'Build Plan w Hours'!C39</f>
        <v>.770</v>
      </c>
      <c r="C194" s="40" t="str">
        <f>'Build Plan w Hours'!D39</f>
        <v>Inspect tank, make repairs, get QC inspector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68</v>
      </c>
      <c r="B196" s="38">
        <f>'Build Plan w Hours'!E39</f>
        <v>1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124-25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 t="str">
        <f>'Build Plan w Hours'!C40</f>
        <v>.QC6</v>
      </c>
      <c r="C200" s="40" t="str">
        <f>'Build Plan w Hours'!D40</f>
        <v>QC Inspection - Fabrication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68</v>
      </c>
      <c r="B202" s="38">
        <f>'Build Plan w Hours'!E40</f>
        <v>0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124-25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 t="str">
        <f>'Build Plan w Hours'!C41</f>
        <v>.OI2</v>
      </c>
      <c r="C206" s="40" t="str">
        <f>'Build Plan w Hours'!D41</f>
        <v>ASME Inspection Internal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68</v>
      </c>
      <c r="B208" s="38">
        <f>'Build Plan w Hours'!E41</f>
        <v>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124-25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 t="str">
        <f>'Build Plan w Hours'!C42</f>
        <v>.801</v>
      </c>
      <c r="C212" s="40" t="str">
        <f>'Build Plan w Hours'!D42</f>
        <v>Move to shop test area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68</v>
      </c>
      <c r="B214" s="38">
        <f>'Build Plan w Hours'!E42</f>
        <v>1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124-25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 t="str">
        <f>'Build Plan w Hours'!C43</f>
        <v>.910</v>
      </c>
      <c r="C218" s="40" t="str">
        <f>'Build Plan w Hours'!D43</f>
        <v>Test tank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68</v>
      </c>
      <c r="B220" s="38">
        <f>'Build Plan w Hours'!E43</f>
        <v>4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124-25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 t="str">
        <f>'Build Plan w Hours'!C44</f>
        <v>.QC7</v>
      </c>
      <c r="C224" s="40" t="str">
        <f>'Build Plan w Hours'!D44</f>
        <v>QC Inspection - Test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68</v>
      </c>
      <c r="B226" s="38">
        <f>'Build Plan w Hours'!E44</f>
        <v>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124-25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 t="str">
        <f>'Build Plan w Hours'!C45</f>
        <v>.OI3</v>
      </c>
      <c r="C230" s="40" t="str">
        <f>'Build Plan w Hours'!D45</f>
        <v>ASME Inspection Test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68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124-25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 t="str">
        <f>'Build Plan w Hours'!C46</f>
        <v>.920</v>
      </c>
      <c r="C236" s="40" t="str">
        <f>'Build Plan w Hours'!D46</f>
        <v>Clean tank complete_x000D_
CLEAN INSIDE BEFORE INSTALLING TOP HEAD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68</v>
      </c>
      <c r="B238" s="38">
        <f>'Build Plan w Hours'!E46</f>
        <v>5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124-25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 t="str">
        <f>'Build Plan w Hours'!C47</f>
        <v>.QC8</v>
      </c>
      <c r="C242" s="40" t="str">
        <f>'Build Plan w Hours'!D47</f>
        <v>QC Inspection - Clean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68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124-25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 t="str">
        <f>'Build Plan w Hours'!C48</f>
        <v>.940</v>
      </c>
      <c r="C248" s="40" t="str">
        <f>'Build Plan w Hours'!D48</f>
        <v>Prepare tank for shipment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68</v>
      </c>
      <c r="B250" s="38">
        <f>'Build Plan w Hours'!E48</f>
        <v>1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124-25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 t="str">
        <f>'Build Plan w Hours'!C49</f>
        <v>.QC95</v>
      </c>
      <c r="C254" s="40" t="str">
        <f>'Build Plan w Hours'!D49</f>
        <v>QC Inspection - Final &amp; Loose Items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68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124-25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 t="str">
        <f>'Build Plan w Hours'!C50</f>
        <v>.960</v>
      </c>
      <c r="C260" s="40" t="str">
        <f>'Build Plan w Hours'!D50</f>
        <v>Load on truck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68</v>
      </c>
      <c r="B262" s="38">
        <f>'Build Plan w Hours'!E50</f>
        <v>1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124-25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68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124-25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68</v>
      </c>
      <c r="B274" s="38" t="str">
        <f>'Build Plan w Hours'!E52</f>
        <v/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124-25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68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124-25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68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124-25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68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124-25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68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124-25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68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124-25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68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124-25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68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124-25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68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124-25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68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124-25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68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124-25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68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124-25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68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124-25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68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124-25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68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124-25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68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124-25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68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124-25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68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124-25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68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124-25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68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124-25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68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124-25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68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124-25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68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124-25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68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124-25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68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124-25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68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124-25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68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124-25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68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124-25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68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124-25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68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124-25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68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124-25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68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124-25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68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124-25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68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124-25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68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124-25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124-25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weld_x000D_
USE COBOT FOR N1 &amp; N2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124-25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.155</v>
      </c>
      <c r="C14" s="40" t="str">
        <f>'Build Plan w Hours'!D9</f>
        <v>Burn and clean parts:  lugs, supports, repads, base ring, etc. (CHECK!)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124-25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.156</v>
      </c>
      <c r="C20" s="40">
        <f>'Build Plan w Hours'!D10</f>
        <v>0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124-25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.200</v>
      </c>
      <c r="C26" s="40" t="str">
        <f>'Build Plan w Hours'!D11</f>
        <v>Make lift lugs, ground lugs,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124-25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.252</v>
      </c>
      <c r="C32" s="40" t="str">
        <f>'Build Plan w Hours'!D12</f>
        <v>Fabricate miscellaneous parts_x000D_
CUT (4) ANCHOR ANGLES &amp; PUNCH BOLT HOLES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124-25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.261</v>
      </c>
      <c r="C38" s="40" t="str">
        <f>'Build Plan w Hours'!D13</f>
        <v>Miscellaneous Fabrication - Braces, Mounting Plates, Cone Outlet Necks_x000D_
ROLL &amp; WELD BACKING BAR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124-25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.300</v>
      </c>
      <c r="C44" s="40" t="str">
        <f>'Build Plan w Hours'!D14</f>
        <v>Wrap top and bottom heads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124-25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.QC3</v>
      </c>
      <c r="C50" s="40" t="str">
        <f>'Build Plan w Hours'!D15</f>
        <v>UT Shells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124-25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.305</v>
      </c>
      <c r="C56" s="40" t="str">
        <f>'Build Plan w Hours'!D16</f>
        <v>Shells: bring in plate, square, trim and clean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124-25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.315</v>
      </c>
      <c r="C62" s="40" t="str">
        <f>'Build Plan w Hours'!D17</f>
        <v>Roll shells, tack and weld inside seams_x000D_
INCL WELD LONG SEAM INSIDE &amp; OUTSIDE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124-25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.QC4</v>
      </c>
      <c r="C68" s="40" t="str">
        <f>'Build Plan w Hours'!D18</f>
        <v>QC Inspection - Top/Bottom/Cones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124-25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.365</v>
      </c>
      <c r="C74" s="40" t="str">
        <f>'Build Plan w Hours'!D19</f>
        <v>Set  nozzles, lift lugs, etc. in top head - tack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124-25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.366</v>
      </c>
      <c r="C80" s="40" t="str">
        <f>'Build Plan w Hours'!D20</f>
        <v>Weld out top head nozzles, etc. _x000D_
INCL (2) LIFT LUGS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124-25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.QC4</v>
      </c>
      <c r="C86" s="40" t="str">
        <f>'Build Plan w Hours'!D21</f>
        <v>QC Inspection - Top/Bottom/Cones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124-25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.465</v>
      </c>
      <c r="C92" s="40" t="str">
        <f>'Build Plan w Hours'!D22</f>
        <v>Set  nozzles in bottom head - tack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124-25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.466</v>
      </c>
      <c r="C98" s="40" t="str">
        <f>'Build Plan w Hours'!D23</f>
        <v>Weld nozzles in bottom head; weld complete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124-25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.500</v>
      </c>
      <c r="C104" s="40" t="str">
        <f>'Build Plan w Hours'!D24</f>
        <v>Build skirt - fit and weld shells_x000D_
ROLL SKIRT SHELL &amp; WELD LONG SEAM INSIDE &amp; OUTSIDE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124-25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.530</v>
      </c>
      <c r="C110" s="40" t="str">
        <f>'Build Plan w Hours'!D25</f>
        <v>Build skirt - fit anchors / gussets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124-25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.545</v>
      </c>
      <c r="C116" s="40" t="str">
        <f>'Build Plan w Hours'!D26</f>
        <v>Weld skirt anchors, gussets, nozzles, manways, etc.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124-25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.OI1</v>
      </c>
      <c r="C122" s="40" t="str">
        <f>'Build Plan w Hours'!D27</f>
        <v>ASME Hold Point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124-25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.600</v>
      </c>
      <c r="C128" s="40" t="str">
        <f>'Build Plan w Hours'!D28</f>
        <v>Fit bottom head to shell_x000D_
AND WELD INSIDE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124-25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.625</v>
      </c>
      <c r="C134" s="40" t="str">
        <f>'Build Plan w Hours'!D29</f>
        <v>Install baffles and weld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124-25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.630</v>
      </c>
      <c r="C140" s="40" t="str">
        <f>'Build Plan w Hours'!D30</f>
        <v>Install internals - wear plates, rings, clips, etc._x000D_
FIT &amp; WELD BACKING BAR TO SHELL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124-25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.QC5</v>
      </c>
      <c r="C146" s="40" t="str">
        <f>'Build Plan w Hours'!D31</f>
        <v>QC Inspection - Internal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124-25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.640</v>
      </c>
      <c r="C152" s="40" t="str">
        <f>'Build Plan w Hours'!D32</f>
        <v>Fit top head to shell - tack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124-25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.645</v>
      </c>
      <c r="C158" s="40" t="str">
        <f>'Build Plan w Hours'!D33</f>
        <v>Weld all outside seams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124-25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.800</v>
      </c>
      <c r="C164" s="40" t="str">
        <f>'Build Plan w Hours'!D34</f>
        <v>Move tank to detail rolls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124-25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.720</v>
      </c>
      <c r="C170" s="40" t="str">
        <f>'Build Plan w Hours'!D35</f>
        <v>Install supports - legs, lugs, anchors, saddles, skirt_x000D_
FIT SKIRT &amp; WELD TO BOTTOM HEAD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124-25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.725</v>
      </c>
      <c r="C176" s="40" t="str">
        <f>'Build Plan w Hours'!D36</f>
        <v>Set nozzles in shell - tack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124-25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 t="str">
        <f>'Build Plan w Hours'!C37</f>
        <v>.726</v>
      </c>
      <c r="C182" s="40" t="str">
        <f>'Build Plan w Hours'!D37</f>
        <v>Weld shell nozzles, manways, etc._x000D_
SET &amp; WELD NOZZLES BEFORE INSTALLING TOP HEADS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124-25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 t="str">
        <f>'Build Plan w Hours'!C38</f>
        <v>.765</v>
      </c>
      <c r="C188" s="40" t="str">
        <f>'Build Plan w Hours'!D38</f>
        <v>Install name tag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124-25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 t="str">
        <f>'Build Plan w Hours'!C39</f>
        <v>.770</v>
      </c>
      <c r="C194" s="40" t="str">
        <f>'Build Plan w Hours'!D39</f>
        <v>Inspect tank, make repairs, get QC inspector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124-25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 t="str">
        <f>'Build Plan w Hours'!C40</f>
        <v>.QC6</v>
      </c>
      <c r="C200" s="40" t="str">
        <f>'Build Plan w Hours'!D40</f>
        <v>QC Inspection - Fabrication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124-25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 t="str">
        <f>'Build Plan w Hours'!C41</f>
        <v>.OI2</v>
      </c>
      <c r="C206" s="40" t="str">
        <f>'Build Plan w Hours'!D41</f>
        <v>ASME Inspection Internal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124-25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 t="str">
        <f>'Build Plan w Hours'!C42</f>
        <v>.801</v>
      </c>
      <c r="C212" s="40" t="str">
        <f>'Build Plan w Hours'!D42</f>
        <v>Move to shop test area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124-25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 t="str">
        <f>'Build Plan w Hours'!C43</f>
        <v>.910</v>
      </c>
      <c r="C218" s="40" t="str">
        <f>'Build Plan w Hours'!D43</f>
        <v>Test tank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124-25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 t="str">
        <f>'Build Plan w Hours'!C44</f>
        <v>.QC7</v>
      </c>
      <c r="C224" s="40" t="str">
        <f>'Build Plan w Hours'!D44</f>
        <v>QC Inspection - Test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124-25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 t="str">
        <f>'Build Plan w Hours'!C45</f>
        <v>.OI3</v>
      </c>
      <c r="C230" s="40" t="str">
        <f>'Build Plan w Hours'!D45</f>
        <v>ASME Inspection Test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124-25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 t="str">
        <f>'Build Plan w Hours'!C46</f>
        <v>.920</v>
      </c>
      <c r="C236" s="40" t="str">
        <f>'Build Plan w Hours'!D46</f>
        <v>Clean tank complete_x000D_
CLEAN INSIDE BEFORE INSTALLING TOP HEAD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124-25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 t="str">
        <f>'Build Plan w Hours'!C47</f>
        <v>.QC8</v>
      </c>
      <c r="C242" s="40" t="str">
        <f>'Build Plan w Hours'!D47</f>
        <v>QC Inspection - Clean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124-25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 t="str">
        <f>'Build Plan w Hours'!C48</f>
        <v>.940</v>
      </c>
      <c r="C248" s="40" t="str">
        <f>'Build Plan w Hours'!D48</f>
        <v>Prepare tank for shipment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124-25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 t="str">
        <f>'Build Plan w Hours'!C49</f>
        <v>.QC95</v>
      </c>
      <c r="C254" s="40" t="str">
        <f>'Build Plan w Hours'!D49</f>
        <v>QC Inspection - Final &amp; Loose Items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124-25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 t="str">
        <f>'Build Plan w Hours'!C50</f>
        <v>.960</v>
      </c>
      <c r="C260" s="40" t="str">
        <f>'Build Plan w Hours'!D50</f>
        <v>Load on truck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124-25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124-25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124-25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124-25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124-25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124-25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124-25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124-25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124-25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124-25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124-25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124-25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124-25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124-25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124-25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124-25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124-25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124-25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124-25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124-25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124-25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124-25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124-25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124-25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124-25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124-25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124-25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124-25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124-25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124-25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124-25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124-25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124-25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124-25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124-25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124-25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124-25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69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124-25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69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2026-01-13T17:46:46Z</cp:lastPrinted>
  <dcterms:created xsi:type="dcterms:W3CDTF">2016-06-28T20:53:17Z</dcterms:created>
  <dcterms:modified xsi:type="dcterms:W3CDTF">2026-01-13T17:47:35Z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