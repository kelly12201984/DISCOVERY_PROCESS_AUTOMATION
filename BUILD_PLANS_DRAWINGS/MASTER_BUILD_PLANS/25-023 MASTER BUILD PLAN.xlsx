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3-25 - Andritz - Product Liquor Flash Tank\"/>
    </mc:Choice>
  </mc:AlternateContent>
  <xr:revisionPtr revIDLastSave="0" documentId="8_{8162147F-2357-40B1-962A-8372F112F62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<sst xmlns="http://schemas.openxmlformats.org/spreadsheetml/2006/main" count="1774" uniqueCount="231">
  <si>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</si>
  <si>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</si>
  <si>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</si>
  <si>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</si>
  <si>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</si>
  <si>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</si>
  <si>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</si>
  <si>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</si>
  <si>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</si>
  <si>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</si>
  <si>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</si>
  <si>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</si>
  <si>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</si>
  <si>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</si>
  <si>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</si>
  <si>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</si>
  <si>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</si>
  <si>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</si>
  <si>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</si>
  <si>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</si>
  <si>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</si>
  <si>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</si>
  <si>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</si>
  <si>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</si>
  <si>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</si>
  <si>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</si>
  <si>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</si>
  <si>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</si>
  <si>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</si>
  <si>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</si>
  <si>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</si>
  <si>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</si>
  <si>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</si>
  <si>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</si>
  <si>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</si>
  <si>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</si>
  <si>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</si>
  <si>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</si>
  <si>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</si>
  <si>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</si>
  <si>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</si>
  <si>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</si>
  <si>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</si>
  <si>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</si>
  <si>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</si>
  <si>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</si>
  <si>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</si>
  <si>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</si>
  <si>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</si>
  <si>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</si>
  <si>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</si>
  <si>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</si>
  <si>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</si>
  <si>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</si>
  <si>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</si>
  <si>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</si>
  <si>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</si>
  <si>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</si>
  <si>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</si>
  <si>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</si>
  <si>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</si>
  <si>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</si>
  <si>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</si>
  <si>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</si>
  <si>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</si>
  <si>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</si>
  <si>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</si>
  <si>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</si>
  <si>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</si>
  <si>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</si>
  <si>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</si>
  <si>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</si>
  <si>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</si>
  <si>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</si>
  <si>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</si>
  <si>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</si>
  <si>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</si>
  <si>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</si>
  <si>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</si>
  <si>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</si>
  <si>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</si>
  <si>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</si>
  <si>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</si>
  <si>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</si>
  <si>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</si>
  <si>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</si>
  <si>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</si>
  <si>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</si>
  <si>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</si>
  <si>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</si>
  <si>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</si>
  <si>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</si>
  <si>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</si>
  <si>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</si>
  <si>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</si>
  <si>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</si>
  <si>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</si>
  <si>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</si>
  <si>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</si>
  <si>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</si>
  <si>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</si>
  <si>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</si>
  <si>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</si>
  <si>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</si>
  <si>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</si>
  <si>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</si>
  <si>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</si>
  <si>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</si>
  <si>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</si>
  <si>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</si>
  <si>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</si>
  <si>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</si>
  <si>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</si>
  <si>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</si>
  <si>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</si>
  <si>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</si>
  <si>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</si>
  <si>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</si>
  <si>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</si>
  <si>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</si>
  <si>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</si>
  <si>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</si>
  <si>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</si>
  <si>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</si>
  <si>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</si>
  <si>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</si>
  <si>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</si>
  <si>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</si>
  <si>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</si>
  <si>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</si>
  <si>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</si>
  <si>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</si>
  <si>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</si>
  <si>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</si>
  <si>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</si>
  <si>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</si>
  <si>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</si>
  <si>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</si>
  <si>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</si>
  <si>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</si>
  <si>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</si>
  <si>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</si>
  <si>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</si>
  <si>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</si>
  <si>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</si>
  <si>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</si>
  <si>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</si>
  <si>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</si>
  <si>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</si>
  <si>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</si>
  <si>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</si>
  <si>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</si>
  <si>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</si>
  <si>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</si>
  <si>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</si>
  <si>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</si>
  <si>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</si>
  <si>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</si>
  <si>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</si>
  <si>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</si>
  <si>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</si>
  <si>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</si>
  <si>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</si>
  <si>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</si>
  <si>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Repads for Nozzles</t>
  </si>
  <si>
    <t>.107</t>
  </si>
  <si>
    <t>Build Repads for Nozzles, drill and tap holes</t>
  </si>
  <si>
    <t>Build Dip Tubes-Weld</t>
  </si>
  <si>
    <t>.110</t>
  </si>
  <si>
    <t>Fab Miscellaneous Parts</t>
  </si>
  <si>
    <t>.252</t>
  </si>
  <si>
    <t>I&amp;W Repads -Top</t>
  </si>
  <si>
    <t>.370</t>
  </si>
  <si>
    <t>PRODUCT LIQUOR FLASH TANK</t>
  </si>
  <si>
    <t>4504524626</t>
  </si>
  <si>
    <t>9070.2</t>
  </si>
  <si>
    <t>10</t>
  </si>
  <si>
    <t>Build nozzles and weld_x000D_
INCL INSTALL (2) COUPLINGS IN N8</t>
  </si>
  <si>
    <t>Build dip tubes and weld_x000D_
INLET PIPE ASSEMBLY</t>
  </si>
  <si>
    <t>Cut Parts on Burn Table</t>
  </si>
  <si>
    <t>Clean &amp; Prep Parts</t>
  </si>
  <si>
    <t>.156</t>
  </si>
  <si>
    <t>Build supports: legs, lugs, saddles_x000D_
BUILD (4) LEGS</t>
  </si>
  <si>
    <t>Roll repads: drill and tap _x000D_
REPADS FOR LEGS</t>
  </si>
  <si>
    <t>Fabricate miscellaneous parts_x000D_
CUT PIPE &amp; CONE SUPPTS ON SHEAR; MAKE &amp; WELD CONE</t>
  </si>
  <si>
    <t>Misc Fabrication</t>
  </si>
  <si>
    <t>.261</t>
  </si>
  <si>
    <t>Miscellaneous Fabrication - Braces, Mounting Plates, Cone Outlet Necks_x000D_
MAKE VORTEX BREAKER</t>
  </si>
  <si>
    <t>Wrap Top &amp; Bottom Heads</t>
  </si>
  <si>
    <t>.300</t>
  </si>
  <si>
    <t>Wrap top and bottom heads</t>
  </si>
  <si>
    <t>Shells: bring in plate, square, trim and clean</t>
  </si>
  <si>
    <t>Roll shells, tack and weld inside seams</t>
  </si>
  <si>
    <t>Lay out top head, burn and clean holes_x000D_
ON BURN TABLE</t>
  </si>
  <si>
    <t>Install and weld out repads - top head</t>
  </si>
  <si>
    <t>L/O Bottom, B&amp;C Holes</t>
  </si>
  <si>
    <t>.455</t>
  </si>
  <si>
    <t>Lay out bottom head, burn and clean holes_x000D_
ON BURN TABLE</t>
  </si>
  <si>
    <t>Set Nozzles - Bottom Head</t>
  </si>
  <si>
    <t>.465</t>
  </si>
  <si>
    <t>Set  nozzles in bottom head - tack_x000D_
INCL INLET PIPE &amp; VORTEX BREAKER</t>
  </si>
  <si>
    <t>Weld Nozzles - Bot. Head</t>
  </si>
  <si>
    <t>.466</t>
  </si>
  <si>
    <t>Weld nozzles in bottom head; weld complete_x000D_
INCL INLET PIPE &amp; VORTEX BREAKER</t>
  </si>
  <si>
    <t>ASME Hold Point</t>
  </si>
  <si>
    <t>.OI1</t>
  </si>
  <si>
    <t>Fit bottom head to shell</t>
  </si>
  <si>
    <t>Lay out shell, burn and clean holes_x000D_
ON BURN TABLE</t>
  </si>
  <si>
    <t>Install Internal Parts</t>
  </si>
  <si>
    <t>.630</t>
  </si>
  <si>
    <t>Install internals - wear plates, rings, clips, etc._x000D_
PIPE SUPPORTS &amp; CONE ASSEMBLY</t>
  </si>
  <si>
    <t>Fit top head to shell - tack</t>
  </si>
  <si>
    <t>Weld all Outside Seams</t>
  </si>
  <si>
    <t>.645</t>
  </si>
  <si>
    <t>Weld all outside seams_x000D_
INCL FULL PEN WELDS-FROM OUTSIDE FOR TOP &amp; BOT HEADS</t>
  </si>
  <si>
    <t>Install supports - legs, lugs, anchors, saddles, skirt_x000D_
FIT &amp; WELD (4) REPADS AND (4) LEGS</t>
  </si>
  <si>
    <t>Set nozzles in shell - tack</t>
  </si>
  <si>
    <t>Weld shell nozzles, manways, etc.</t>
  </si>
  <si>
    <t>Add Repads-Weld</t>
  </si>
  <si>
    <t>.730</t>
  </si>
  <si>
    <t>Add repads and weld</t>
  </si>
  <si>
    <t>ASME Inspection Internal</t>
  </si>
  <si>
    <t>.OI2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</si>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</sst>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PRODUCT LIQUOR FLASH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INSTALL (2) COUPLINGS IN N8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.110</v>
      </c>
      <c r="D12" s="22" t="str">
        <f>'Sheet2-PASTE HERE!'!K22</f>
        <v>Build dip tubes and weld_x000D_
INLET PIPE ASSEMBLY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.115</v>
      </c>
      <c r="D13" s="22" t="str">
        <f>'Sheet2-PASTE HERE!'!K23</f>
        <v>Make manway parts: cut clips, form handles,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.120</v>
      </c>
      <c r="D14" s="22" t="str">
        <f>'Sheet2-PASTE HERE!'!K24</f>
        <v>Burn manway neck (CHECK BEFORE BURNING) - Clean and Bevel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.125</v>
      </c>
      <c r="D15" s="22" t="str">
        <f>'Sheet2-PASTE HERE!'!K25</f>
        <v>Roll manway neck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.130</v>
      </c>
      <c r="D16" s="22" t="str">
        <f>'Sheet2-PASTE HERE!'!K26</f>
        <v>Set up and weld manway flange and neck seam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.135</v>
      </c>
      <c r="D17" s="22" t="str">
        <f>'Sheet2-PASTE HERE!'!K27</f>
        <v>Build davit arm assembly and cover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BUILD (4) LEGS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.170</v>
      </c>
      <c r="D21" s="22" t="str">
        <f>'Sheet2-PASTE HERE!'!K31</f>
        <v>Roll repads: drill and tap _x000D_
REPADS FOR LEGS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CUT PIPE &amp; CONE SUPPTS ON SHEAR; MAKE &amp; WELD CONE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.261</v>
      </c>
      <c r="D24" s="22" t="str">
        <f>'Sheet2-PASTE HERE!'!K34</f>
        <v>Miscellaneous Fabrication - Braces, Mounting Plates, Cone Outlet Necks_x000D_
MAKE VORTEX BREAKER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.300</v>
      </c>
      <c r="D25" s="22" t="str">
        <f>'Sheet2-PASTE HERE!'!K35</f>
        <v>Wrap top and bottom heads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.QC3</v>
      </c>
      <c r="D26" s="22" t="str">
        <f>'Sheet2-PASTE HERE!'!K36</f>
        <v>UT Shells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.305</v>
      </c>
      <c r="D27" s="22" t="str">
        <f>'Sheet2-PASTE HERE!'!K37</f>
        <v>Shells: bring in plate, square, trim and clean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.315</v>
      </c>
      <c r="D28" s="22" t="str">
        <f>'Sheet2-PASTE HERE!'!K38</f>
        <v>Roll shells, tack and weld inside seams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.355</v>
      </c>
      <c r="D30" s="22" t="str">
        <f>'Sheet2-PASTE HERE!'!K40</f>
        <v>Lay out top head, burn and clean holes_x000D_
ON BURN TABLE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.365</v>
      </c>
      <c r="D31" s="22" t="str">
        <f>'Sheet2-PASTE HERE!'!K41</f>
        <v>Set  nozzles, lift lugs, etc. in top head - tack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.366</v>
      </c>
      <c r="D32" s="22" t="str">
        <f>'Sheet2-PASTE HERE!'!K42</f>
        <v>Weld out top head nozzles, etc.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.370</v>
      </c>
      <c r="D33" s="22" t="str">
        <f>'Sheet2-PASTE HERE!'!K43</f>
        <v>Install and weld out repads - top head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holes_x000D_
ON BURN TABLE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.465</v>
      </c>
      <c r="D36" s="22" t="str">
        <f>'Sheet2-PASTE HERE!'!K46</f>
        <v>Set  nozzles in bottom head - tack_x000D_
INCL INLET PIPE &amp; VORTEX BREAKER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.466</v>
      </c>
      <c r="D37" s="22" t="str">
        <f>'Sheet2-PASTE HERE!'!K47</f>
        <v>Weld nozzles in bottom head; weld complete_x000D_
INCL INLET PIPE &amp; VORTEX BREAKER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</v>
      </c>
      <c r="E39" s="13">
        <f>'Sheet2-PASTE HERE!'!F49</f>
        <v>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ON BURN TABLE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.630</v>
      </c>
      <c r="D41" s="22" t="str">
        <f>'Sheet2-PASTE HERE!'!K51</f>
        <v>Install internals - wear plates, rings, clips, etc._x000D_
PIPE SUPPORTS &amp; CONE ASSEMBLY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seams_x000D_
INCL FULL PEN WELDS-FROM OUTSIDE FOR TOP &amp; BOT HEADS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(4) REPADS AND (4) LEGS</v>
      </c>
      <c r="E46" s="13">
        <f>'Sheet2-PASTE HERE!'!F56</f>
        <v>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</v>
      </c>
      <c r="E48" s="13">
        <f>'Sheet2-PASTE HERE!'!F58</f>
        <v>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.765</v>
      </c>
      <c r="D50" s="22" t="str">
        <f>'Sheet2-PASTE HERE!'!K60</f>
        <v>Install name tag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.770</v>
      </c>
      <c r="D51" s="22" t="str">
        <f>'Sheet2-PASTE HERE!'!K61</f>
        <v>Inspect tank, make repairs, get QC inspector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.QC6</v>
      </c>
      <c r="D52" s="22" t="str">
        <f>'Sheet2-PASTE HERE!'!K62</f>
        <v>QC Inspection - Fabrication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.OI2</v>
      </c>
      <c r="D53" s="22" t="str">
        <f>'Sheet2-PASTE HERE!'!K63</f>
        <v>ASME Inspection Internal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.OI3</v>
      </c>
      <c r="D57" s="22" t="str">
        <f>'Sheet2-PASTE HERE!'!K67</f>
        <v>ASME Inspection Test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6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.802</v>
      </c>
      <c r="D60" s="22" t="str">
        <f>'Sheet2-PASTE HERE!'!K70</f>
        <v>Move to paint area</v>
      </c>
      <c r="E60" s="13">
        <f>'Sheet2-PASTE HERE!'!F70</f>
        <v>1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</v>
      </c>
      <c r="D61" s="22" t="str">
        <f>'Sheet2-PASTE HERE!'!K71</f>
        <v>QC Inspection - Sandblast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.QC90</v>
      </c>
      <c r="D62" s="22" t="str">
        <f>'Sheet2-PASTE HERE!'!K72</f>
        <v>QC Inspection - Paint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.940</v>
      </c>
      <c r="D63" s="22" t="str">
        <f>'Sheet2-PASTE HERE!'!K73</f>
        <v>Prepare tank for shipment</v>
      </c>
      <c r="E63" s="13">
        <f>'Sheet2-PASTE HERE!'!F73</f>
        <v>1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PRODUCT LIQUOR FLASH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INSTALL (2) COUPLINGS IN N8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.110</v>
      </c>
      <c r="D12" s="22" t="str">
        <f>'Sheet2-PASTE HERE!'!K22</f>
        <v>Build dip tubes and weld_x000D_
INLET PIPE ASSEMBLY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.115</v>
      </c>
      <c r="D13" s="22" t="str">
        <f>'Sheet2-PASTE HERE!'!K23</f>
        <v>Make manway parts: cut clips, form handles,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.120</v>
      </c>
      <c r="D14" s="22" t="str">
        <f>'Sheet2-PASTE HERE!'!K24</f>
        <v>Burn manway neck (CHECK BEFORE BURNING) - Clean and Bevel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.125</v>
      </c>
      <c r="D15" s="22" t="str">
        <f>'Sheet2-PASTE HERE!'!K25</f>
        <v>Roll manway neck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.130</v>
      </c>
      <c r="D16" s="22" t="str">
        <f>'Sheet2-PASTE HERE!'!K26</f>
        <v>Set up and weld manway flange and neck seam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.135</v>
      </c>
      <c r="D17" s="22" t="str">
        <f>'Sheet2-PASTE HERE!'!K27</f>
        <v>Build davit arm assembly and cover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BUILD (4) LEGS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.170</v>
      </c>
      <c r="D21" s="22" t="str">
        <f>'Sheet2-PASTE HERE!'!K31</f>
        <v>Roll repads: drill and tap _x000D_
REPADS FOR LEGS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CUT PIPE &amp; CONE SUPPTS ON SHEAR; MAKE &amp; WELD CONE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.261</v>
      </c>
      <c r="D24" s="22" t="str">
        <f>'Sheet2-PASTE HERE!'!K34</f>
        <v>Miscellaneous Fabrication - Braces, Mounting Plates, Cone Outlet Necks_x000D_
MAKE VORTEX BREAKER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.300</v>
      </c>
      <c r="D25" s="22" t="str">
        <f>'Sheet2-PASTE HERE!'!K35</f>
        <v>Wrap top and bottom heads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.QC3</v>
      </c>
      <c r="D26" s="22" t="str">
        <f>'Sheet2-PASTE HERE!'!K36</f>
        <v>UT Shells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.305</v>
      </c>
      <c r="D27" s="22" t="str">
        <f>'Sheet2-PASTE HERE!'!K37</f>
        <v>Shells: bring in plate, square, trim and clean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.315</v>
      </c>
      <c r="D28" s="22" t="str">
        <f>'Sheet2-PASTE HERE!'!K38</f>
        <v>Roll shells, tack and weld inside seams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.355</v>
      </c>
      <c r="D30" s="22" t="str">
        <f>'Sheet2-PASTE HERE!'!K40</f>
        <v>Lay out top head, burn and clean holes_x000D_
ON BURN TABLE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.365</v>
      </c>
      <c r="D31" s="22" t="str">
        <f>'Sheet2-PASTE HERE!'!K41</f>
        <v>Set  nozzles, lift lugs, etc. in top head - tack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.366</v>
      </c>
      <c r="D32" s="22" t="str">
        <f>'Sheet2-PASTE HERE!'!K42</f>
        <v>Weld out top head nozzles, etc.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.370</v>
      </c>
      <c r="D33" s="22" t="str">
        <f>'Sheet2-PASTE HERE!'!K43</f>
        <v>Install and weld out repads - top head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holes_x000D_
ON BURN TABLE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.465</v>
      </c>
      <c r="D36" s="22" t="str">
        <f>'Sheet2-PASTE HERE!'!K46</f>
        <v>Set  nozzles in bottom head - tack_x000D_
INCL INLET PIPE &amp; VORTEX BREAKER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.466</v>
      </c>
      <c r="D37" s="22" t="str">
        <f>'Sheet2-PASTE HERE!'!K47</f>
        <v>Weld nozzles in bottom head; weld complete_x000D_
INCL INLET PIPE &amp; VORTEX BREAKER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</v>
      </c>
      <c r="E39" s="13">
        <f>'Sheet2-PASTE HERE!'!F49</f>
        <v>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ON BURN TABLE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.630</v>
      </c>
      <c r="D41" s="22" t="str">
        <f>'Sheet2-PASTE HERE!'!K51</f>
        <v>Install internals - wear plates, rings, clips, etc._x000D_
PIPE SUPPORTS &amp; CONE ASSEMBLY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seams_x000D_
INCL FULL PEN WELDS-FROM OUTSIDE FOR TOP &amp; BOT HEADS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(4) REPADS AND (4) LEGS</v>
      </c>
      <c r="E46" s="13">
        <f>'Sheet2-PASTE HERE!'!F56</f>
        <v>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</v>
      </c>
      <c r="E48" s="13">
        <f>'Sheet2-PASTE HERE!'!F58</f>
        <v>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.765</v>
      </c>
      <c r="D50" s="22" t="str">
        <f>'Sheet2-PASTE HERE!'!K60</f>
        <v>Install name tag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.770</v>
      </c>
      <c r="D51" s="22" t="str">
        <f>'Sheet2-PASTE HERE!'!K61</f>
        <v>Inspect tank, make repairs, get QC inspector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.QC6</v>
      </c>
      <c r="D52" s="22" t="str">
        <f>'Sheet2-PASTE HERE!'!K62</f>
        <v>QC Inspection - Fabrication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.OI2</v>
      </c>
      <c r="D53" s="22" t="str">
        <f>'Sheet2-PASTE HERE!'!K63</f>
        <v>ASME Inspection Internal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.OI3</v>
      </c>
      <c r="D57" s="22" t="str">
        <f>'Sheet2-PASTE HERE!'!K67</f>
        <v>ASME Inspection Test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6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.802</v>
      </c>
      <c r="D60" s="22" t="str">
        <f>'Sheet2-PASTE HERE!'!K70</f>
        <v>Move to paint area</v>
      </c>
      <c r="E60" s="13">
        <f>'Sheet2-PASTE HERE!'!F70</f>
        <v>1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</v>
      </c>
      <c r="D61" s="22" t="str">
        <f>'Sheet2-PASTE HERE!'!K71</f>
        <v>QC Inspection - Sandblast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.QC90</v>
      </c>
      <c r="D62" s="22" t="str">
        <f>'Sheet2-PASTE HERE!'!K72</f>
        <v>QC Inspection - Paint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.940</v>
      </c>
      <c r="D63" s="22" t="str">
        <f>'Sheet2-PASTE HERE!'!K73</f>
        <v>Prepare tank for shipment</v>
      </c>
      <c r="E63" s="13">
        <f>'Sheet2-PASTE HERE!'!F73</f>
        <v>1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175</v>
      </c>
      <c r="G1" s="8" t="s">
        <v>173</v>
      </c>
      <c r="H1" s="8" t="s">
        <v>20</v>
      </c>
      <c r="I1" s="8" t="s">
        <v>176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45687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121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50523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50524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50525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50526</v>
      </c>
      <c r="C20" s="19">
        <v>0</v>
      </c>
      <c r="D20" s="8" t="s">
        <v>81</v>
      </c>
      <c r="E20" s="20">
        <v>0</v>
      </c>
      <c r="F20" s="20">
        <v>6</v>
      </c>
      <c r="G20" s="8" t="s">
        <v>54</v>
      </c>
      <c r="H20" s="20">
        <v>6</v>
      </c>
      <c r="I20" s="8" t="s">
        <v>82</v>
      </c>
      <c r="J20" s="19">
        <v>0</v>
      </c>
      <c r="K20" s="8" t="s">
        <v>177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50527</v>
      </c>
      <c r="C21" s="19">
        <v>0</v>
      </c>
      <c r="D21" s="8" t="s">
        <v>164</v>
      </c>
      <c r="E21" s="20">
        <v>0</v>
      </c>
      <c r="F21" s="20">
        <v>2</v>
      </c>
      <c r="G21" s="8" t="s">
        <v>54</v>
      </c>
      <c r="H21" s="20">
        <v>2</v>
      </c>
      <c r="I21" s="8" t="s">
        <v>165</v>
      </c>
      <c r="J21" s="19">
        <v>0</v>
      </c>
      <c r="K21" s="8" t="s">
        <v>166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50528</v>
      </c>
      <c r="C22" s="19">
        <v>0</v>
      </c>
      <c r="D22" s="8" t="s">
        <v>167</v>
      </c>
      <c r="E22" s="20">
        <v>0</v>
      </c>
      <c r="F22" s="20">
        <v>3</v>
      </c>
      <c r="G22" s="8" t="s">
        <v>54</v>
      </c>
      <c r="H22" s="20">
        <v>3</v>
      </c>
      <c r="I22" s="8" t="s">
        <v>168</v>
      </c>
      <c r="J22" s="19">
        <v>0</v>
      </c>
      <c r="K22" s="8" t="s">
        <v>178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50529</v>
      </c>
      <c r="C23" s="19">
        <v>0</v>
      </c>
      <c r="D23" s="8" t="s">
        <v>83</v>
      </c>
      <c r="E23" s="20">
        <v>0</v>
      </c>
      <c r="F23" s="20">
        <v>1</v>
      </c>
      <c r="G23" s="8" t="s">
        <v>54</v>
      </c>
      <c r="H23" s="20">
        <v>1</v>
      </c>
      <c r="I23" s="8" t="s">
        <v>84</v>
      </c>
      <c r="J23" s="19">
        <v>0</v>
      </c>
      <c r="K23" s="8" t="s">
        <v>85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50530</v>
      </c>
      <c r="C24" s="19">
        <v>0</v>
      </c>
      <c r="D24" s="8" t="s">
        <v>86</v>
      </c>
      <c r="E24" s="20">
        <v>0</v>
      </c>
      <c r="F24" s="20">
        <v>1</v>
      </c>
      <c r="G24" s="8" t="s">
        <v>54</v>
      </c>
      <c r="H24" s="20">
        <v>1</v>
      </c>
      <c r="I24" s="8" t="s">
        <v>87</v>
      </c>
      <c r="J24" s="19">
        <v>0</v>
      </c>
      <c r="K24" s="8" t="s">
        <v>88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50531</v>
      </c>
      <c r="C25" s="19">
        <v>0</v>
      </c>
      <c r="D25" s="8" t="s">
        <v>89</v>
      </c>
      <c r="E25" s="20">
        <v>0</v>
      </c>
      <c r="F25" s="20">
        <v>1</v>
      </c>
      <c r="G25" s="8" t="s">
        <v>54</v>
      </c>
      <c r="H25" s="20">
        <v>1</v>
      </c>
      <c r="I25" s="8" t="s">
        <v>90</v>
      </c>
      <c r="J25" s="19">
        <v>0</v>
      </c>
      <c r="K25" s="8" t="s">
        <v>91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50532</v>
      </c>
      <c r="C26" s="19">
        <v>0</v>
      </c>
      <c r="D26" s="8" t="s">
        <v>92</v>
      </c>
      <c r="E26" s="20">
        <v>0</v>
      </c>
      <c r="F26" s="20">
        <v>2</v>
      </c>
      <c r="G26" s="8" t="s">
        <v>54</v>
      </c>
      <c r="H26" s="20">
        <v>2</v>
      </c>
      <c r="I26" s="8" t="s">
        <v>93</v>
      </c>
      <c r="J26" s="19">
        <v>0</v>
      </c>
      <c r="K26" s="8" t="s">
        <v>94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50533</v>
      </c>
      <c r="C27" s="19">
        <v>0</v>
      </c>
      <c r="D27" s="8" t="s">
        <v>95</v>
      </c>
      <c r="E27" s="20">
        <v>0</v>
      </c>
      <c r="F27" s="20">
        <v>2</v>
      </c>
      <c r="G27" s="8" t="s">
        <v>54</v>
      </c>
      <c r="H27" s="20">
        <v>2</v>
      </c>
      <c r="I27" s="8" t="s">
        <v>96</v>
      </c>
      <c r="J27" s="19">
        <v>0</v>
      </c>
      <c r="K27" s="8" t="s">
        <v>97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50534</v>
      </c>
      <c r="C28" s="19">
        <v>0</v>
      </c>
      <c r="D28" s="8" t="s">
        <v>179</v>
      </c>
      <c r="E28" s="20">
        <v>0</v>
      </c>
      <c r="F28" s="20">
        <v>6</v>
      </c>
      <c r="G28" s="8" t="s">
        <v>54</v>
      </c>
      <c r="H28" s="20">
        <v>6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50535</v>
      </c>
      <c r="C29" s="19">
        <v>0</v>
      </c>
      <c r="D29" s="8" t="s">
        <v>180</v>
      </c>
      <c r="E29" s="20">
        <v>0</v>
      </c>
      <c r="F29" s="20">
        <v>4</v>
      </c>
      <c r="G29" s="8" t="s">
        <v>54</v>
      </c>
      <c r="H29" s="20">
        <v>4</v>
      </c>
      <c r="I29" s="8" t="s">
        <v>181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50536</v>
      </c>
      <c r="C30" s="19">
        <v>0</v>
      </c>
      <c r="D30" s="8" t="s">
        <v>60</v>
      </c>
      <c r="E30" s="20">
        <v>0</v>
      </c>
      <c r="F30" s="20">
        <v>4</v>
      </c>
      <c r="G30" s="8" t="s">
        <v>54</v>
      </c>
      <c r="H30" s="20">
        <v>4</v>
      </c>
      <c r="I30" s="8" t="s">
        <v>61</v>
      </c>
      <c r="J30" s="19">
        <v>0</v>
      </c>
      <c r="K30" s="8" t="s">
        <v>182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50537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183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50538</v>
      </c>
      <c r="C32" s="19">
        <v>0</v>
      </c>
      <c r="D32" s="8" t="s">
        <v>101</v>
      </c>
      <c r="E32" s="20">
        <v>0</v>
      </c>
      <c r="F32" s="20">
        <v>2</v>
      </c>
      <c r="G32" s="8" t="s">
        <v>54</v>
      </c>
      <c r="H32" s="20">
        <v>2</v>
      </c>
      <c r="I32" s="8" t="s">
        <v>102</v>
      </c>
      <c r="J32" s="19">
        <v>0</v>
      </c>
      <c r="K32" s="8" t="s">
        <v>103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50539</v>
      </c>
      <c r="C33" s="19">
        <v>0</v>
      </c>
      <c r="D33" s="8" t="s">
        <v>169</v>
      </c>
      <c r="E33" s="20">
        <v>0</v>
      </c>
      <c r="F33" s="20">
        <v>4</v>
      </c>
      <c r="G33" s="8" t="s">
        <v>54</v>
      </c>
      <c r="H33" s="20">
        <v>4</v>
      </c>
      <c r="I33" s="8" t="s">
        <v>170</v>
      </c>
      <c r="J33" s="19">
        <v>0</v>
      </c>
      <c r="K33" s="8" t="s">
        <v>184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50540</v>
      </c>
      <c r="C34" s="19">
        <v>0</v>
      </c>
      <c r="D34" s="8" t="s">
        <v>185</v>
      </c>
      <c r="E34" s="20">
        <v>0</v>
      </c>
      <c r="F34" s="20">
        <v>1</v>
      </c>
      <c r="G34" s="8" t="s">
        <v>54</v>
      </c>
      <c r="H34" s="20">
        <v>1</v>
      </c>
      <c r="I34" s="8" t="s">
        <v>186</v>
      </c>
      <c r="J34" s="19">
        <v>0</v>
      </c>
      <c r="K34" s="8" t="s">
        <v>187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50541</v>
      </c>
      <c r="C35" s="19">
        <v>0</v>
      </c>
      <c r="D35" s="8" t="s">
        <v>188</v>
      </c>
      <c r="E35" s="20">
        <v>0</v>
      </c>
      <c r="F35" s="20">
        <v>1</v>
      </c>
      <c r="G35" s="8" t="s">
        <v>54</v>
      </c>
      <c r="H35" s="20">
        <v>1</v>
      </c>
      <c r="I35" s="8" t="s">
        <v>189</v>
      </c>
      <c r="J35" s="19">
        <v>0</v>
      </c>
      <c r="K35" s="8" t="s">
        <v>190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50542</v>
      </c>
      <c r="C36" s="19">
        <v>0</v>
      </c>
      <c r="D36" s="8" t="s">
        <v>104</v>
      </c>
      <c r="E36" s="20">
        <v>0</v>
      </c>
      <c r="F36" s="20">
        <v>0</v>
      </c>
      <c r="G36" s="8" t="s">
        <v>54</v>
      </c>
      <c r="H36" s="20">
        <v>0</v>
      </c>
      <c r="I36" s="8" t="s">
        <v>105</v>
      </c>
      <c r="J36" s="19">
        <v>0</v>
      </c>
      <c r="K36" s="8" t="s">
        <v>104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50543</v>
      </c>
      <c r="C37" s="19">
        <v>0</v>
      </c>
      <c r="D37" s="8" t="s">
        <v>106</v>
      </c>
      <c r="E37" s="20">
        <v>0</v>
      </c>
      <c r="F37" s="20">
        <v>1</v>
      </c>
      <c r="G37" s="8" t="s">
        <v>54</v>
      </c>
      <c r="H37" s="20">
        <v>1</v>
      </c>
      <c r="I37" s="8" t="s">
        <v>107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50544</v>
      </c>
      <c r="C38" s="19">
        <v>0</v>
      </c>
      <c r="D38" s="8" t="s">
        <v>108</v>
      </c>
      <c r="E38" s="20">
        <v>0</v>
      </c>
      <c r="F38" s="20">
        <v>3</v>
      </c>
      <c r="G38" s="8" t="s">
        <v>54</v>
      </c>
      <c r="H38" s="20">
        <v>3</v>
      </c>
      <c r="I38" s="8" t="s">
        <v>109</v>
      </c>
      <c r="J38" s="19">
        <v>0</v>
      </c>
      <c r="K38" s="8" t="s">
        <v>192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50545</v>
      </c>
      <c r="C39" s="19">
        <v>0</v>
      </c>
      <c r="D39" s="8" t="s">
        <v>110</v>
      </c>
      <c r="E39" s="20">
        <v>0</v>
      </c>
      <c r="F39" s="20">
        <v>0</v>
      </c>
      <c r="G39" s="8" t="s">
        <v>54</v>
      </c>
      <c r="H39" s="20">
        <v>0</v>
      </c>
      <c r="I39" s="8" t="s">
        <v>111</v>
      </c>
      <c r="J39" s="19">
        <v>0</v>
      </c>
      <c r="K39" s="8" t="s">
        <v>112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50546</v>
      </c>
      <c r="C40" s="19">
        <v>0</v>
      </c>
      <c r="D40" s="8" t="s">
        <v>113</v>
      </c>
      <c r="E40" s="20">
        <v>0</v>
      </c>
      <c r="F40" s="20">
        <v>1</v>
      </c>
      <c r="G40" s="8" t="s">
        <v>54</v>
      </c>
      <c r="H40" s="20">
        <v>1</v>
      </c>
      <c r="I40" s="8" t="s">
        <v>114</v>
      </c>
      <c r="J40" s="19">
        <v>0</v>
      </c>
      <c r="K40" s="8" t="s">
        <v>193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50547</v>
      </c>
      <c r="C41" s="19">
        <v>0</v>
      </c>
      <c r="D41" s="8" t="s">
        <v>115</v>
      </c>
      <c r="E41" s="20">
        <v>0</v>
      </c>
      <c r="F41" s="20">
        <v>1</v>
      </c>
      <c r="G41" s="8" t="s">
        <v>54</v>
      </c>
      <c r="H41" s="20">
        <v>1</v>
      </c>
      <c r="I41" s="8" t="s">
        <v>116</v>
      </c>
      <c r="J41" s="19">
        <v>0</v>
      </c>
      <c r="K41" s="8" t="s">
        <v>117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50548</v>
      </c>
      <c r="C42" s="19">
        <v>0</v>
      </c>
      <c r="D42" s="8" t="s">
        <v>118</v>
      </c>
      <c r="E42" s="20">
        <v>0</v>
      </c>
      <c r="F42" s="20">
        <v>2</v>
      </c>
      <c r="G42" s="8" t="s">
        <v>54</v>
      </c>
      <c r="H42" s="20">
        <v>2</v>
      </c>
      <c r="I42" s="8" t="s">
        <v>119</v>
      </c>
      <c r="J42" s="19">
        <v>0</v>
      </c>
      <c r="K42" s="8" t="s">
        <v>120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50549</v>
      </c>
      <c r="C43" s="19">
        <v>0</v>
      </c>
      <c r="D43" s="8" t="s">
        <v>171</v>
      </c>
      <c r="E43" s="20">
        <v>0</v>
      </c>
      <c r="F43" s="20">
        <v>2</v>
      </c>
      <c r="G43" s="8" t="s">
        <v>54</v>
      </c>
      <c r="H43" s="20">
        <v>2</v>
      </c>
      <c r="I43" s="8" t="s">
        <v>172</v>
      </c>
      <c r="J43" s="19">
        <v>0</v>
      </c>
      <c r="K43" s="8" t="s">
        <v>194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50550</v>
      </c>
      <c r="C44" s="19">
        <v>0</v>
      </c>
      <c r="D44" s="8" t="s">
        <v>110</v>
      </c>
      <c r="E44" s="20">
        <v>0</v>
      </c>
      <c r="F44" s="20">
        <v>0</v>
      </c>
      <c r="G44" s="8" t="s">
        <v>54</v>
      </c>
      <c r="H44" s="20">
        <v>0</v>
      </c>
      <c r="I44" s="8" t="s">
        <v>111</v>
      </c>
      <c r="J44" s="19">
        <v>0</v>
      </c>
      <c r="K44" s="8" t="s">
        <v>112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50551</v>
      </c>
      <c r="C45" s="19">
        <v>0</v>
      </c>
      <c r="D45" s="8" t="s">
        <v>195</v>
      </c>
      <c r="E45" s="20">
        <v>0</v>
      </c>
      <c r="F45" s="20">
        <v>1</v>
      </c>
      <c r="G45" s="8" t="s">
        <v>54</v>
      </c>
      <c r="H45" s="20">
        <v>1</v>
      </c>
      <c r="I45" s="8" t="s">
        <v>196</v>
      </c>
      <c r="J45" s="19">
        <v>0</v>
      </c>
      <c r="K45" s="8" t="s">
        <v>197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50552</v>
      </c>
      <c r="C46" s="19">
        <v>0</v>
      </c>
      <c r="D46" s="8" t="s">
        <v>198</v>
      </c>
      <c r="E46" s="20">
        <v>0</v>
      </c>
      <c r="F46" s="20">
        <v>3</v>
      </c>
      <c r="G46" s="8" t="s">
        <v>54</v>
      </c>
      <c r="H46" s="20">
        <v>3</v>
      </c>
      <c r="I46" s="8" t="s">
        <v>199</v>
      </c>
      <c r="J46" s="19">
        <v>0</v>
      </c>
      <c r="K46" s="8" t="s">
        <v>200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50553</v>
      </c>
      <c r="C47" s="19">
        <v>0</v>
      </c>
      <c r="D47" s="8" t="s">
        <v>201</v>
      </c>
      <c r="E47" s="20">
        <v>0</v>
      </c>
      <c r="F47" s="20">
        <v>4</v>
      </c>
      <c r="G47" s="8" t="s">
        <v>54</v>
      </c>
      <c r="H47" s="20">
        <v>4</v>
      </c>
      <c r="I47" s="8" t="s">
        <v>202</v>
      </c>
      <c r="J47" s="19">
        <v>0</v>
      </c>
      <c r="K47" s="8" t="s">
        <v>203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50554</v>
      </c>
      <c r="C48" s="19">
        <v>0</v>
      </c>
      <c r="D48" s="8" t="s">
        <v>204</v>
      </c>
      <c r="E48" s="20">
        <v>0</v>
      </c>
      <c r="F48" s="20">
        <v>0</v>
      </c>
      <c r="G48" s="8" t="s">
        <v>54</v>
      </c>
      <c r="H48" s="20">
        <v>0</v>
      </c>
      <c r="I48" s="8" t="s">
        <v>205</v>
      </c>
      <c r="J48" s="19">
        <v>0</v>
      </c>
      <c r="K48" s="8" t="s">
        <v>204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50555</v>
      </c>
      <c r="C49" s="19">
        <v>0</v>
      </c>
      <c r="D49" s="8" t="s">
        <v>121</v>
      </c>
      <c r="E49" s="20">
        <v>0</v>
      </c>
      <c r="F49" s="20">
        <v>2</v>
      </c>
      <c r="G49" s="8" t="s">
        <v>54</v>
      </c>
      <c r="H49" s="20">
        <v>2</v>
      </c>
      <c r="I49" s="8" t="s">
        <v>122</v>
      </c>
      <c r="J49" s="19">
        <v>0</v>
      </c>
      <c r="K49" s="8" t="s">
        <v>206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50556</v>
      </c>
      <c r="C50" s="19">
        <v>0</v>
      </c>
      <c r="D50" s="8" t="s">
        <v>123</v>
      </c>
      <c r="E50" s="20">
        <v>0</v>
      </c>
      <c r="F50" s="20">
        <v>2</v>
      </c>
      <c r="G50" s="8" t="s">
        <v>54</v>
      </c>
      <c r="H50" s="20">
        <v>2</v>
      </c>
      <c r="I50" s="8" t="s">
        <v>124</v>
      </c>
      <c r="J50" s="19">
        <v>0</v>
      </c>
      <c r="K50" s="8" t="s">
        <v>207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50557</v>
      </c>
      <c r="C51" s="19">
        <v>0</v>
      </c>
      <c r="D51" s="8" t="s">
        <v>208</v>
      </c>
      <c r="E51" s="20">
        <v>0</v>
      </c>
      <c r="F51" s="20">
        <v>4</v>
      </c>
      <c r="G51" s="8" t="s">
        <v>54</v>
      </c>
      <c r="H51" s="20">
        <v>4</v>
      </c>
      <c r="I51" s="8" t="s">
        <v>209</v>
      </c>
      <c r="J51" s="19">
        <v>0</v>
      </c>
      <c r="K51" s="8" t="s">
        <v>210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50558</v>
      </c>
      <c r="C52" s="19">
        <v>0</v>
      </c>
      <c r="D52" s="8" t="s">
        <v>125</v>
      </c>
      <c r="E52" s="20">
        <v>0</v>
      </c>
      <c r="F52" s="20">
        <v>0</v>
      </c>
      <c r="G52" s="8" t="s">
        <v>54</v>
      </c>
      <c r="H52" s="20">
        <v>0</v>
      </c>
      <c r="I52" s="8" t="s">
        <v>126</v>
      </c>
      <c r="J52" s="19">
        <v>0</v>
      </c>
      <c r="K52" s="8" t="s">
        <v>125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50559</v>
      </c>
      <c r="C53" s="19">
        <v>0</v>
      </c>
      <c r="D53" s="8" t="s">
        <v>127</v>
      </c>
      <c r="E53" s="20">
        <v>0</v>
      </c>
      <c r="F53" s="20">
        <v>2</v>
      </c>
      <c r="G53" s="8" t="s">
        <v>54</v>
      </c>
      <c r="H53" s="20">
        <v>2</v>
      </c>
      <c r="I53" s="8" t="s">
        <v>128</v>
      </c>
      <c r="J53" s="19">
        <v>0</v>
      </c>
      <c r="K53" s="8" t="s">
        <v>211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50560</v>
      </c>
      <c r="C54" s="19">
        <v>0</v>
      </c>
      <c r="D54" s="8" t="s">
        <v>212</v>
      </c>
      <c r="E54" s="20">
        <v>0</v>
      </c>
      <c r="F54" s="20">
        <v>8</v>
      </c>
      <c r="G54" s="8" t="s">
        <v>54</v>
      </c>
      <c r="H54" s="20">
        <v>8</v>
      </c>
      <c r="I54" s="8" t="s">
        <v>213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129</v>
      </c>
      <c r="B55" s="18">
        <v>50561</v>
      </c>
      <c r="C55" s="19">
        <v>0</v>
      </c>
      <c r="D55" s="8" t="s">
        <v>130</v>
      </c>
      <c r="E55" s="20">
        <v>0</v>
      </c>
      <c r="F55" s="20">
        <v>1</v>
      </c>
      <c r="G55" s="8" t="s">
        <v>54</v>
      </c>
      <c r="H55" s="20">
        <v>1</v>
      </c>
      <c r="I55" s="8" t="s">
        <v>131</v>
      </c>
      <c r="J55" s="19">
        <v>0</v>
      </c>
      <c r="K55" s="8" t="s">
        <v>132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50562</v>
      </c>
      <c r="C56" s="19">
        <v>0</v>
      </c>
      <c r="D56" s="8" t="s">
        <v>133</v>
      </c>
      <c r="E56" s="20">
        <v>0</v>
      </c>
      <c r="F56" s="20">
        <v>8</v>
      </c>
      <c r="G56" s="8" t="s">
        <v>54</v>
      </c>
      <c r="H56" s="20">
        <v>8</v>
      </c>
      <c r="I56" s="8" t="s">
        <v>134</v>
      </c>
      <c r="J56" s="19">
        <v>0</v>
      </c>
      <c r="K56" s="8" t="s">
        <v>215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50563</v>
      </c>
      <c r="C57" s="19">
        <v>0</v>
      </c>
      <c r="D57" s="8" t="s">
        <v>135</v>
      </c>
      <c r="E57" s="20">
        <v>0</v>
      </c>
      <c r="F57" s="20">
        <v>3</v>
      </c>
      <c r="G57" s="8" t="s">
        <v>54</v>
      </c>
      <c r="H57" s="20">
        <v>3</v>
      </c>
      <c r="I57" s="8" t="s">
        <v>136</v>
      </c>
      <c r="J57" s="19">
        <v>0</v>
      </c>
      <c r="K57" s="8" t="s">
        <v>216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50564</v>
      </c>
      <c r="C58" s="19">
        <v>0</v>
      </c>
      <c r="D58" s="8" t="s">
        <v>137</v>
      </c>
      <c r="E58" s="20">
        <v>0</v>
      </c>
      <c r="F58" s="20">
        <v>4</v>
      </c>
      <c r="G58" s="8" t="s">
        <v>54</v>
      </c>
      <c r="H58" s="20">
        <v>4</v>
      </c>
      <c r="I58" s="8" t="s">
        <v>138</v>
      </c>
      <c r="J58" s="19">
        <v>0</v>
      </c>
      <c r="K58" s="8" t="s">
        <v>217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50565</v>
      </c>
      <c r="C59" s="19">
        <v>0</v>
      </c>
      <c r="D59" s="8" t="s">
        <v>218</v>
      </c>
      <c r="E59" s="20">
        <v>0</v>
      </c>
      <c r="F59" s="20">
        <v>3</v>
      </c>
      <c r="G59" s="8" t="s">
        <v>54</v>
      </c>
      <c r="H59" s="20">
        <v>3</v>
      </c>
      <c r="I59" s="8" t="s">
        <v>219</v>
      </c>
      <c r="J59" s="19">
        <v>0</v>
      </c>
      <c r="K59" s="8" t="s">
        <v>220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62</v>
      </c>
      <c r="B60" s="18">
        <v>50566</v>
      </c>
      <c r="C60" s="19">
        <v>0</v>
      </c>
      <c r="D60" s="8" t="s">
        <v>139</v>
      </c>
      <c r="E60" s="20">
        <v>0</v>
      </c>
      <c r="F60" s="20">
        <v>1</v>
      </c>
      <c r="G60" s="8" t="s">
        <v>54</v>
      </c>
      <c r="H60" s="20">
        <v>1</v>
      </c>
      <c r="I60" s="8" t="s">
        <v>140</v>
      </c>
      <c r="J60" s="19">
        <v>0</v>
      </c>
      <c r="K60" s="8" t="s">
        <v>141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50567</v>
      </c>
      <c r="C61" s="19">
        <v>0</v>
      </c>
      <c r="D61" s="8" t="s">
        <v>142</v>
      </c>
      <c r="E61" s="20">
        <v>0</v>
      </c>
      <c r="F61" s="20">
        <v>1</v>
      </c>
      <c r="G61" s="8" t="s">
        <v>54</v>
      </c>
      <c r="H61" s="20">
        <v>1</v>
      </c>
      <c r="I61" s="8" t="s">
        <v>143</v>
      </c>
      <c r="J61" s="19">
        <v>0</v>
      </c>
      <c r="K61" s="8" t="s">
        <v>144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50568</v>
      </c>
      <c r="C62" s="19">
        <v>0</v>
      </c>
      <c r="D62" s="8" t="s">
        <v>145</v>
      </c>
      <c r="E62" s="20">
        <v>0</v>
      </c>
      <c r="F62" s="20">
        <v>0</v>
      </c>
      <c r="G62" s="8" t="s">
        <v>54</v>
      </c>
      <c r="H62" s="20">
        <v>0</v>
      </c>
      <c r="I62" s="8" t="s">
        <v>146</v>
      </c>
      <c r="J62" s="19">
        <v>0</v>
      </c>
      <c r="K62" s="8" t="s">
        <v>147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50569</v>
      </c>
      <c r="C63" s="19">
        <v>0</v>
      </c>
      <c r="D63" s="8" t="s">
        <v>221</v>
      </c>
      <c r="E63" s="20">
        <v>0</v>
      </c>
      <c r="F63" s="20">
        <v>0</v>
      </c>
      <c r="G63" s="8" t="s">
        <v>54</v>
      </c>
      <c r="H63" s="20">
        <v>0</v>
      </c>
      <c r="I63" s="8" t="s">
        <v>222</v>
      </c>
      <c r="J63" s="19">
        <v>0</v>
      </c>
      <c r="K63" s="8" t="s">
        <v>221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129</v>
      </c>
      <c r="B64" s="18">
        <v>50570</v>
      </c>
      <c r="C64" s="19">
        <v>0</v>
      </c>
      <c r="D64" s="8" t="s">
        <v>148</v>
      </c>
      <c r="E64" s="20">
        <v>0</v>
      </c>
      <c r="F64" s="20">
        <v>1</v>
      </c>
      <c r="G64" s="8" t="s">
        <v>54</v>
      </c>
      <c r="H64" s="20">
        <v>1</v>
      </c>
      <c r="I64" s="8" t="s">
        <v>149</v>
      </c>
      <c r="J64" s="19">
        <v>0</v>
      </c>
      <c r="K64" s="8" t="s">
        <v>150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62</v>
      </c>
      <c r="B65" s="18">
        <v>50571</v>
      </c>
      <c r="C65" s="19">
        <v>0</v>
      </c>
      <c r="D65" s="8" t="s">
        <v>151</v>
      </c>
      <c r="E65" s="20">
        <v>0</v>
      </c>
      <c r="F65" s="20">
        <v>8</v>
      </c>
      <c r="G65" s="8" t="s">
        <v>54</v>
      </c>
      <c r="H65" s="20">
        <v>8</v>
      </c>
      <c r="I65" s="8" t="s">
        <v>152</v>
      </c>
      <c r="J65" s="19">
        <v>0</v>
      </c>
      <c r="K65" s="8" t="s">
        <v>153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50572</v>
      </c>
      <c r="C66" s="19">
        <v>0</v>
      </c>
      <c r="D66" s="8" t="s">
        <v>154</v>
      </c>
      <c r="E66" s="20">
        <v>0</v>
      </c>
      <c r="F66" s="20">
        <v>0</v>
      </c>
      <c r="G66" s="8" t="s">
        <v>54</v>
      </c>
      <c r="H66" s="20">
        <v>0</v>
      </c>
      <c r="I66" s="8" t="s">
        <v>155</v>
      </c>
      <c r="J66" s="19">
        <v>0</v>
      </c>
      <c r="K66" s="8" t="s">
        <v>154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50573</v>
      </c>
      <c r="C67" s="19">
        <v>0</v>
      </c>
      <c r="D67" s="8" t="s">
        <v>156</v>
      </c>
      <c r="E67" s="20">
        <v>0</v>
      </c>
      <c r="F67" s="20">
        <v>0</v>
      </c>
      <c r="G67" s="8" t="s">
        <v>54</v>
      </c>
      <c r="H67" s="20">
        <v>0</v>
      </c>
      <c r="I67" s="8" t="s">
        <v>157</v>
      </c>
      <c r="J67" s="19">
        <v>0</v>
      </c>
      <c r="K67" s="8" t="s">
        <v>156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62</v>
      </c>
      <c r="B68" s="18">
        <v>50574</v>
      </c>
      <c r="C68" s="19">
        <v>0</v>
      </c>
      <c r="D68" s="8" t="s">
        <v>158</v>
      </c>
      <c r="E68" s="20">
        <v>0</v>
      </c>
      <c r="F68" s="20">
        <v>6</v>
      </c>
      <c r="G68" s="8" t="s">
        <v>54</v>
      </c>
      <c r="H68" s="20">
        <v>6</v>
      </c>
      <c r="I68" s="8" t="s">
        <v>159</v>
      </c>
      <c r="J68" s="19">
        <v>0</v>
      </c>
      <c r="K68" s="8" t="s">
        <v>160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50575</v>
      </c>
      <c r="C69" s="19">
        <v>0</v>
      </c>
      <c r="D69" s="8" t="s">
        <v>161</v>
      </c>
      <c r="E69" s="20">
        <v>0</v>
      </c>
      <c r="F69" s="20">
        <v>0</v>
      </c>
      <c r="G69" s="8" t="s">
        <v>54</v>
      </c>
      <c r="H69" s="20">
        <v>0</v>
      </c>
      <c r="I69" s="8" t="s">
        <v>162</v>
      </c>
      <c r="J69" s="19">
        <v>0</v>
      </c>
      <c r="K69" s="8" t="s">
        <v>161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129</v>
      </c>
      <c r="B70" s="18">
        <v>50576</v>
      </c>
      <c r="C70" s="19">
        <v>0</v>
      </c>
      <c r="D70" s="8" t="s">
        <v>223</v>
      </c>
      <c r="E70" s="20">
        <v>0</v>
      </c>
      <c r="F70" s="20">
        <v>1</v>
      </c>
      <c r="G70" s="8" t="s">
        <v>54</v>
      </c>
      <c r="H70" s="20">
        <v>1</v>
      </c>
      <c r="I70" s="8" t="s">
        <v>224</v>
      </c>
      <c r="J70" s="19">
        <v>0</v>
      </c>
      <c r="K70" s="8" t="s">
        <v>225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50577</v>
      </c>
      <c r="C71" s="19">
        <v>0</v>
      </c>
      <c r="D71" s="8" t="s">
        <v>226</v>
      </c>
      <c r="E71" s="20">
        <v>0</v>
      </c>
      <c r="F71" s="20">
        <v>0</v>
      </c>
      <c r="G71" s="8" t="s">
        <v>54</v>
      </c>
      <c r="H71" s="20">
        <v>0</v>
      </c>
      <c r="I71" s="8" t="s">
        <v>227</v>
      </c>
      <c r="J71" s="19">
        <v>0</v>
      </c>
      <c r="K71" s="8" t="s">
        <v>226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50578</v>
      </c>
      <c r="C72" s="19">
        <v>0</v>
      </c>
      <c r="D72" s="8" t="s">
        <v>228</v>
      </c>
      <c r="E72" s="20">
        <v>0</v>
      </c>
      <c r="F72" s="20">
        <v>0</v>
      </c>
      <c r="G72" s="8" t="s">
        <v>54</v>
      </c>
      <c r="H72" s="20">
        <v>0</v>
      </c>
      <c r="I72" s="8" t="s">
        <v>229</v>
      </c>
      <c r="J72" s="19">
        <v>0</v>
      </c>
      <c r="K72" s="8" t="s">
        <v>228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62</v>
      </c>
      <c r="B73" s="18">
        <v>50579</v>
      </c>
      <c r="C73" s="19">
        <v>0</v>
      </c>
      <c r="D73" s="8" t="s">
        <v>63</v>
      </c>
      <c r="E73" s="20">
        <v>0</v>
      </c>
      <c r="F73" s="20">
        <v>1</v>
      </c>
      <c r="G73" s="8" t="s">
        <v>54</v>
      </c>
      <c r="H73" s="20">
        <v>1</v>
      </c>
      <c r="I73" s="8" t="s">
        <v>64</v>
      </c>
      <c r="J73" s="19">
        <v>0</v>
      </c>
      <c r="K73" s="8" t="s">
        <v>163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50580</v>
      </c>
      <c r="C74" s="19">
        <v>0</v>
      </c>
      <c r="D74" s="8" t="s">
        <v>65</v>
      </c>
      <c r="E74" s="20">
        <v>0</v>
      </c>
      <c r="F74" s="20">
        <v>0</v>
      </c>
      <c r="G74" s="8" t="s">
        <v>54</v>
      </c>
      <c r="H74" s="20">
        <v>0</v>
      </c>
      <c r="I74" s="8" t="s">
        <v>66</v>
      </c>
      <c r="J74" s="19">
        <v>0</v>
      </c>
      <c r="K74" s="8" t="s">
        <v>67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68</v>
      </c>
      <c r="B75" s="18">
        <v>50581</v>
      </c>
      <c r="C75" s="19">
        <v>0</v>
      </c>
      <c r="D75" s="8" t="s">
        <v>69</v>
      </c>
      <c r="E75" s="20">
        <v>0</v>
      </c>
      <c r="F75" s="20">
        <v>2</v>
      </c>
      <c r="G75" s="8" t="s">
        <v>54</v>
      </c>
      <c r="H75" s="20">
        <v>2</v>
      </c>
      <c r="I75" s="8" t="s">
        <v>70</v>
      </c>
      <c r="J75" s="19">
        <v>0</v>
      </c>
      <c r="K75" s="8" t="s">
        <v>71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/>
    <row r="77" spans="1:14" ht="12.75" customHeight="1" x14ac:dyDescent="0.2">
      <c r="B77" s="8" t="s">
        <v>16</v>
      </c>
      <c r="C77" s="8" t="s">
        <v>173</v>
      </c>
      <c r="E77" s="8" t="s">
        <v>19</v>
      </c>
      <c r="F77" s="8" t="s">
        <v>19</v>
      </c>
      <c r="G77" s="8" t="s">
        <v>21</v>
      </c>
      <c r="H77" s="8" t="s">
        <v>19</v>
      </c>
      <c r="J77" s="8" t="s">
        <v>19</v>
      </c>
    </row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INSTALL (2) COUPLINGS IN N8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.110</v>
      </c>
      <c r="C32" s="40" t="str">
        <f>'Build Plan w Hours'!D12</f>
        <v>Build dip tubes and weld_x000D_
INLET PIPE ASSEMBLY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.115</v>
      </c>
      <c r="C38" s="40" t="str">
        <f>'Build Plan w Hours'!D13</f>
        <v>Make manway parts: cut clips, form handles,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.120</v>
      </c>
      <c r="C44" s="40" t="str">
        <f>'Build Plan w Hours'!D14</f>
        <v>Burn manway neck (CHECK BEFORE BURNING) - Clean and Bevel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.125</v>
      </c>
      <c r="C50" s="40" t="str">
        <f>'Build Plan w Hours'!D15</f>
        <v>Roll manway neck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.130</v>
      </c>
      <c r="C56" s="40" t="str">
        <f>'Build Plan w Hours'!D16</f>
        <v>Set up and weld manway flange and neck seam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.135</v>
      </c>
      <c r="C62" s="40" t="str">
        <f>'Build Plan w Hours'!D17</f>
        <v>Build davit arm assembly and cover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BUILD (4) LEGS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.170</v>
      </c>
      <c r="C86" s="40" t="str">
        <f>'Build Plan w Hours'!D21</f>
        <v>Roll repads: drill and tap _x000D_
REPADS FOR LEGS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CUT PIPE &amp; CONE SUPPTS ON SHEAR; MAKE &amp; WELD 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.261</v>
      </c>
      <c r="C104" s="40" t="str">
        <f>'Build Plan w Hours'!D24</f>
        <v>Miscellaneous Fabrication - Braces, Mounting Plates, Cone Outlet Necks_x000D_
MAKE VORTEX BREAKER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.300</v>
      </c>
      <c r="C110" s="40" t="str">
        <f>'Build Plan w Hours'!D25</f>
        <v>Wrap top and bottom heads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.QC3</v>
      </c>
      <c r="C116" s="40" t="str">
        <f>'Build Plan w Hours'!D26</f>
        <v>UT Shells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.305</v>
      </c>
      <c r="C122" s="40" t="str">
        <f>'Build Plan w Hours'!D27</f>
        <v>Shells: bring in plate, square, trim and clean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.315</v>
      </c>
      <c r="C128" s="40" t="str">
        <f>'Build Plan w Hours'!D28</f>
        <v>Roll shells, tack and weld inside seams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.355</v>
      </c>
      <c r="C140" s="40" t="str">
        <f>'Build Plan w Hours'!D30</f>
        <v>Lay out top head, burn and clean holes_x000D_
ON BURN TABLE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.365</v>
      </c>
      <c r="C146" s="40" t="str">
        <f>'Build Plan w Hours'!D31</f>
        <v>Set  nozzles, lift lugs, etc. in top head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.366</v>
      </c>
      <c r="C152" s="40" t="str">
        <f>'Build Plan w Hours'!D32</f>
        <v>Weld out top head nozzles, etc.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.370</v>
      </c>
      <c r="C158" s="40" t="str">
        <f>'Build Plan w Hours'!D33</f>
        <v>Install and weld out repads - top head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holes_x000D_
ON BURN TABLE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.465</v>
      </c>
      <c r="C176" s="40" t="str">
        <f>'Build Plan w Hours'!D36</f>
        <v>Set  nozzles in bottom head - tack_x000D_
INCL INLET PIPE &amp; VORTEX BREAKER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.466</v>
      </c>
      <c r="C182" s="40" t="str">
        <f>'Build Plan w Hours'!D37</f>
        <v>Weld nozzles in bottom head; weld complete_x000D_
INCL INLET PIPE &amp; VORTEX BREAKER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.630</v>
      </c>
      <c r="C206" s="40" t="str">
        <f>'Build Plan w Hours'!D41</f>
        <v>Install internals - wear plates, rings, clips, etc._x000D_
PIPE SUPPORTS &amp; CONE ASSEMBLY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seams_x000D_
INCL FULL PEN WELDS-FROM OUTSIDE FOR TOP &amp; BOT HEADS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(4) REPADS AND (4) LEGS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.765</v>
      </c>
      <c r="C260" s="40" t="str">
        <f>'Build Plan w Hours'!D50</f>
        <v>Install name tag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.770</v>
      </c>
      <c r="C266" s="40" t="str">
        <f>'Build Plan w Hours'!D51</f>
        <v>Inspect tank, make repairs, get QC inspector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.QC6</v>
      </c>
      <c r="C272" s="40" t="str">
        <f>'Build Plan w Hours'!D52</f>
        <v>QC Inspection - Fabrication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.OI2</v>
      </c>
      <c r="C278" s="40" t="str">
        <f>'Build Plan w Hours'!D53</f>
        <v>ASME Inspection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.OI3</v>
      </c>
      <c r="C302" s="40" t="str">
        <f>'Build Plan w Hours'!D57</f>
        <v>ASME Inspection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6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.802</v>
      </c>
      <c r="C320" s="40" t="str">
        <f>'Build Plan w Hours'!D60</f>
        <v>Move to paint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1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.QC9</v>
      </c>
      <c r="C326" s="40" t="str">
        <f>'Build Plan w Hours'!D61</f>
        <v>QC Inspection - Sandblast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.QC90</v>
      </c>
      <c r="C332" s="40" t="str">
        <f>'Build Plan w Hours'!D62</f>
        <v>QC Inspection - Paint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.940</v>
      </c>
      <c r="C338" s="40" t="str">
        <f>'Build Plan w Hours'!D63</f>
        <v>Prepare tank for shipment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1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 t="str">
        <f>'Build Plan w Hours'!E67</f>
        <v/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INSTALL (2) COUPLINGS IN N8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.110</v>
      </c>
      <c r="C32" s="40" t="str">
        <f>'Build Plan w Hours'!D12</f>
        <v>Build dip tubes and weld_x000D_
INLET PIPE ASSEMBLY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.115</v>
      </c>
      <c r="C38" s="40" t="str">
        <f>'Build Plan w Hours'!D13</f>
        <v>Make manway parts: cut clips, form handles,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.120</v>
      </c>
      <c r="C44" s="40" t="str">
        <f>'Build Plan w Hours'!D14</f>
        <v>Burn manway neck (CHECK BEFORE BURNING) - Clean and Bevel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.125</v>
      </c>
      <c r="C50" s="40" t="str">
        <f>'Build Plan w Hours'!D15</f>
        <v>Roll manway neck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.130</v>
      </c>
      <c r="C56" s="40" t="str">
        <f>'Build Plan w Hours'!D16</f>
        <v>Set up and weld manway flange and neck seam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.135</v>
      </c>
      <c r="C62" s="40" t="str">
        <f>'Build Plan w Hours'!D17</f>
        <v>Build davit arm assembly and cover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BUILD (4) LEGS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.170</v>
      </c>
      <c r="C86" s="40" t="str">
        <f>'Build Plan w Hours'!D21</f>
        <v>Roll repads: drill and tap _x000D_
REPADS FOR LEGS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CUT PIPE &amp; CONE SUPPTS ON SHEAR; MAKE &amp; WELD 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.261</v>
      </c>
      <c r="C104" s="40" t="str">
        <f>'Build Plan w Hours'!D24</f>
        <v>Miscellaneous Fabrication - Braces, Mounting Plates, Cone Outlet Necks_x000D_
MAKE VORTEX BREAKER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.300</v>
      </c>
      <c r="C110" s="40" t="str">
        <f>'Build Plan w Hours'!D25</f>
        <v>Wrap top and bottom heads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.QC3</v>
      </c>
      <c r="C116" s="40" t="str">
        <f>'Build Plan w Hours'!D26</f>
        <v>UT Shells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.305</v>
      </c>
      <c r="C122" s="40" t="str">
        <f>'Build Plan w Hours'!D27</f>
        <v>Shells: bring in plate, square, trim and clean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.315</v>
      </c>
      <c r="C128" s="40" t="str">
        <f>'Build Plan w Hours'!D28</f>
        <v>Roll shells, tack and weld inside seams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.355</v>
      </c>
      <c r="C140" s="40" t="str">
        <f>'Build Plan w Hours'!D30</f>
        <v>Lay out top head, burn and clean holes_x000D_
ON BURN TABLE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.365</v>
      </c>
      <c r="C146" s="40" t="str">
        <f>'Build Plan w Hours'!D31</f>
        <v>Set  nozzles, lift lugs, etc. in top head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.366</v>
      </c>
      <c r="C152" s="40" t="str">
        <f>'Build Plan w Hours'!D32</f>
        <v>Weld out top head nozzles, etc.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.370</v>
      </c>
      <c r="C158" s="40" t="str">
        <f>'Build Plan w Hours'!D33</f>
        <v>Install and weld out repads - top head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holes_x000D_
ON BURN TABLE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.465</v>
      </c>
      <c r="C176" s="40" t="str">
        <f>'Build Plan w Hours'!D36</f>
        <v>Set  nozzles in bottom head - tack_x000D_
INCL INLET PIPE &amp; VORTEX BREAKER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.466</v>
      </c>
      <c r="C182" s="40" t="str">
        <f>'Build Plan w Hours'!D37</f>
        <v>Weld nozzles in bottom head; weld complete_x000D_
INCL INLET PIPE &amp; VORTEX BREAKER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.630</v>
      </c>
      <c r="C206" s="40" t="str">
        <f>'Build Plan w Hours'!D41</f>
        <v>Install internals - wear plates, rings, clips, etc._x000D_
PIPE SUPPORTS &amp; CONE ASSEMBLY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seams_x000D_
INCL FULL PEN WELDS-FROM OUTSIDE FOR TOP &amp; BOT HEADS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(4) REPADS AND (4) LEGS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.765</v>
      </c>
      <c r="C260" s="40" t="str">
        <f>'Build Plan w Hours'!D50</f>
        <v>Install name tag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.770</v>
      </c>
      <c r="C266" s="40" t="str">
        <f>'Build Plan w Hours'!D51</f>
        <v>Inspect tank, make repairs, get QC inspector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.QC6</v>
      </c>
      <c r="C272" s="40" t="str">
        <f>'Build Plan w Hours'!D52</f>
        <v>QC Inspection - Fabrication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.OI2</v>
      </c>
      <c r="C278" s="40" t="str">
        <f>'Build Plan w Hours'!D53</f>
        <v>ASME Inspection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.OI3</v>
      </c>
      <c r="C302" s="40" t="str">
        <f>'Build Plan w Hours'!D57</f>
        <v>ASME Inspection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.802</v>
      </c>
      <c r="C320" s="40" t="str">
        <f>'Build Plan w Hours'!D60</f>
        <v>Move to paint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.QC9</v>
      </c>
      <c r="C326" s="40" t="str">
        <f>'Build Plan w Hours'!D61</f>
        <v>QC Inspection - Sandblast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.QC90</v>
      </c>
      <c r="C332" s="40" t="str">
        <f>'Build Plan w Hours'!D62</f>
        <v>QC Inspection - Paint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.940</v>
      </c>
      <c r="C338" s="40" t="str">
        <f>'Build Plan w Hours'!D63</f>
        <v>Prepare tank for shipment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2025-03-12T16:24:39Z</cp:lastPrinted>
  <dcterms:created xsi:type="dcterms:W3CDTF">2016-06-28T20:53:17Z</dcterms:created>
  <dcterms:modified xsi:type="dcterms:W3CDTF">2025-03-12T16:25:13Z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