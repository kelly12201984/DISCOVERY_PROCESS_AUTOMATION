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0-25 - Domtar DAF Filtrate Tank\"/>
    </mc:Choice>
  </mc:AlternateContent>
  <xr:revisionPtr revIDLastSave="0" documentId="8_{38589B2D-9D17-4103-B4AB-0622EC7D7D0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<sst xmlns="http://schemas.openxmlformats.org/spreadsheetml/2006/main" count="1714" uniqueCount="213">
  <si>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</si>
  <si>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</si>
  <si>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</si>
  <si>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</si>
  <si>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</si>
  <si>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</si>
  <si>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</si>
  <si>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</si>
  <si>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</si>
  <si>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</si>
  <si>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</si>
  <si>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</si>
  <si>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</si>
  <si>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</si>
  <si>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</si>
  <si>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</si>
  <si>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</si>
  <si>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</si>
  <si>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</si>
  <si>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</si>
  <si>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</si>
  <si>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</si>
  <si>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</si>
  <si>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</si>
  <si>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</si>
  <si>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</si>
  <si>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</si>
  <si>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</si>
  <si>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</si>
  <si>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</si>
  <si>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</si>
  <si>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</si>
  <si>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</si>
  <si>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</si>
  <si>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</si>
  <si>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</si>
  <si>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</si>
  <si>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</si>
  <si>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</si>
  <si>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</si>
  <si>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</si>
  <si>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</si>
  <si>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</si>
  <si>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</si>
  <si>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</si>
  <si>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</si>
  <si>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</si>
  <si>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</si>
  <si>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</si>
  <si>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</si>
  <si>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</si>
  <si>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</si>
  <si>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</si>
  <si>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</si>
  <si>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</si>
  <si>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</si>
  <si>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</si>
  <si>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</si>
  <si>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</si>
  <si>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</si>
  <si>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</si>
  <si>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</si>
  <si>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</si>
  <si>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</si>
  <si>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</si>
  <si>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</si>
  <si>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</si>
  <si>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</si>
  <si>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</si>
  <si>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</si>
  <si>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</si>
  <si>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</si>
  <si>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</si>
  <si>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</si>
  <si>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</si>
  <si>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</si>
  <si>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</si>
  <si>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</si>
  <si>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</si>
  <si>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</si>
  <si>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</si>
  <si>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</si>
  <si>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</si>
  <si>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</si>
  <si>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</si>
  <si>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</si>
  <si>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</si>
  <si>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</si>
  <si>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</si>
  <si>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</si>
  <si>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</si>
  <si>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S/U Weld MW Flg, Neck Sem</t>
  </si>
  <si>
    <t>.130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</si>
  <si>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</si>
  <si>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</si>
  <si>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</si>
  <si>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</si>
  <si>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</si>
  <si>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</si>
  <si>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</si>
  <si>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</si>
  <si>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</si>
  <si>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</si>
  <si>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</si>
  <si>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</si>
  <si>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</si>
  <si>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</si>
  <si>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</si>
  <si>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</si>
  <si>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</si>
  <si>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</si>
  <si>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</si>
  <si>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</si>
  <si>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</si>
  <si>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</si>
  <si>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</si>
  <si>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</si>
  <si>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</si>
  <si>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</si>
  <si>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</si>
  <si>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</si>
  <si>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</si>
  <si>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</si>
  <si>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</si>
  <si>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</si>
  <si>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</si>
  <si>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</si>
  <si>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</si>
  <si>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</si>
  <si>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</si>
  <si>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</si>
  <si>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</si>
  <si>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</si>
  <si>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</si>
  <si>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</si>
  <si>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</si>
  <si>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</si>
  <si>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</si>
  <si>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</si>
  <si>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</si>
  <si>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</si>
  <si>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</si>
  <si>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</si>
  <si>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</si>
  <si>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</si>
  <si>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</si>
  <si>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</si>
  <si>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</si>
  <si>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</si>
  <si>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</si>
  <si>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</si>
  <si>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</si>
  <si>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</si>
  <si>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</si>
  <si>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</si>
  <si>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</si>
  <si>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</si>
  <si>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</si>
  <si>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</si>
  <si>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</si>
  <si>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</si>
  <si>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</si>
  <si>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</si>
  <si>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</si>
  <si>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</si>
  <si>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</si>
  <si>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</si>
  <si>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Cut Parts on Burn Table</t>
  </si>
  <si>
    <t>Clean &amp; Prep Parts</t>
  </si>
  <si>
    <t>.156</t>
  </si>
  <si>
    <t>Build bottom head/cone</t>
  </si>
  <si>
    <t>Tack shell courses together</t>
  </si>
  <si>
    <t>Weld inside round seams</t>
  </si>
  <si>
    <t>Weld all Outside Seams</t>
  </si>
  <si>
    <t>.645</t>
  </si>
  <si>
    <t>Weld all outside seams</t>
  </si>
  <si>
    <t>DAF FILTRATE TANK</t>
  </si>
  <si>
    <t>4500817214</t>
  </si>
  <si>
    <t>9234.2</t>
  </si>
  <si>
    <t>00010</t>
  </si>
  <si>
    <t>Build nozzles and weld</t>
  </si>
  <si>
    <t>Build Repads for Nozzles</t>
  </si>
  <si>
    <t>.107</t>
  </si>
  <si>
    <t>Build Repads for Nozzles, drill and tap holes</t>
  </si>
  <si>
    <t>Roll manway neck_x000D_
INCL D1</t>
  </si>
  <si>
    <t>Set up and weld manway flange and neck seam_x000D_
INCL D1</t>
  </si>
  <si>
    <t>Build supports: legs, lugs, saddles_x000D_
TACK ONLY</t>
  </si>
  <si>
    <t>Make lift lugs, ground lugs, etc.</t>
  </si>
  <si>
    <t>Shells: bring in plate, square, trim and clean_x000D_
PREP (2) SHELLS</t>
  </si>
  <si>
    <t>Roll shells, tack and weld inside seams_x000D_
ROLL (2) SHELLS, WELD L/S WITH COBOT</t>
  </si>
  <si>
    <t>Lay out top head, burn and clean holes_x000D_
CUT ON BURN TABLE; CLEAN UP MILL SCALE</t>
  </si>
  <si>
    <t>Set  nozzles, lift lugs, etc. in top head - tack</t>
  </si>
  <si>
    <t>Weld out top head nozzles, etc.</t>
  </si>
  <si>
    <t>Install and weld out repads - top head</t>
  </si>
  <si>
    <t>Fit bottom head to shell_x000D_
AND WELD INSIDE &amp; OUTSIDE</t>
  </si>
  <si>
    <t>Lay out shell, burn and clean holes_x000D_
CUT ON BURN TABLE; CLEAN UP MILL SCALE</t>
  </si>
  <si>
    <t>Fit top head to shell - tack_x000D_
AND WELD TO RIM ANGLE</t>
  </si>
  <si>
    <t>Install lift lugs on shell_x000D_
INCL REPADS</t>
  </si>
  <si>
    <t>Set nozzles in shell - tack</t>
  </si>
  <si>
    <t>Weld shell nozzles, manways, etc._x000D_
INCL HOLE WATCH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</si>
  <si>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</si>
  <si>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</si>
  <si>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</si>
  <si>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</si>
  <si>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</si>
  <si>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</si>
  <si>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</si>
  <si>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</si>
  <si>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</si>
  <si>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</si>
  <si>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</si>
  <si>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</si>
  <si>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080-25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</si>
</sst>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D18" sqref="D1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DAF FILTRATE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9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neck_x000D_
INCL D1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seam_x000D_
INCL D1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15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.305</v>
      </c>
      <c r="D21" s="22" t="str">
        <f>'Sheet2-PASTE HERE!'!K31</f>
        <v>Shells: bring in plate, square, trim and clean_x000D_
PREP (2) SHELLS</v>
      </c>
      <c r="E21" s="13">
        <f>'Sheet2-PASTE HERE!'!F31</f>
        <v>5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.315</v>
      </c>
      <c r="D22" s="22" t="str">
        <f>'Sheet2-PASTE HERE!'!K32</f>
        <v>Roll shells, tack and weld inside seams_x000D_
ROLL (2) SHELLS, WELD L/S WITH COBOT</v>
      </c>
      <c r="E22" s="13">
        <f>'Sheet2-PASTE HERE!'!F32</f>
        <v>10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.350</v>
      </c>
      <c r="D23" s="22" t="str">
        <f>'Sheet2-PASTE HERE!'!K33</f>
        <v>Build top head/cone</v>
      </c>
      <c r="E23" s="13">
        <f>'Sheet2-PASTE HERE!'!F33</f>
        <v>12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.355</v>
      </c>
      <c r="D25" s="22" t="str">
        <f>'Sheet2-PASTE HERE!'!K35</f>
        <v>Lay out top head, burn and clean holes_x000D_
CUT ON BURN TABLE; CLEAN UP MILL SCALE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.365</v>
      </c>
      <c r="D26" s="22" t="str">
        <f>'Sheet2-PASTE HERE!'!K36</f>
        <v>Set  nozzles, lift lugs, etc. in top head - tack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.366</v>
      </c>
      <c r="D27" s="22" t="str">
        <f>'Sheet2-PASTE HERE!'!K37</f>
        <v>Weld out top head nozzles, etc.</v>
      </c>
      <c r="E27" s="13">
        <f>'Sheet2-PASTE HERE!'!F37</f>
        <v>8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.370</v>
      </c>
      <c r="D28" s="22" t="str">
        <f>'Sheet2-PASTE HERE!'!K38</f>
        <v>Install and weld out repads - top head</v>
      </c>
      <c r="E28" s="13">
        <f>'Sheet2-PASTE HERE!'!F38</f>
        <v>7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.450</v>
      </c>
      <c r="D29" s="22" t="str">
        <f>'Sheet2-PASTE HERE!'!K39</f>
        <v>Build bottom head/cone</v>
      </c>
      <c r="E29" s="13">
        <f>'Sheet2-PASTE HERE!'!F39</f>
        <v>8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AND WELD INSIDE &amp; OUTSIDE</v>
      </c>
      <c r="E31" s="13">
        <f>'Sheet2-PASTE HERE!'!F41</f>
        <v>12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.605</v>
      </c>
      <c r="D32" s="22" t="str">
        <f>'Sheet2-PASTE HERE!'!K42</f>
        <v>Tack shell courses together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.610</v>
      </c>
      <c r="D33" s="22" t="str">
        <f>'Sheet2-PASTE HERE!'!K43</f>
        <v>Weld inside round seams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4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CUT ON BURN TABLE; CLEAN UP MILL SCALE</v>
      </c>
      <c r="E36" s="13">
        <f>'Sheet2-PASTE HERE!'!F46</f>
        <v>4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9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shell_x000D_
INCL REPADS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.725</v>
      </c>
      <c r="D42" s="22" t="str">
        <f>'Sheet2-PASTE HERE!'!K52</f>
        <v>Set nozzles in shell - tack</v>
      </c>
      <c r="E42" s="13">
        <f>'Sheet2-PASTE HERE!'!F52</f>
        <v>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.726</v>
      </c>
      <c r="D43" s="22" t="str">
        <f>'Sheet2-PASTE HERE!'!K53</f>
        <v>Weld shell nozzles, manways, etc._x000D_
INCL HOLE WATCH</v>
      </c>
      <c r="E43" s="13">
        <f>'Sheet2-PASTE HERE!'!F53</f>
        <v>25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.765</v>
      </c>
      <c r="D44" s="22" t="str">
        <f>'Sheet2-PASTE HERE!'!K54</f>
        <v>Install name tag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.770</v>
      </c>
      <c r="D45" s="22" t="str">
        <f>'Sheet2-PASTE HERE!'!K55</f>
        <v>Inspect tank, make repairs, get QC inspector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.QC6</v>
      </c>
      <c r="D46" s="22" t="str">
        <f>'Sheet2-PASTE HERE!'!K56</f>
        <v>QC Inspection - Fabrication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.801</v>
      </c>
      <c r="D47" s="22" t="str">
        <f>'Sheet2-PASTE HERE!'!K57</f>
        <v>Move to shop test area</v>
      </c>
      <c r="E47" s="13">
        <f>'Sheet2-PASTE HERE!'!F57</f>
        <v>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.910</v>
      </c>
      <c r="D48" s="22" t="str">
        <f>'Sheet2-PASTE HERE!'!K58</f>
        <v>Test tank</v>
      </c>
      <c r="E48" s="13">
        <f>'Sheet2-PASTE HERE!'!F58</f>
        <v>12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.QC7</v>
      </c>
      <c r="D49" s="22" t="str">
        <f>'Sheet2-PASTE HERE!'!K59</f>
        <v>QC Inspection - Test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.OI3</v>
      </c>
      <c r="D50" s="22" t="str">
        <f>'Sheet2-PASTE HERE!'!K60</f>
        <v>ASME Inspection Test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1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.802</v>
      </c>
      <c r="D51" s="22" t="str">
        <f>'Sheet2-PASTE HERE!'!K61</f>
        <v>Move to paint area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</v>
      </c>
      <c r="D52" s="22" t="str">
        <f>'Sheet2-PASTE HERE!'!K62</f>
        <v>QC Inspection - Sandblast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.QC90</v>
      </c>
      <c r="D53" s="22" t="str">
        <f>'Sheet2-PASTE HERE!'!K63</f>
        <v>QC Inspection - Paint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.940</v>
      </c>
      <c r="D54" s="22" t="str">
        <f>'Sheet2-PASTE HERE!'!K64</f>
        <v>Prepare tank for shipment</v>
      </c>
      <c r="E54" s="13">
        <f>'Sheet2-PASTE HERE!'!F64</f>
        <v>2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.QC95</v>
      </c>
      <c r="D55" s="22" t="str">
        <f>'Sheet2-PASTE HERE!'!K65</f>
        <v>QC Inspection - Final &amp; Loose Items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SHIPPING</v>
      </c>
      <c r="B56" s="11"/>
      <c r="C56" s="17" t="str">
        <f>'Sheet2-PASTE HERE!'!I66</f>
        <v>.960</v>
      </c>
      <c r="D56" s="22" t="str">
        <f>'Sheet2-PASTE HERE!'!K66</f>
        <v>Load on truck</v>
      </c>
      <c r="E56" s="13">
        <f>'Sheet2-PASTE HERE!'!F66</f>
        <v>4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 t="str">
        <f>'Sheet2-PASTE HERE!'!F68</f>
        <v/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DAF FILTRATE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9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neck_x000D_
INCL D1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seam_x000D_
INCL D1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15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.305</v>
      </c>
      <c r="D21" s="22" t="str">
        <f>'Sheet2-PASTE HERE!'!K31</f>
        <v>Shells: bring in plate, square, trim and clean_x000D_
PREP (2) SHELLS</v>
      </c>
      <c r="E21" s="13">
        <f>'Sheet2-PASTE HERE!'!F31</f>
        <v>5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.315</v>
      </c>
      <c r="D22" s="22" t="str">
        <f>'Sheet2-PASTE HERE!'!K32</f>
        <v>Roll shells, tack and weld inside seams_x000D_
ROLL (2) SHELLS, WELD L/S WITH COBOT</v>
      </c>
      <c r="E22" s="13">
        <f>'Sheet2-PASTE HERE!'!F32</f>
        <v>10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.350</v>
      </c>
      <c r="D23" s="22" t="str">
        <f>'Sheet2-PASTE HERE!'!K33</f>
        <v>Build top head/cone</v>
      </c>
      <c r="E23" s="13">
        <f>'Sheet2-PASTE HERE!'!F33</f>
        <v>12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.355</v>
      </c>
      <c r="D25" s="22" t="str">
        <f>'Sheet2-PASTE HERE!'!K35</f>
        <v>Lay out top head, burn and clean holes_x000D_
CUT ON BURN TABLE; CLEAN UP MILL SCALE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.365</v>
      </c>
      <c r="D26" s="22" t="str">
        <f>'Sheet2-PASTE HERE!'!K36</f>
        <v>Set  nozzles, lift lugs, etc. in top head - tack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.366</v>
      </c>
      <c r="D27" s="22" t="str">
        <f>'Sheet2-PASTE HERE!'!K37</f>
        <v>Weld out top head nozzles, etc.</v>
      </c>
      <c r="E27" s="13">
        <f>'Sheet2-PASTE HERE!'!F37</f>
        <v>8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.370</v>
      </c>
      <c r="D28" s="22" t="str">
        <f>'Sheet2-PASTE HERE!'!K38</f>
        <v>Install and weld out repads - top head</v>
      </c>
      <c r="E28" s="13">
        <f>'Sheet2-PASTE HERE!'!F38</f>
        <v>7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.450</v>
      </c>
      <c r="D29" s="22" t="str">
        <f>'Sheet2-PASTE HERE!'!K39</f>
        <v>Build bottom head/cone</v>
      </c>
      <c r="E29" s="13">
        <f>'Sheet2-PASTE HERE!'!F39</f>
        <v>8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AND WELD INSIDE &amp; OUTSIDE</v>
      </c>
      <c r="E31" s="13">
        <f>'Sheet2-PASTE HERE!'!F41</f>
        <v>12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.605</v>
      </c>
      <c r="D32" s="22" t="str">
        <f>'Sheet2-PASTE HERE!'!K42</f>
        <v>Tack shell courses together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.610</v>
      </c>
      <c r="D33" s="22" t="str">
        <f>'Sheet2-PASTE HERE!'!K43</f>
        <v>Weld inside round seams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4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CUT ON BURN TABLE; CLEAN UP MILL SCALE</v>
      </c>
      <c r="E36" s="13">
        <f>'Sheet2-PASTE HERE!'!F46</f>
        <v>4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9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shell_x000D_
INCL REPADS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.725</v>
      </c>
      <c r="D42" s="22" t="str">
        <f>'Sheet2-PASTE HERE!'!K52</f>
        <v>Set nozzles in shell - tack</v>
      </c>
      <c r="E42" s="13">
        <f>'Sheet2-PASTE HERE!'!F52</f>
        <v>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.726</v>
      </c>
      <c r="D43" s="22" t="str">
        <f>'Sheet2-PASTE HERE!'!K53</f>
        <v>Weld shell nozzles, manways, etc._x000D_
INCL HOLE WATCH</v>
      </c>
      <c r="E43" s="13">
        <f>'Sheet2-PASTE HERE!'!F53</f>
        <v>25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.765</v>
      </c>
      <c r="D44" s="22" t="str">
        <f>'Sheet2-PASTE HERE!'!K54</f>
        <v>Install name tag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.770</v>
      </c>
      <c r="D45" s="22" t="str">
        <f>'Sheet2-PASTE HERE!'!K55</f>
        <v>Inspect tank, make repairs, get QC inspector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.QC6</v>
      </c>
      <c r="D46" s="22" t="str">
        <f>'Sheet2-PASTE HERE!'!K56</f>
        <v>QC Inspection - Fabrication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.801</v>
      </c>
      <c r="D47" s="22" t="str">
        <f>'Sheet2-PASTE HERE!'!K57</f>
        <v>Move to shop test area</v>
      </c>
      <c r="E47" s="13">
        <f>'Sheet2-PASTE HERE!'!F57</f>
        <v>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.910</v>
      </c>
      <c r="D48" s="22" t="str">
        <f>'Sheet2-PASTE HERE!'!K58</f>
        <v>Test tank</v>
      </c>
      <c r="E48" s="13">
        <f>'Sheet2-PASTE HERE!'!F58</f>
        <v>12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.QC7</v>
      </c>
      <c r="D49" s="22" t="str">
        <f>'Sheet2-PASTE HERE!'!K59</f>
        <v>QC Inspection - Test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.OI3</v>
      </c>
      <c r="D50" s="22" t="str">
        <f>'Sheet2-PASTE HERE!'!K60</f>
        <v>ASME Inspection Test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1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.802</v>
      </c>
      <c r="D51" s="22" t="str">
        <f>'Sheet2-PASTE HERE!'!K61</f>
        <v>Move to paint area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</v>
      </c>
      <c r="D52" s="22" t="str">
        <f>'Sheet2-PASTE HERE!'!K62</f>
        <v>QC Inspection - Sandblast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.QC90</v>
      </c>
      <c r="D53" s="22" t="str">
        <f>'Sheet2-PASTE HERE!'!K63</f>
        <v>QC Inspection - Paint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.940</v>
      </c>
      <c r="D54" s="22" t="str">
        <f>'Sheet2-PASTE HERE!'!K64</f>
        <v>Prepare tank for shipment</v>
      </c>
      <c r="E54" s="13">
        <f>'Sheet2-PASTE HERE!'!F64</f>
        <v>2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.QC95</v>
      </c>
      <c r="D55" s="22" t="str">
        <f>'Sheet2-PASTE HERE!'!K65</f>
        <v>QC Inspection - Final &amp; Loose Items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SHIPPING</v>
      </c>
      <c r="B56" s="11"/>
      <c r="C56" s="17" t="str">
        <f>'Sheet2-PASTE HERE!'!I66</f>
        <v>.960</v>
      </c>
      <c r="D56" s="22" t="str">
        <f>'Sheet2-PASTE HERE!'!K66</f>
        <v>Load on truck</v>
      </c>
      <c r="E56" s="13">
        <f>'Sheet2-PASTE HERE!'!F66</f>
        <v>4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 t="str">
        <f>'Sheet2-PASTE HERE!'!F68</f>
        <v/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176</v>
      </c>
      <c r="C1" s="8" t="s">
        <v>17</v>
      </c>
      <c r="D1" s="8" t="s">
        <v>177</v>
      </c>
      <c r="E1" s="8" t="s">
        <v>18</v>
      </c>
      <c r="F1" s="8" t="s">
        <v>178</v>
      </c>
      <c r="G1" s="8" t="s">
        <v>176</v>
      </c>
      <c r="H1" s="8" t="s">
        <v>20</v>
      </c>
      <c r="I1" s="8" t="s">
        <v>179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45835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236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54471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54472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54473</v>
      </c>
      <c r="C17" s="19">
        <v>0</v>
      </c>
      <c r="D17" s="8" t="s">
        <v>57</v>
      </c>
      <c r="E17" s="20">
        <v>0</v>
      </c>
      <c r="F17" s="20">
        <v>6</v>
      </c>
      <c r="G17" s="8" t="s">
        <v>54</v>
      </c>
      <c r="H17" s="20">
        <v>6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54474</v>
      </c>
      <c r="C18" s="19">
        <v>0</v>
      </c>
      <c r="D18" s="8" t="s">
        <v>81</v>
      </c>
      <c r="E18" s="20">
        <v>0</v>
      </c>
      <c r="F18" s="20">
        <v>9</v>
      </c>
      <c r="G18" s="8" t="s">
        <v>54</v>
      </c>
      <c r="H18" s="20">
        <v>9</v>
      </c>
      <c r="I18" s="8" t="s">
        <v>82</v>
      </c>
      <c r="J18" s="19">
        <v>0</v>
      </c>
      <c r="K18" s="8" t="s">
        <v>180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54475</v>
      </c>
      <c r="C19" s="19">
        <v>0</v>
      </c>
      <c r="D19" s="8" t="s">
        <v>181</v>
      </c>
      <c r="E19" s="20">
        <v>0</v>
      </c>
      <c r="F19" s="20">
        <v>5</v>
      </c>
      <c r="G19" s="8" t="s">
        <v>54</v>
      </c>
      <c r="H19" s="20">
        <v>5</v>
      </c>
      <c r="I19" s="8" t="s">
        <v>182</v>
      </c>
      <c r="J19" s="19">
        <v>0</v>
      </c>
      <c r="K19" s="8" t="s">
        <v>183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54476</v>
      </c>
      <c r="C20" s="19">
        <v>0</v>
      </c>
      <c r="D20" s="8" t="s">
        <v>83</v>
      </c>
      <c r="E20" s="20">
        <v>0</v>
      </c>
      <c r="F20" s="20">
        <v>2</v>
      </c>
      <c r="G20" s="8" t="s">
        <v>54</v>
      </c>
      <c r="H20" s="20">
        <v>2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54477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54478</v>
      </c>
      <c r="C22" s="19">
        <v>0</v>
      </c>
      <c r="D22" s="8" t="s">
        <v>89</v>
      </c>
      <c r="E22" s="20">
        <v>0</v>
      </c>
      <c r="F22" s="20">
        <v>3</v>
      </c>
      <c r="G22" s="8" t="s">
        <v>54</v>
      </c>
      <c r="H22" s="20">
        <v>3</v>
      </c>
      <c r="I22" s="8" t="s">
        <v>90</v>
      </c>
      <c r="J22" s="19">
        <v>0</v>
      </c>
      <c r="K22" s="8" t="s">
        <v>184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54479</v>
      </c>
      <c r="C23" s="19">
        <v>0</v>
      </c>
      <c r="D23" s="8" t="s">
        <v>91</v>
      </c>
      <c r="E23" s="20">
        <v>0</v>
      </c>
      <c r="F23" s="20">
        <v>6</v>
      </c>
      <c r="G23" s="8" t="s">
        <v>54</v>
      </c>
      <c r="H23" s="20">
        <v>6</v>
      </c>
      <c r="I23" s="8" t="s">
        <v>92</v>
      </c>
      <c r="J23" s="19">
        <v>0</v>
      </c>
      <c r="K23" s="8" t="s">
        <v>185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54480</v>
      </c>
      <c r="C24" s="19">
        <v>0</v>
      </c>
      <c r="D24" s="8" t="s">
        <v>93</v>
      </c>
      <c r="E24" s="20">
        <v>0</v>
      </c>
      <c r="F24" s="20">
        <v>3</v>
      </c>
      <c r="G24" s="8" t="s">
        <v>54</v>
      </c>
      <c r="H24" s="20">
        <v>3</v>
      </c>
      <c r="I24" s="8" t="s">
        <v>94</v>
      </c>
      <c r="J24" s="19">
        <v>0</v>
      </c>
      <c r="K24" s="8" t="s">
        <v>95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54481</v>
      </c>
      <c r="C25" s="19">
        <v>0</v>
      </c>
      <c r="D25" s="8" t="s">
        <v>167</v>
      </c>
      <c r="E25" s="20">
        <v>0</v>
      </c>
      <c r="F25" s="20">
        <v>15</v>
      </c>
      <c r="G25" s="8" t="s">
        <v>54</v>
      </c>
      <c r="H25" s="20">
        <v>15</v>
      </c>
      <c r="I25" s="8" t="s">
        <v>59</v>
      </c>
      <c r="J25" s="19">
        <v>0</v>
      </c>
      <c r="K25" s="8" t="s">
        <v>96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54482</v>
      </c>
      <c r="C26" s="19">
        <v>0</v>
      </c>
      <c r="D26" s="8" t="s">
        <v>168</v>
      </c>
      <c r="E26" s="20">
        <v>0</v>
      </c>
      <c r="F26" s="20">
        <v>15</v>
      </c>
      <c r="G26" s="8" t="s">
        <v>54</v>
      </c>
      <c r="H26" s="20">
        <v>15</v>
      </c>
      <c r="I26" s="8" t="s">
        <v>169</v>
      </c>
      <c r="J26" s="19">
        <v>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54483</v>
      </c>
      <c r="C27" s="19">
        <v>0</v>
      </c>
      <c r="D27" s="8" t="s">
        <v>60</v>
      </c>
      <c r="E27" s="20">
        <v>0</v>
      </c>
      <c r="F27" s="20">
        <v>3</v>
      </c>
      <c r="G27" s="8" t="s">
        <v>54</v>
      </c>
      <c r="H27" s="20">
        <v>3</v>
      </c>
      <c r="I27" s="8" t="s">
        <v>61</v>
      </c>
      <c r="J27" s="19">
        <v>0</v>
      </c>
      <c r="K27" s="8" t="s">
        <v>186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54484</v>
      </c>
      <c r="C28" s="19">
        <v>0</v>
      </c>
      <c r="D28" s="8" t="s">
        <v>97</v>
      </c>
      <c r="E28" s="20">
        <v>0</v>
      </c>
      <c r="F28" s="20">
        <v>1</v>
      </c>
      <c r="G28" s="8" t="s">
        <v>54</v>
      </c>
      <c r="H28" s="20">
        <v>1</v>
      </c>
      <c r="I28" s="8" t="s">
        <v>98</v>
      </c>
      <c r="J28" s="19">
        <v>0</v>
      </c>
      <c r="K28" s="8" t="s">
        <v>187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54485</v>
      </c>
      <c r="C29" s="19">
        <v>0</v>
      </c>
      <c r="D29" s="8" t="s">
        <v>151</v>
      </c>
      <c r="E29" s="20">
        <v>0</v>
      </c>
      <c r="F29" s="20">
        <v>3</v>
      </c>
      <c r="G29" s="8" t="s">
        <v>54</v>
      </c>
      <c r="H29" s="20">
        <v>3</v>
      </c>
      <c r="I29" s="8" t="s">
        <v>152</v>
      </c>
      <c r="J29" s="19">
        <v>0</v>
      </c>
      <c r="K29" s="8" t="s">
        <v>153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54486</v>
      </c>
      <c r="C30" s="19">
        <v>0</v>
      </c>
      <c r="D30" s="8" t="s">
        <v>99</v>
      </c>
      <c r="E30" s="20">
        <v>0</v>
      </c>
      <c r="F30" s="20">
        <v>0</v>
      </c>
      <c r="G30" s="8" t="s">
        <v>54</v>
      </c>
      <c r="H30" s="20">
        <v>0</v>
      </c>
      <c r="I30" s="8" t="s">
        <v>100</v>
      </c>
      <c r="J30" s="19">
        <v>0</v>
      </c>
      <c r="K30" s="8" t="s">
        <v>99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54487</v>
      </c>
      <c r="C31" s="19">
        <v>0</v>
      </c>
      <c r="D31" s="8" t="s">
        <v>101</v>
      </c>
      <c r="E31" s="20">
        <v>0</v>
      </c>
      <c r="F31" s="20">
        <v>5</v>
      </c>
      <c r="G31" s="8" t="s">
        <v>54</v>
      </c>
      <c r="H31" s="20">
        <v>5</v>
      </c>
      <c r="I31" s="8" t="s">
        <v>102</v>
      </c>
      <c r="J31" s="19">
        <v>0</v>
      </c>
      <c r="K31" s="8" t="s">
        <v>188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54488</v>
      </c>
      <c r="C32" s="19">
        <v>0</v>
      </c>
      <c r="D32" s="8" t="s">
        <v>103</v>
      </c>
      <c r="E32" s="20">
        <v>0</v>
      </c>
      <c r="F32" s="20">
        <v>10</v>
      </c>
      <c r="G32" s="8" t="s">
        <v>54</v>
      </c>
      <c r="H32" s="20">
        <v>10</v>
      </c>
      <c r="I32" s="8" t="s">
        <v>104</v>
      </c>
      <c r="J32" s="19">
        <v>0</v>
      </c>
      <c r="K32" s="8" t="s">
        <v>189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54489</v>
      </c>
      <c r="C33" s="19">
        <v>0</v>
      </c>
      <c r="D33" s="8" t="s">
        <v>154</v>
      </c>
      <c r="E33" s="20">
        <v>0</v>
      </c>
      <c r="F33" s="20">
        <v>12</v>
      </c>
      <c r="G33" s="8" t="s">
        <v>54</v>
      </c>
      <c r="H33" s="20">
        <v>12</v>
      </c>
      <c r="I33" s="8" t="s">
        <v>155</v>
      </c>
      <c r="J33" s="19">
        <v>0</v>
      </c>
      <c r="K33" s="8" t="s">
        <v>156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54490</v>
      </c>
      <c r="C34" s="19">
        <v>0</v>
      </c>
      <c r="D34" s="8" t="s">
        <v>105</v>
      </c>
      <c r="E34" s="20">
        <v>0</v>
      </c>
      <c r="F34" s="20">
        <v>0</v>
      </c>
      <c r="G34" s="8" t="s">
        <v>54</v>
      </c>
      <c r="H34" s="20">
        <v>0</v>
      </c>
      <c r="I34" s="8" t="s">
        <v>106</v>
      </c>
      <c r="J34" s="19">
        <v>0</v>
      </c>
      <c r="K34" s="8" t="s">
        <v>107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54491</v>
      </c>
      <c r="C35" s="19">
        <v>0</v>
      </c>
      <c r="D35" s="8" t="s">
        <v>108</v>
      </c>
      <c r="E35" s="20">
        <v>0</v>
      </c>
      <c r="F35" s="20">
        <v>4</v>
      </c>
      <c r="G35" s="8" t="s">
        <v>54</v>
      </c>
      <c r="H35" s="20">
        <v>4</v>
      </c>
      <c r="I35" s="8" t="s">
        <v>109</v>
      </c>
      <c r="J35" s="19">
        <v>0</v>
      </c>
      <c r="K35" s="8" t="s">
        <v>190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54492</v>
      </c>
      <c r="C36" s="19">
        <v>0</v>
      </c>
      <c r="D36" s="8" t="s">
        <v>110</v>
      </c>
      <c r="E36" s="20">
        <v>0</v>
      </c>
      <c r="F36" s="20">
        <v>4</v>
      </c>
      <c r="G36" s="8" t="s">
        <v>54</v>
      </c>
      <c r="H36" s="20">
        <v>4</v>
      </c>
      <c r="I36" s="8" t="s">
        <v>111</v>
      </c>
      <c r="J36" s="19">
        <v>0</v>
      </c>
      <c r="K36" s="8" t="s">
        <v>191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54493</v>
      </c>
      <c r="C37" s="19">
        <v>0</v>
      </c>
      <c r="D37" s="8" t="s">
        <v>112</v>
      </c>
      <c r="E37" s="20">
        <v>0</v>
      </c>
      <c r="F37" s="20">
        <v>8</v>
      </c>
      <c r="G37" s="8" t="s">
        <v>54</v>
      </c>
      <c r="H37" s="20">
        <v>8</v>
      </c>
      <c r="I37" s="8" t="s">
        <v>113</v>
      </c>
      <c r="J37" s="19">
        <v>0</v>
      </c>
      <c r="K37" s="8" t="s">
        <v>192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54494</v>
      </c>
      <c r="C38" s="19">
        <v>0</v>
      </c>
      <c r="D38" s="8" t="s">
        <v>157</v>
      </c>
      <c r="E38" s="20">
        <v>0</v>
      </c>
      <c r="F38" s="20">
        <v>7</v>
      </c>
      <c r="G38" s="8" t="s">
        <v>54</v>
      </c>
      <c r="H38" s="20">
        <v>7</v>
      </c>
      <c r="I38" s="8" t="s">
        <v>158</v>
      </c>
      <c r="J38" s="19">
        <v>0</v>
      </c>
      <c r="K38" s="8" t="s">
        <v>193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54495</v>
      </c>
      <c r="C39" s="19">
        <v>0</v>
      </c>
      <c r="D39" s="8" t="s">
        <v>159</v>
      </c>
      <c r="E39" s="20">
        <v>0</v>
      </c>
      <c r="F39" s="20">
        <v>8</v>
      </c>
      <c r="G39" s="8" t="s">
        <v>54</v>
      </c>
      <c r="H39" s="20">
        <v>8</v>
      </c>
      <c r="I39" s="8" t="s">
        <v>160</v>
      </c>
      <c r="J39" s="19">
        <v>0</v>
      </c>
      <c r="K39" s="8" t="s">
        <v>170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54496</v>
      </c>
      <c r="C40" s="19">
        <v>0</v>
      </c>
      <c r="D40" s="8" t="s">
        <v>105</v>
      </c>
      <c r="E40" s="20">
        <v>0</v>
      </c>
      <c r="F40" s="20">
        <v>0</v>
      </c>
      <c r="G40" s="8" t="s">
        <v>54</v>
      </c>
      <c r="H40" s="20">
        <v>0</v>
      </c>
      <c r="I40" s="8" t="s">
        <v>106</v>
      </c>
      <c r="J40" s="19">
        <v>0</v>
      </c>
      <c r="K40" s="8" t="s">
        <v>107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54497</v>
      </c>
      <c r="C41" s="19">
        <v>0</v>
      </c>
      <c r="D41" s="8" t="s">
        <v>114</v>
      </c>
      <c r="E41" s="20">
        <v>0</v>
      </c>
      <c r="F41" s="20">
        <v>12</v>
      </c>
      <c r="G41" s="8" t="s">
        <v>54</v>
      </c>
      <c r="H41" s="20">
        <v>12</v>
      </c>
      <c r="I41" s="8" t="s">
        <v>115</v>
      </c>
      <c r="J41" s="19">
        <v>0</v>
      </c>
      <c r="K41" s="8" t="s">
        <v>194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54498</v>
      </c>
      <c r="C42" s="19">
        <v>0</v>
      </c>
      <c r="D42" s="8" t="s">
        <v>116</v>
      </c>
      <c r="E42" s="20">
        <v>0</v>
      </c>
      <c r="F42" s="20">
        <v>3</v>
      </c>
      <c r="G42" s="8" t="s">
        <v>54</v>
      </c>
      <c r="H42" s="20">
        <v>3</v>
      </c>
      <c r="I42" s="8" t="s">
        <v>117</v>
      </c>
      <c r="J42" s="19">
        <v>0</v>
      </c>
      <c r="K42" s="8" t="s">
        <v>171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54499</v>
      </c>
      <c r="C43" s="19">
        <v>0</v>
      </c>
      <c r="D43" s="8" t="s">
        <v>118</v>
      </c>
      <c r="E43" s="20">
        <v>0</v>
      </c>
      <c r="F43" s="20">
        <v>3</v>
      </c>
      <c r="G43" s="8" t="s">
        <v>54</v>
      </c>
      <c r="H43" s="20">
        <v>3</v>
      </c>
      <c r="I43" s="8" t="s">
        <v>119</v>
      </c>
      <c r="J43" s="19">
        <v>0</v>
      </c>
      <c r="K43" s="8" t="s">
        <v>172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54500</v>
      </c>
      <c r="C44" s="19">
        <v>0</v>
      </c>
      <c r="D44" s="8" t="s">
        <v>161</v>
      </c>
      <c r="E44" s="20">
        <v>0</v>
      </c>
      <c r="F44" s="20">
        <v>4</v>
      </c>
      <c r="G44" s="8" t="s">
        <v>54</v>
      </c>
      <c r="H44" s="20">
        <v>4</v>
      </c>
      <c r="I44" s="8" t="s">
        <v>162</v>
      </c>
      <c r="J44" s="19">
        <v>0</v>
      </c>
      <c r="K44" s="8" t="s">
        <v>163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54501</v>
      </c>
      <c r="C45" s="19">
        <v>0</v>
      </c>
      <c r="D45" s="8" t="s">
        <v>164</v>
      </c>
      <c r="E45" s="20">
        <v>0</v>
      </c>
      <c r="F45" s="20">
        <v>6</v>
      </c>
      <c r="G45" s="8" t="s">
        <v>54</v>
      </c>
      <c r="H45" s="20">
        <v>6</v>
      </c>
      <c r="I45" s="8" t="s">
        <v>165</v>
      </c>
      <c r="J45" s="19">
        <v>0</v>
      </c>
      <c r="K45" s="8" t="s">
        <v>166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54502</v>
      </c>
      <c r="C46" s="19">
        <v>0</v>
      </c>
      <c r="D46" s="8" t="s">
        <v>120</v>
      </c>
      <c r="E46" s="20">
        <v>0</v>
      </c>
      <c r="F46" s="20">
        <v>4</v>
      </c>
      <c r="G46" s="8" t="s">
        <v>54</v>
      </c>
      <c r="H46" s="20">
        <v>4</v>
      </c>
      <c r="I46" s="8" t="s">
        <v>121</v>
      </c>
      <c r="J46" s="19">
        <v>0</v>
      </c>
      <c r="K46" s="8" t="s">
        <v>195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54503</v>
      </c>
      <c r="C47" s="19">
        <v>0</v>
      </c>
      <c r="D47" s="8" t="s">
        <v>122</v>
      </c>
      <c r="E47" s="20">
        <v>0</v>
      </c>
      <c r="F47" s="20">
        <v>0</v>
      </c>
      <c r="G47" s="8" t="s">
        <v>54</v>
      </c>
      <c r="H47" s="20">
        <v>0</v>
      </c>
      <c r="I47" s="8" t="s">
        <v>123</v>
      </c>
      <c r="J47" s="19">
        <v>0</v>
      </c>
      <c r="K47" s="8" t="s">
        <v>122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54504</v>
      </c>
      <c r="C48" s="19">
        <v>0</v>
      </c>
      <c r="D48" s="8" t="s">
        <v>124</v>
      </c>
      <c r="E48" s="20">
        <v>0</v>
      </c>
      <c r="F48" s="20">
        <v>9</v>
      </c>
      <c r="G48" s="8" t="s">
        <v>54</v>
      </c>
      <c r="H48" s="20">
        <v>9</v>
      </c>
      <c r="I48" s="8" t="s">
        <v>125</v>
      </c>
      <c r="J48" s="19">
        <v>0</v>
      </c>
      <c r="K48" s="8" t="s">
        <v>196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54505</v>
      </c>
      <c r="C49" s="19">
        <v>0</v>
      </c>
      <c r="D49" s="8" t="s">
        <v>173</v>
      </c>
      <c r="E49" s="20">
        <v>0</v>
      </c>
      <c r="F49" s="20">
        <v>4</v>
      </c>
      <c r="G49" s="8" t="s">
        <v>54</v>
      </c>
      <c r="H49" s="20">
        <v>4</v>
      </c>
      <c r="I49" s="8" t="s">
        <v>174</v>
      </c>
      <c r="J49" s="19">
        <v>0</v>
      </c>
      <c r="K49" s="8" t="s">
        <v>175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126</v>
      </c>
      <c r="B50" s="18">
        <v>54506</v>
      </c>
      <c r="C50" s="19">
        <v>0</v>
      </c>
      <c r="D50" s="8" t="s">
        <v>127</v>
      </c>
      <c r="E50" s="20">
        <v>0</v>
      </c>
      <c r="F50" s="20">
        <v>2</v>
      </c>
      <c r="G50" s="8" t="s">
        <v>54</v>
      </c>
      <c r="H50" s="20">
        <v>2</v>
      </c>
      <c r="I50" s="8" t="s">
        <v>128</v>
      </c>
      <c r="J50" s="19">
        <v>0</v>
      </c>
      <c r="K50" s="8" t="s">
        <v>129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54507</v>
      </c>
      <c r="C51" s="19">
        <v>0</v>
      </c>
      <c r="D51" s="8" t="s">
        <v>62</v>
      </c>
      <c r="E51" s="20">
        <v>0</v>
      </c>
      <c r="F51" s="20">
        <v>3</v>
      </c>
      <c r="G51" s="8" t="s">
        <v>54</v>
      </c>
      <c r="H51" s="20">
        <v>3</v>
      </c>
      <c r="I51" s="8" t="s">
        <v>63</v>
      </c>
      <c r="J51" s="19">
        <v>0</v>
      </c>
      <c r="K51" s="8" t="s">
        <v>197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54508</v>
      </c>
      <c r="C52" s="19">
        <v>0</v>
      </c>
      <c r="D52" s="8" t="s">
        <v>130</v>
      </c>
      <c r="E52" s="20">
        <v>0</v>
      </c>
      <c r="F52" s="20">
        <v>6</v>
      </c>
      <c r="G52" s="8" t="s">
        <v>54</v>
      </c>
      <c r="H52" s="20">
        <v>6</v>
      </c>
      <c r="I52" s="8" t="s">
        <v>131</v>
      </c>
      <c r="J52" s="19">
        <v>0</v>
      </c>
      <c r="K52" s="8" t="s">
        <v>198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54509</v>
      </c>
      <c r="C53" s="19">
        <v>0</v>
      </c>
      <c r="D53" s="8" t="s">
        <v>132</v>
      </c>
      <c r="E53" s="20">
        <v>0</v>
      </c>
      <c r="F53" s="20">
        <v>25</v>
      </c>
      <c r="G53" s="8" t="s">
        <v>54</v>
      </c>
      <c r="H53" s="20">
        <v>25</v>
      </c>
      <c r="I53" s="8" t="s">
        <v>133</v>
      </c>
      <c r="J53" s="19">
        <v>0</v>
      </c>
      <c r="K53" s="8" t="s">
        <v>199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64</v>
      </c>
      <c r="B54" s="18">
        <v>54510</v>
      </c>
      <c r="C54" s="19">
        <v>0</v>
      </c>
      <c r="D54" s="8" t="s">
        <v>134</v>
      </c>
      <c r="E54" s="20">
        <v>0</v>
      </c>
      <c r="F54" s="20">
        <v>1</v>
      </c>
      <c r="G54" s="8" t="s">
        <v>54</v>
      </c>
      <c r="H54" s="20">
        <v>1</v>
      </c>
      <c r="I54" s="8" t="s">
        <v>135</v>
      </c>
      <c r="J54" s="19">
        <v>0</v>
      </c>
      <c r="K54" s="8" t="s">
        <v>136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54511</v>
      </c>
      <c r="C55" s="19">
        <v>0</v>
      </c>
      <c r="D55" s="8" t="s">
        <v>137</v>
      </c>
      <c r="E55" s="20">
        <v>0</v>
      </c>
      <c r="F55" s="20">
        <v>1</v>
      </c>
      <c r="G55" s="8" t="s">
        <v>54</v>
      </c>
      <c r="H55" s="20">
        <v>1</v>
      </c>
      <c r="I55" s="8" t="s">
        <v>138</v>
      </c>
      <c r="J55" s="19">
        <v>0</v>
      </c>
      <c r="K55" s="8" t="s">
        <v>139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54512</v>
      </c>
      <c r="C56" s="19">
        <v>0</v>
      </c>
      <c r="D56" s="8" t="s">
        <v>140</v>
      </c>
      <c r="E56" s="20">
        <v>0</v>
      </c>
      <c r="F56" s="20">
        <v>0</v>
      </c>
      <c r="G56" s="8" t="s">
        <v>54</v>
      </c>
      <c r="H56" s="20">
        <v>0</v>
      </c>
      <c r="I56" s="8" t="s">
        <v>141</v>
      </c>
      <c r="J56" s="19">
        <v>0</v>
      </c>
      <c r="K56" s="8" t="s">
        <v>142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126</v>
      </c>
      <c r="B57" s="18">
        <v>54513</v>
      </c>
      <c r="C57" s="19">
        <v>0</v>
      </c>
      <c r="D57" s="8" t="s">
        <v>143</v>
      </c>
      <c r="E57" s="20">
        <v>0</v>
      </c>
      <c r="F57" s="20">
        <v>2</v>
      </c>
      <c r="G57" s="8" t="s">
        <v>54</v>
      </c>
      <c r="H57" s="20">
        <v>2</v>
      </c>
      <c r="I57" s="8" t="s">
        <v>144</v>
      </c>
      <c r="J57" s="19">
        <v>0</v>
      </c>
      <c r="K57" s="8" t="s">
        <v>145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64</v>
      </c>
      <c r="B58" s="18">
        <v>54514</v>
      </c>
      <c r="C58" s="19">
        <v>0</v>
      </c>
      <c r="D58" s="8" t="s">
        <v>146</v>
      </c>
      <c r="E58" s="20">
        <v>0</v>
      </c>
      <c r="F58" s="20">
        <v>12</v>
      </c>
      <c r="G58" s="8" t="s">
        <v>54</v>
      </c>
      <c r="H58" s="20">
        <v>12</v>
      </c>
      <c r="I58" s="8" t="s">
        <v>147</v>
      </c>
      <c r="J58" s="19">
        <v>0</v>
      </c>
      <c r="K58" s="8" t="s">
        <v>148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54515</v>
      </c>
      <c r="C59" s="19">
        <v>0</v>
      </c>
      <c r="D59" s="8" t="s">
        <v>149</v>
      </c>
      <c r="E59" s="20">
        <v>0</v>
      </c>
      <c r="F59" s="20">
        <v>0</v>
      </c>
      <c r="G59" s="8" t="s">
        <v>54</v>
      </c>
      <c r="H59" s="20">
        <v>0</v>
      </c>
      <c r="I59" s="8" t="s">
        <v>150</v>
      </c>
      <c r="J59" s="19">
        <v>0</v>
      </c>
      <c r="K59" s="8" t="s">
        <v>149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54516</v>
      </c>
      <c r="C60" s="19">
        <v>0</v>
      </c>
      <c r="D60" s="8" t="s">
        <v>200</v>
      </c>
      <c r="E60" s="20">
        <v>0</v>
      </c>
      <c r="F60" s="20">
        <v>0</v>
      </c>
      <c r="G60" s="8" t="s">
        <v>54</v>
      </c>
      <c r="H60" s="20">
        <v>0</v>
      </c>
      <c r="I60" s="8" t="s">
        <v>201</v>
      </c>
      <c r="J60" s="19">
        <v>0</v>
      </c>
      <c r="K60" s="8" t="s">
        <v>200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126</v>
      </c>
      <c r="B61" s="18">
        <v>54517</v>
      </c>
      <c r="C61" s="19">
        <v>0</v>
      </c>
      <c r="D61" s="8" t="s">
        <v>202</v>
      </c>
      <c r="E61" s="20">
        <v>0</v>
      </c>
      <c r="F61" s="20">
        <v>2</v>
      </c>
      <c r="G61" s="8" t="s">
        <v>54</v>
      </c>
      <c r="H61" s="20">
        <v>2</v>
      </c>
      <c r="I61" s="8" t="s">
        <v>203</v>
      </c>
      <c r="J61" s="19">
        <v>0</v>
      </c>
      <c r="K61" s="8" t="s">
        <v>204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54518</v>
      </c>
      <c r="C62" s="19">
        <v>0</v>
      </c>
      <c r="D62" s="8" t="s">
        <v>205</v>
      </c>
      <c r="E62" s="20">
        <v>0</v>
      </c>
      <c r="F62" s="20">
        <v>0</v>
      </c>
      <c r="G62" s="8" t="s">
        <v>54</v>
      </c>
      <c r="H62" s="20">
        <v>0</v>
      </c>
      <c r="I62" s="8" t="s">
        <v>206</v>
      </c>
      <c r="J62" s="19">
        <v>0</v>
      </c>
      <c r="K62" s="8" t="s">
        <v>205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54519</v>
      </c>
      <c r="C63" s="19">
        <v>0</v>
      </c>
      <c r="D63" s="8" t="s">
        <v>207</v>
      </c>
      <c r="E63" s="20">
        <v>0</v>
      </c>
      <c r="F63" s="20">
        <v>0</v>
      </c>
      <c r="G63" s="8" t="s">
        <v>54</v>
      </c>
      <c r="H63" s="20">
        <v>0</v>
      </c>
      <c r="I63" s="8" t="s">
        <v>208</v>
      </c>
      <c r="J63" s="19">
        <v>0</v>
      </c>
      <c r="K63" s="8" t="s">
        <v>207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64</v>
      </c>
      <c r="B64" s="18">
        <v>54520</v>
      </c>
      <c r="C64" s="19">
        <v>0</v>
      </c>
      <c r="D64" s="8" t="s">
        <v>209</v>
      </c>
      <c r="E64" s="20">
        <v>0</v>
      </c>
      <c r="F64" s="20">
        <v>2</v>
      </c>
      <c r="G64" s="8" t="s">
        <v>54</v>
      </c>
      <c r="H64" s="20">
        <v>2</v>
      </c>
      <c r="I64" s="8" t="s">
        <v>210</v>
      </c>
      <c r="J64" s="19">
        <v>0</v>
      </c>
      <c r="K64" s="8" t="s">
        <v>211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54521</v>
      </c>
      <c r="C65" s="19">
        <v>0</v>
      </c>
      <c r="D65" s="8" t="s">
        <v>65</v>
      </c>
      <c r="E65" s="20">
        <v>0</v>
      </c>
      <c r="F65" s="20">
        <v>0</v>
      </c>
      <c r="G65" s="8" t="s">
        <v>54</v>
      </c>
      <c r="H65" s="20">
        <v>0</v>
      </c>
      <c r="I65" s="8" t="s">
        <v>66</v>
      </c>
      <c r="J65" s="19">
        <v>0</v>
      </c>
      <c r="K65" s="8" t="s">
        <v>67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68</v>
      </c>
      <c r="B66" s="18">
        <v>54522</v>
      </c>
      <c r="C66" s="19">
        <v>0</v>
      </c>
      <c r="D66" s="8" t="s">
        <v>69</v>
      </c>
      <c r="E66" s="20">
        <v>0</v>
      </c>
      <c r="F66" s="20">
        <v>4</v>
      </c>
      <c r="G66" s="8" t="s">
        <v>54</v>
      </c>
      <c r="H66" s="20">
        <v>4</v>
      </c>
      <c r="I66" s="8" t="s">
        <v>70</v>
      </c>
      <c r="J66" s="19">
        <v>0</v>
      </c>
      <c r="K66" s="8" t="s">
        <v>71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/>
    <row r="68" spans="1:14" ht="12.75" customHeight="1" x14ac:dyDescent="0.2">
      <c r="B68" s="8" t="s">
        <v>16</v>
      </c>
      <c r="C68" s="8" t="s">
        <v>176</v>
      </c>
      <c r="E68" s="8" t="s">
        <v>19</v>
      </c>
      <c r="F68" s="8" t="s">
        <v>19</v>
      </c>
      <c r="G68" s="8" t="s">
        <v>21</v>
      </c>
      <c r="H68" s="8" t="s">
        <v>19</v>
      </c>
      <c r="J68" s="8" t="s">
        <v>19</v>
      </c>
    </row>
    <row r="69" spans="1:14" ht="12.75" customHeight="1" x14ac:dyDescent="0.2"/>
    <row r="70" spans="1:14" ht="12.75" customHeight="1" x14ac:dyDescent="0.2"/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6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9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neck_x000D_
INCL D1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3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seam_x000D_
INCL D1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6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3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15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15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.305</v>
      </c>
      <c r="C86" s="40" t="str">
        <f>'Build Plan w Hours'!D21</f>
        <v>Shells: bring in plate, square, trim and clean_x000D_
PREP (2)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5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.315</v>
      </c>
      <c r="C92" s="40" t="str">
        <f>'Build Plan w Hours'!D22</f>
        <v>Roll shells, tack and weld inside seams_x000D_
ROLL (2) SHELLS, WELD L/S WITH COBOT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.350</v>
      </c>
      <c r="C98" s="40" t="str">
        <f>'Build Plan w Hours'!D23</f>
        <v>Build top head/cone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.355</v>
      </c>
      <c r="C110" s="40" t="str">
        <f>'Build Plan w Hours'!D25</f>
        <v>Lay out top head, burn and clean holes_x000D_
CUT ON BURN TABLE; CLEAN UP MILL SCALE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.365</v>
      </c>
      <c r="C116" s="40" t="str">
        <f>'Build Plan w Hours'!D26</f>
        <v>Set  nozzles, lift lugs, etc. in top head - tack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.366</v>
      </c>
      <c r="C122" s="40" t="str">
        <f>'Build Plan w Hours'!D27</f>
        <v>Weld out top head nozzles, etc.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8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.370</v>
      </c>
      <c r="C128" s="40" t="str">
        <f>'Build Plan w Hours'!D28</f>
        <v>Install and weld out repads - top head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7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.450</v>
      </c>
      <c r="C134" s="40" t="str">
        <f>'Build Plan w Hours'!D29</f>
        <v>Build bottom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8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AND WELD INSIDE &amp; OUTSIDE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12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.605</v>
      </c>
      <c r="C152" s="40" t="str">
        <f>'Build Plan w Hours'!D32</f>
        <v>Tack shell courses together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.610</v>
      </c>
      <c r="C158" s="40" t="str">
        <f>'Build Plan w Hours'!D33</f>
        <v>Weld inside round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4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CUT ON BURN TABLE; CLEAN UP MILL SCALE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4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9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shell_x000D_
INCL REPADS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.725</v>
      </c>
      <c r="C212" s="40" t="str">
        <f>'Build Plan w Hours'!D42</f>
        <v>Set nozzles in shell - tack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.726</v>
      </c>
      <c r="C218" s="40" t="str">
        <f>'Build Plan w Hours'!D43</f>
        <v>Weld shell nozzles, manways, etc._x000D_
INCL HOLE WATCH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25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.765</v>
      </c>
      <c r="C224" s="40" t="str">
        <f>'Build Plan w Hours'!D44</f>
        <v>Install name tag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.770</v>
      </c>
      <c r="C230" s="40" t="str">
        <f>'Build Plan w Hours'!D45</f>
        <v>Inspect tank, make repairs, get QC inspector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.QC6</v>
      </c>
      <c r="C236" s="40" t="str">
        <f>'Build Plan w Hours'!D46</f>
        <v>QC Inspection - Fabrication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.801</v>
      </c>
      <c r="C242" s="40" t="str">
        <f>'Build Plan w Hours'!D47</f>
        <v>Move to shop test area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.910</v>
      </c>
      <c r="C248" s="40" t="str">
        <f>'Build Plan w Hours'!D48</f>
        <v>Test tank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.QC7</v>
      </c>
      <c r="C254" s="40" t="str">
        <f>'Build Plan w Hours'!D49</f>
        <v>QC Inspection - Test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.OI3</v>
      </c>
      <c r="C260" s="40" t="str">
        <f>'Build Plan w Hours'!D50</f>
        <v>ASME Inspection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.802</v>
      </c>
      <c r="C266" s="40" t="str">
        <f>'Build Plan w Hours'!D51</f>
        <v>Move to paint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</v>
      </c>
      <c r="C272" s="40" t="str">
        <f>'Build Plan w Hours'!D52</f>
        <v>QC Inspection - Sandblast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.QC90</v>
      </c>
      <c r="C278" s="40" t="str">
        <f>'Build Plan w Hours'!D53</f>
        <v>QC Inspection - Paint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.940</v>
      </c>
      <c r="C284" s="40" t="str">
        <f>'Build Plan w Hours'!D54</f>
        <v>Prepare tank for shipment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.QC95</v>
      </c>
      <c r="C290" s="40" t="str">
        <f>'Build Plan w Hours'!D55</f>
        <v>QC Inspection - Final &amp; Loose Items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.960</v>
      </c>
      <c r="C296" s="40" t="str">
        <f>'Build Plan w Hours'!D56</f>
        <v>Load on truck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4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 t="str">
        <f>'Build Plan w Hours'!E58</f>
        <v/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080-25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080-25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080-25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080-25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080-25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080-25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neck_x000D_
INCL D1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seam_x000D_
INCL D1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.305</v>
      </c>
      <c r="C86" s="40" t="str">
        <f>'Build Plan w Hours'!D21</f>
        <v>Shells: bring in plate, square, trim and clean_x000D_
PREP (2)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.315</v>
      </c>
      <c r="C92" s="40" t="str">
        <f>'Build Plan w Hours'!D22</f>
        <v>Roll shells, tack and weld inside seams_x000D_
ROLL (2) SHELLS, WELD L/S WITH COBOT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.350</v>
      </c>
      <c r="C98" s="40" t="str">
        <f>'Build Plan w Hours'!D23</f>
        <v>Build top head/cone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.355</v>
      </c>
      <c r="C110" s="40" t="str">
        <f>'Build Plan w Hours'!D25</f>
        <v>Lay out top head, burn and clean holes_x000D_
CUT ON BURN TABLE; CLEAN UP MILL SCALE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.365</v>
      </c>
      <c r="C116" s="40" t="str">
        <f>'Build Plan w Hours'!D26</f>
        <v>Set  nozzles, lift lugs, etc. in top head - tack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.366</v>
      </c>
      <c r="C122" s="40" t="str">
        <f>'Build Plan w Hours'!D27</f>
        <v>Weld out top head nozzles, etc.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.370</v>
      </c>
      <c r="C128" s="40" t="str">
        <f>'Build Plan w Hours'!D28</f>
        <v>Install and weld out repads - top head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.450</v>
      </c>
      <c r="C134" s="40" t="str">
        <f>'Build Plan w Hours'!D29</f>
        <v>Build bottom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AND WELD INSIDE &amp; OUTSIDE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.605</v>
      </c>
      <c r="C152" s="40" t="str">
        <f>'Build Plan w Hours'!D32</f>
        <v>Tack shell courses together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.610</v>
      </c>
      <c r="C158" s="40" t="str">
        <f>'Build Plan w Hours'!D33</f>
        <v>Weld inside round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CUT ON BURN TABLE; CLEAN UP MILL SCALE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shell_x000D_
INCL REPADS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.725</v>
      </c>
      <c r="C212" s="40" t="str">
        <f>'Build Plan w Hours'!D42</f>
        <v>Set nozzles in shell - tack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.726</v>
      </c>
      <c r="C218" s="40" t="str">
        <f>'Build Plan w Hours'!D43</f>
        <v>Weld shell nozzles, manways, etc._x000D_
INCL HOLE WATCH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.765</v>
      </c>
      <c r="C224" s="40" t="str">
        <f>'Build Plan w Hours'!D44</f>
        <v>Install name tag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.770</v>
      </c>
      <c r="C230" s="40" t="str">
        <f>'Build Plan w Hours'!D45</f>
        <v>Inspect tank, make repairs, get QC inspector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.QC6</v>
      </c>
      <c r="C236" s="40" t="str">
        <f>'Build Plan w Hours'!D46</f>
        <v>QC Inspection - Fabrication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.801</v>
      </c>
      <c r="C242" s="40" t="str">
        <f>'Build Plan w Hours'!D47</f>
        <v>Move to shop test area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.910</v>
      </c>
      <c r="C248" s="40" t="str">
        <f>'Build Plan w Hours'!D48</f>
        <v>Test tank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.QC7</v>
      </c>
      <c r="C254" s="40" t="str">
        <f>'Build Plan w Hours'!D49</f>
        <v>QC Inspection - Test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.OI3</v>
      </c>
      <c r="C260" s="40" t="str">
        <f>'Build Plan w Hours'!D50</f>
        <v>ASME Inspection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.802</v>
      </c>
      <c r="C266" s="40" t="str">
        <f>'Build Plan w Hours'!D51</f>
        <v>Move to paint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</v>
      </c>
      <c r="C272" s="40" t="str">
        <f>'Build Plan w Hours'!D52</f>
        <v>QC Inspection - Sandblast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.QC90</v>
      </c>
      <c r="C278" s="40" t="str">
        <f>'Build Plan w Hours'!D53</f>
        <v>QC Inspection - Paint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.940</v>
      </c>
      <c r="C284" s="40" t="str">
        <f>'Build Plan w Hours'!D54</f>
        <v>Prepare tank for shipment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.QC95</v>
      </c>
      <c r="C290" s="40" t="str">
        <f>'Build Plan w Hours'!D55</f>
        <v>QC Inspection - Final &amp; Loose Items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.960</v>
      </c>
      <c r="C296" s="40" t="str">
        <f>'Build Plan w Hours'!D56</f>
        <v>Load on truck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080-25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080-25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080-25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080-25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080-25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080-25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080-25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080-25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2025-09-25T14:35:07Z</cp:lastPrinted>
  <dcterms:created xsi:type="dcterms:W3CDTF">2016-06-28T20:53:17Z</dcterms:created>
  <dcterms:modified xsi:type="dcterms:W3CDTF">2025-09-25T18:45:23Z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