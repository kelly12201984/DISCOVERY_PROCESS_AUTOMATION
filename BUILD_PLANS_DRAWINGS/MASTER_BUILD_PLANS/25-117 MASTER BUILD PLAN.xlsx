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17-25 Merrick - MH-5301-HP-02000-CASING\"/>
    </mc:Choice>
  </mc:AlternateContent>
  <xr:revisionPtr revIDLastSave="0" documentId="8_{8132D152-24BF-4A9B-87CE-A163E9D1E45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Hours'!$A$1:$H$51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<sst xmlns="http://schemas.openxmlformats.org/spreadsheetml/2006/main" count="1674" uniqueCount="199">
  <si>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</si>
  <si>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</si>
  <si>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</si>
  <si>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</si>
  <si>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</si>
  <si>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</si>
  <si>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</si>
  <si>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</si>
  <si>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</si>
  <si>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</si>
  <si>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</si>
  <si>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</si>
  <si>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</si>
  <si>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</si>
  <si>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</si>
  <si>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</si>
  <si>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</si>
  <si>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</si>
  <si>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</si>
  <si>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</si>
  <si>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</si>
  <si>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</si>
  <si>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</si>
  <si>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</si>
  <si>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</si>
  <si>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</si>
  <si>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</si>
  <si>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</si>
  <si>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</si>
  <si>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</si>
  <si>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</si>
  <si>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</si>
  <si>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</si>
  <si>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</si>
  <si>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</si>
  <si>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</si>
  <si>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</si>
  <si>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</si>
  <si>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</si>
  <si>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</si>
  <si>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</si>
  <si>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</si>
  <si>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</si>
  <si>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</si>
  <si>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</si>
  <si>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</si>
  <si>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</si>
  <si>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</si>
  <si>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</si>
  <si>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</si>
  <si>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</si>
  <si>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</si>
  <si>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</si>
  <si>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</si>
  <si>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</si>
  <si>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</si>
  <si>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</si>
  <si>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</si>
  <si>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</si>
  <si>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</si>
  <si>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</si>
  <si>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</si>
  <si>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</si>
  <si>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</si>
  <si>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</si>
  <si>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</si>
  <si>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</si>
  <si>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</si>
  <si>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</si>
  <si>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</si>
  <si>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</si>
  <si>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</si>
  <si>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</si>
  <si>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</si>
  <si>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</si>
  <si>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</si>
  <si>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</si>
  <si>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</si>
  <si>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</si>
  <si>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</si>
  <si>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</si>
  <si>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</si>
  <si>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</si>
  <si>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</si>
  <si>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</si>
  <si>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</si>
  <si>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</si>
  <si>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</si>
  <si>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</si>
  <si>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</si>
  <si>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</si>
  <si>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</si>
  <si>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</si>
  <si>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</si>
  <si>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</si>
  <si>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</si>
  <si>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</si>
  <si>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</si>
  <si>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</si>
  <si>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</si>
  <si>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</si>
  <si>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</si>
  <si>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</si>
  <si>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</si>
  <si>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</si>
  <si>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</si>
  <si>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</si>
  <si>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</si>
  <si>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</si>
  <si>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Set Nozzles in Shell</t>
  </si>
  <si>
    <t>.725</t>
  </si>
  <si>
    <t>Weld Shell Nozz &amp; M/Ws</t>
  </si>
  <si>
    <t>.726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</si>
  <si>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</si>
  <si>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</si>
  <si>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</si>
  <si>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</si>
  <si>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</si>
  <si>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</si>
  <si>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</si>
  <si>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</si>
  <si>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Build Hatch/Door</t>
  </si>
  <si>
    <t>.140</t>
  </si>
  <si>
    <t>Cut Parts on Burn Table</t>
  </si>
  <si>
    <t>Clean &amp; Prep Parts</t>
  </si>
  <si>
    <t>.156</t>
  </si>
  <si>
    <t>Drill/Punch holes</t>
  </si>
  <si>
    <t>.255</t>
  </si>
  <si>
    <t>Misc Fabrication</t>
  </si>
  <si>
    <t>.261</t>
  </si>
  <si>
    <t>Install Internal Parts</t>
  </si>
  <si>
    <t>.630</t>
  </si>
  <si>
    <t>Weld rings, lugs, suppts</t>
  </si>
  <si>
    <t>.721</t>
  </si>
  <si>
    <t>MH-5301-HP-02000-CASING</t>
  </si>
  <si>
    <t>M111921SHM</t>
  </si>
  <si>
    <t>9352.4</t>
  </si>
  <si>
    <t>1</t>
  </si>
  <si>
    <t>Build nozzles and weld_x000D_
FOR RFSO NOZZLES ONLY</t>
  </si>
  <si>
    <t>Make manway parts: cut clips, form handles, etc. _x000D_
FOR K1, K2, L &amp; M</t>
  </si>
  <si>
    <t>Build hatch/door_x000D_
FOR K1, K2, L &amp; M</t>
  </si>
  <si>
    <t>Make lift lugs, ground lugs, etc.</t>
  </si>
  <si>
    <t>Drill/punch holes_x000D_
CHECK ALL BOLT HOLES CUT ON CNC TABLE; REAM AS REQD</t>
  </si>
  <si>
    <t>Build Flanges</t>
  </si>
  <si>
    <t>.257</t>
  </si>
  <si>
    <t>Build Flanges_x000D_
FOR K1, K2, L, M, N, O, P1 &amp; P2</t>
  </si>
  <si>
    <t>Miscellaneous Fabrication - Braces, Mounting Plates, Cone Outlet Necks_x000D_
BUIILD LEFT &amp; RIGHT BOTTOM BRACKET ASSEMBLIES</t>
  </si>
  <si>
    <t>Shells: bring in plate, square, trim and clean_x000D_
LAYOUT &amp; PREP (4) SHELL SECTIONS</t>
  </si>
  <si>
    <t>Roll shells, tack and weld inside seams_x000D_
FORM (4) SHELL SECTIONS</t>
  </si>
  <si>
    <t>S/U and Build Sides</t>
  </si>
  <si>
    <t>.320</t>
  </si>
  <si>
    <t>Set up and weld sides - rectangular tank _x000D_
FIT, TACK &amp; WELD SHELL &amp; CASING PLATES</t>
  </si>
  <si>
    <t>Install Body Flg-Shell</t>
  </si>
  <si>
    <t>.325</t>
  </si>
  <si>
    <t>Install body flange on shell - tack_x000D_
MOUNT END FLANGE ON SHELL &amp; WELD</t>
  </si>
  <si>
    <t>Lay out top head, burn and clean holes_x000D_
BEVEL/PREP HOLES CUT ON CNC TABLE</t>
  </si>
  <si>
    <t>Set  nozzles, lift lugs, etc. in top head - tack</t>
  </si>
  <si>
    <t>Weld out top head nozzles, etc.</t>
  </si>
  <si>
    <t>Install Top Stiffeners</t>
  </si>
  <si>
    <t>.375</t>
  </si>
  <si>
    <t>Install top stiffeners_x000D_
FIT &amp; WELD (11) STIFFENERS + (4) CHANNEL STIFFENERS</t>
  </si>
  <si>
    <t>Set Nozzles - Bottom Head</t>
  </si>
  <si>
    <t>.465</t>
  </si>
  <si>
    <t>Set  nozzles in bottom head - tack_x000D_
FOR NOZZLES 0 (BOTTOM) &amp; P1, P2 (COVER)</t>
  </si>
  <si>
    <t>Weld Nozzles - Bot. Head</t>
  </si>
  <si>
    <t>.466</t>
  </si>
  <si>
    <t>Weld nozzles in bottom head; weld complete_x000D_
FOR NOZZLES O (BOTTOM) &amp; P1, P2 (COVER)</t>
  </si>
  <si>
    <t>I&amp;W Bottom Repads</t>
  </si>
  <si>
    <t>.470</t>
  </si>
  <si>
    <t>Install and weld out repads - bottom head_x000D_
(8) BOTTOM SUPPORT PADS</t>
  </si>
  <si>
    <t>Install Bottom Stiffeners</t>
  </si>
  <si>
    <t>.475</t>
  </si>
  <si>
    <t>Install bottom stiffeners_x000D_
FIT &amp; WELD (12) BOTTOM SHELL STIFFENERS</t>
  </si>
  <si>
    <t>Install internals - wear plates, rings, clips, etc._x000D_
FIT &amp; WELD (4) INTERNAL ANGLES ON BOTTOM</t>
  </si>
  <si>
    <t>Fit top head to shell - tack</t>
  </si>
  <si>
    <t>Weld top to shell</t>
  </si>
  <si>
    <t>.641</t>
  </si>
  <si>
    <t>Weld top head to shell - inside_x000D_
WELD TOP PLATE INSIDE &amp; OUTSIDE</t>
  </si>
  <si>
    <t>Install Insul/Vac Rings</t>
  </si>
  <si>
    <t>.715</t>
  </si>
  <si>
    <t>Install insulation/vacuum rings - tack_x000D_
INSTALL HORIZONTAL &amp; VERTICAL SHELL STIFFENERS &amp; WELD</t>
  </si>
  <si>
    <t>Install lift lugs on shell_x000D_
INCL L &amp; R TOP SUPPORT BRACKETS</t>
  </si>
  <si>
    <t>Weld insulation / vacuum rings, lugs, supports, etc._x000D_
FIT &amp; WELD LEFT &amp; RIGHT MOUNTING BRACKET ASSEMBLIES</t>
  </si>
  <si>
    <t>Set nozzles in shell - tack_x000D_
FOR NOZZLES I, J, L, &amp; M</t>
  </si>
  <si>
    <t>Weld shell nozzles, manways, etc._x000D_
FOR NOZZLES I, J, L &amp; M (INCL HOLE WATCH)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</si>
  <si>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</si>
  <si>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</si>
  <si>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</si>
  <si>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</si>
  <si>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</si>
  <si>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</si>
  <si>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</si>
  <si>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</si>
  <si>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</si>
  <si>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</si>
  <si>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</si>
  <si>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</si>
  <si>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</si>
  <si>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117-25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</si>
</sst>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1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198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MH-5301-HP-02000-CASING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4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FOR RFSO NOZZLES ONLY</v>
      </c>
      <c r="E8" s="13">
        <f>'Sheet2-PASTE HERE!'!F18</f>
        <v>8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.115</v>
      </c>
      <c r="D9" s="22" t="str">
        <f>'Sheet2-PASTE HERE!'!K19</f>
        <v>Make manway parts: cut clips, form handles, etc. _x000D_
FOR K1, K2, L &amp; M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.140</v>
      </c>
      <c r="D10" s="22" t="str">
        <f>'Sheet2-PASTE HERE!'!K20</f>
        <v>Build hatch/door_x000D_
FOR K1, K2, L &amp; M</v>
      </c>
      <c r="E10" s="13">
        <f>'Sheet2-PASTE HERE!'!F20</f>
        <v>20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50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30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.200</v>
      </c>
      <c r="D13" s="22" t="str">
        <f>'Sheet2-PASTE HERE!'!K23</f>
        <v>Make lift lugs, ground lugs, etc.</v>
      </c>
      <c r="E13" s="13">
        <f>'Sheet2-PASTE HERE!'!F23</f>
        <v>5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.255</v>
      </c>
      <c r="D14" s="22" t="str">
        <f>'Sheet2-PASTE HERE!'!K24</f>
        <v>Drill/punch holes_x000D_
CHECK ALL BOLT HOLES CUT ON CNC TABLE; REAM AS REQD</v>
      </c>
      <c r="E14" s="13">
        <f>'Sheet2-PASTE HERE!'!F24</f>
        <v>20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.257</v>
      </c>
      <c r="D15" s="22" t="str">
        <f>'Sheet2-PASTE HERE!'!K25</f>
        <v>Build Flanges_x000D_
FOR K1, K2, L, M, N, O, P1 &amp; P2</v>
      </c>
      <c r="E15" s="13">
        <f>'Sheet2-PASTE HERE!'!F25</f>
        <v>20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BUIILD LEFT &amp; RIGHT BOTTOM BRACKET ASSEMBLIES</v>
      </c>
      <c r="E16" s="13">
        <f>'Sheet2-PASTE HERE!'!F26</f>
        <v>20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.QC3</v>
      </c>
      <c r="D17" s="22" t="str">
        <f>'Sheet2-PASTE HERE!'!K27</f>
        <v>UT Shells</v>
      </c>
      <c r="E17" s="13">
        <f>'Sheet2-PASTE HERE!'!F27</f>
        <v>0</v>
      </c>
      <c r="F17" s="12"/>
      <c r="G17" s="12"/>
      <c r="H17" s="12"/>
      <c r="K17">
        <f t="shared" ref="K17:K80" si="2">IF(A17="INSPECTION",1,0)</f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.305</v>
      </c>
      <c r="D18" s="22" t="str">
        <f>'Sheet2-PASTE HERE!'!K28</f>
        <v>Shells: bring in plate, square, trim and clean_x000D_
LAYOUT &amp; PREP (4) SHELL SECTIONS</v>
      </c>
      <c r="E18" s="13">
        <f>'Sheet2-PASTE HERE!'!F28</f>
        <v>15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.315</v>
      </c>
      <c r="D19" s="22" t="str">
        <f>'Sheet2-PASTE HERE!'!K29</f>
        <v>Roll shells, tack and weld inside seams_x000D_
FORM (4) SHELL SECTIONS</v>
      </c>
      <c r="E19" s="13">
        <f>'Sheet2-PASTE HERE!'!F29</f>
        <v>15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.320</v>
      </c>
      <c r="D20" s="22" t="str">
        <f>'Sheet2-PASTE HERE!'!K30</f>
        <v>Set up and weld sides - rectangular tank _x000D_
FIT, TACK &amp; WELD SHELL &amp; CASING PLATES</v>
      </c>
      <c r="E20" s="13">
        <f>'Sheet2-PASTE HERE!'!F30</f>
        <v>60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.325</v>
      </c>
      <c r="D21" s="22" t="str">
        <f>'Sheet2-PASTE HERE!'!K31</f>
        <v>Install body flange on shell - tack_x000D_
MOUNT END FLANGE ON SHELL &amp; WELD</v>
      </c>
      <c r="E21" s="13">
        <f>'Sheet2-PASTE HERE!'!F31</f>
        <v>6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holes_x000D_
BEVEL/PREP HOLES CUT ON CNC TABLE</v>
      </c>
      <c r="E23" s="13">
        <f>'Sheet2-PASTE HERE!'!F33</f>
        <v>10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.365</v>
      </c>
      <c r="D24" s="22" t="str">
        <f>'Sheet2-PASTE HERE!'!K34</f>
        <v>Set  nozzles, lift lugs, etc. in top head - tack</v>
      </c>
      <c r="E24" s="13">
        <f>'Sheet2-PASTE HERE!'!F34</f>
        <v>6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.366</v>
      </c>
      <c r="D25" s="22" t="str">
        <f>'Sheet2-PASTE HERE!'!K35</f>
        <v>Weld out top head nozzles, etc.</v>
      </c>
      <c r="E25" s="13">
        <f>'Sheet2-PASTE HERE!'!F35</f>
        <v>15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.375</v>
      </c>
      <c r="D26" s="22" t="str">
        <f>'Sheet2-PASTE HERE!'!K36</f>
        <v>Install top stiffeners_x000D_
FIT &amp; WELD (11) STIFFENERS + (4) CHANNEL STIFFENERS</v>
      </c>
      <c r="E26" s="13">
        <f>'Sheet2-PASTE HERE!'!F36</f>
        <v>45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.465</v>
      </c>
      <c r="D28" s="22" t="str">
        <f>'Sheet2-PASTE HERE!'!K38</f>
        <v>Set  nozzles in bottom head - tack_x000D_
FOR NOZZLES 0 (BOTTOM) &amp; P1, P2 (COVER)</v>
      </c>
      <c r="E28" s="13">
        <f>'Sheet2-PASTE HERE!'!F38</f>
        <v>5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.466</v>
      </c>
      <c r="D29" s="22" t="str">
        <f>'Sheet2-PASTE HERE!'!K39</f>
        <v>Weld nozzles in bottom head; weld complete_x000D_
FOR NOZZLES O (BOTTOM) &amp; P1, P2 (COVER)</v>
      </c>
      <c r="E29" s="13">
        <f>'Sheet2-PASTE HERE!'!F39</f>
        <v>15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.470</v>
      </c>
      <c r="D30" s="22" t="str">
        <f>'Sheet2-PASTE HERE!'!K40</f>
        <v>Install and weld out repads - bottom head_x000D_
(8) BOTTOM SUPPORT PADS</v>
      </c>
      <c r="E30" s="13">
        <f>'Sheet2-PASTE HERE!'!F40</f>
        <v>12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.475</v>
      </c>
      <c r="D31" s="22" t="str">
        <f>'Sheet2-PASTE HERE!'!K41</f>
        <v>Install bottom stiffeners_x000D_
FIT &amp; WELD (12) BOTTOM SHELL STIFFENERS</v>
      </c>
      <c r="E31" s="13">
        <f>'Sheet2-PASTE HERE!'!F41</f>
        <v>36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.630</v>
      </c>
      <c r="D32" s="22" t="str">
        <f>'Sheet2-PASTE HERE!'!K42</f>
        <v>Install internals - wear plates, rings, clips, etc._x000D_
FIT &amp; WELD (4) INTERNAL ANGLES ON BOTTOM</v>
      </c>
      <c r="E32" s="13">
        <f>'Sheet2-PASTE HERE!'!F42</f>
        <v>16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.QC5</v>
      </c>
      <c r="D33" s="22" t="str">
        <f>'Sheet2-PASTE HERE!'!K43</f>
        <v>QC Inspection - Internal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.640</v>
      </c>
      <c r="D34" s="22" t="str">
        <f>'Sheet2-PASTE HERE!'!K44</f>
        <v>Fit top head to shell - tack</v>
      </c>
      <c r="E34" s="13">
        <f>'Sheet2-PASTE HERE!'!F44</f>
        <v>6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.641</v>
      </c>
      <c r="D35" s="22" t="str">
        <f>'Sheet2-PASTE HERE!'!K45</f>
        <v>Weld top head to shell - inside_x000D_
WELD TOP PLATE INSIDE &amp; OUTSIDE</v>
      </c>
      <c r="E35" s="13">
        <f>'Sheet2-PASTE HERE!'!F45</f>
        <v>20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.800</v>
      </c>
      <c r="D36" s="22" t="str">
        <f>'Sheet2-PASTE HERE!'!K46</f>
        <v>Move tank to detail rolls</v>
      </c>
      <c r="E36" s="13">
        <f>'Sheet2-PASTE HERE!'!F46</f>
        <v>4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.715</v>
      </c>
      <c r="D37" s="22" t="str">
        <f>'Sheet2-PASTE HERE!'!K47</f>
        <v>Install insulation/vacuum rings - tack_x000D_
INSTALL HORIZONTAL &amp; VERTICAL SHELL STIFFENERS &amp; WELD</v>
      </c>
      <c r="E37" s="13">
        <f>'Sheet2-PASTE HERE!'!F47</f>
        <v>120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.717</v>
      </c>
      <c r="D38" s="22" t="str">
        <f>'Sheet2-PASTE HERE!'!K48</f>
        <v>Install lift lugs on shell_x000D_
INCL L &amp; R TOP SUPPORT BRACKETS</v>
      </c>
      <c r="E38" s="13">
        <f>'Sheet2-PASTE HERE!'!F48</f>
        <v>6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.721</v>
      </c>
      <c r="D39" s="22" t="str">
        <f>'Sheet2-PASTE HERE!'!K49</f>
        <v>Weld insulation / vacuum rings, lugs, supports, etc._x000D_
FIT &amp; WELD LEFT &amp; RIGHT MOUNTING BRACKET ASSEMBLIES</v>
      </c>
      <c r="E39" s="13">
        <f>'Sheet2-PASTE HERE!'!F49</f>
        <v>30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.725</v>
      </c>
      <c r="D40" s="22" t="str">
        <f>'Sheet2-PASTE HERE!'!K50</f>
        <v>Set nozzles in shell - tack_x000D_
FOR NOZZLES I, J, L, &amp; M</v>
      </c>
      <c r="E40" s="13">
        <f>'Sheet2-PASTE HERE!'!F50</f>
        <v>5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.726</v>
      </c>
      <c r="D41" s="22" t="str">
        <f>'Sheet2-PASTE HERE!'!K51</f>
        <v>Weld shell nozzles, manways, etc._x000D_
FOR NOZZLES I, J, L &amp; M (INCL HOLE WATCH)</v>
      </c>
      <c r="E41" s="13">
        <f>'Sheet2-PASTE HERE!'!F51</f>
        <v>25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MOVE TANK</v>
      </c>
      <c r="B42" s="11"/>
      <c r="C42" s="17" t="str">
        <f>'Sheet2-PASTE HERE!'!I52</f>
        <v>.801</v>
      </c>
      <c r="D42" s="22" t="str">
        <f>'Sheet2-PASTE HERE!'!K52</f>
        <v>Move to shop test area</v>
      </c>
      <c r="E42" s="13">
        <f>'Sheet2-PASTE HERE!'!F52</f>
        <v>2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.910</v>
      </c>
      <c r="D43" s="22" t="str">
        <f>'Sheet2-PASTE HERE!'!K53</f>
        <v>Test tank</v>
      </c>
      <c r="E43" s="13">
        <f>'Sheet2-PASTE HERE!'!F53</f>
        <v>15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.QC7</v>
      </c>
      <c r="D44" s="22" t="str">
        <f>'Sheet2-PASTE HERE!'!K54</f>
        <v>QC Inspection - Test</v>
      </c>
      <c r="E44" s="13">
        <f>'Sheet2-PASTE HERE!'!F54</f>
        <v>0</v>
      </c>
      <c r="F44" s="12"/>
      <c r="G44" s="12"/>
      <c r="H44" s="12"/>
      <c r="K44">
        <f t="shared" si="2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.802</v>
      </c>
      <c r="D45" s="22" t="str">
        <f>'Sheet2-PASTE HERE!'!K55</f>
        <v>Move to paint area</v>
      </c>
      <c r="E45" s="13">
        <f>'Sheet2-PASTE HERE!'!F55</f>
        <v>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.QC9</v>
      </c>
      <c r="D46" s="22" t="str">
        <f>'Sheet2-PASTE HERE!'!K56</f>
        <v>QC Inspection - Sandblast</v>
      </c>
      <c r="E46" s="13">
        <f>'Sheet2-PASTE HERE!'!F56</f>
        <v>0</v>
      </c>
      <c r="F46" s="12"/>
      <c r="G46" s="12"/>
      <c r="H46" s="12"/>
      <c r="K46">
        <f t="shared" si="2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.QC90</v>
      </c>
      <c r="D47" s="22" t="str">
        <f>'Sheet2-PASTE HERE!'!K57</f>
        <v>QC Inspection - Paint</v>
      </c>
      <c r="E47" s="13">
        <f>'Sheet2-PASTE HERE!'!F57</f>
        <v>0</v>
      </c>
      <c r="F47" s="12"/>
      <c r="G47" s="12"/>
      <c r="H47" s="12"/>
      <c r="K47">
        <f t="shared" si="2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.940</v>
      </c>
      <c r="D48" s="22" t="str">
        <f>'Sheet2-PASTE HERE!'!K58</f>
        <v>Prepare tank for shipment</v>
      </c>
      <c r="E48" s="13">
        <f>'Sheet2-PASTE HERE!'!F58</f>
        <v>2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.950</v>
      </c>
      <c r="D49" s="22" t="str">
        <f>'Sheet2-PASTE HERE!'!K59</f>
        <v>Check bill of materials and pack loose parts</v>
      </c>
      <c r="E49" s="13">
        <f>'Sheet2-PASTE HERE!'!F59</f>
        <v>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.QC95</v>
      </c>
      <c r="D50" s="22" t="str">
        <f>'Sheet2-PASTE HERE!'!K60</f>
        <v>QC Inspection - Final &amp; Loose Items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SHIPPING</v>
      </c>
      <c r="B51" s="11"/>
      <c r="C51" s="17" t="str">
        <f>'Sheet2-PASTE HERE!'!I61</f>
        <v>.960</v>
      </c>
      <c r="D51" s="22" t="str">
        <f>'Sheet2-PASTE HERE!'!K61</f>
        <v>Load on truck</v>
      </c>
      <c r="E51" s="13">
        <f>'Sheet2-PASTE HERE!'!F61</f>
        <v>3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 t="str">
        <f>'Sheet2-PASTE HERE!'!F63</f>
        <v/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198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MH-5301-HP-02000-CASING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4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FOR RFSO NOZZLES ONLY</v>
      </c>
      <c r="E8" s="13">
        <f>'Sheet2-PASTE HERE!'!F18</f>
        <v>8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.115</v>
      </c>
      <c r="D9" s="22" t="str">
        <f>'Sheet2-PASTE HERE!'!K19</f>
        <v>Make manway parts: cut clips, form handles, etc. _x000D_
FOR K1, K2, L &amp; M</v>
      </c>
      <c r="E9" s="13">
        <f>'Sheet2-PASTE HERE!'!F19</f>
        <v>4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.140</v>
      </c>
      <c r="D10" s="22" t="str">
        <f>'Sheet2-PASTE HERE!'!K20</f>
        <v>Build hatch/door_x000D_
FOR K1, K2, L &amp; M</v>
      </c>
      <c r="E10" s="13">
        <f>'Sheet2-PASTE HERE!'!F20</f>
        <v>20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50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>
        <f>'Sheet2-PASTE HERE!'!K22</f>
        <v>0</v>
      </c>
      <c r="E12" s="13">
        <f>'Sheet2-PASTE HERE!'!F22</f>
        <v>30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.200</v>
      </c>
      <c r="D13" s="22" t="str">
        <f>'Sheet2-PASTE HERE!'!K23</f>
        <v>Make lift lugs, ground lugs, etc.</v>
      </c>
      <c r="E13" s="13">
        <f>'Sheet2-PASTE HERE!'!F23</f>
        <v>5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.255</v>
      </c>
      <c r="D14" s="22" t="str">
        <f>'Sheet2-PASTE HERE!'!K24</f>
        <v>Drill/punch holes_x000D_
CHECK ALL BOLT HOLES CUT ON CNC TABLE; REAM AS REQD</v>
      </c>
      <c r="E14" s="13">
        <f>'Sheet2-PASTE HERE!'!F24</f>
        <v>20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.257</v>
      </c>
      <c r="D15" s="22" t="str">
        <f>'Sheet2-PASTE HERE!'!K25</f>
        <v>Build Flanges_x000D_
FOR K1, K2, L, M, N, O, P1 &amp; P2</v>
      </c>
      <c r="E15" s="13">
        <f>'Sheet2-PASTE HERE!'!F25</f>
        <v>20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.261</v>
      </c>
      <c r="D16" s="22" t="str">
        <f>'Sheet2-PASTE HERE!'!K26</f>
        <v>Miscellaneous Fabrication - Braces, Mounting Plates, Cone Outlet Necks_x000D_
BUIILD LEFT &amp; RIGHT BOTTOM BRACKET ASSEMBLIES</v>
      </c>
      <c r="E16" s="13">
        <f>'Sheet2-PASTE HERE!'!F26</f>
        <v>20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.QC3</v>
      </c>
      <c r="D17" s="22" t="str">
        <f>'Sheet2-PASTE HERE!'!K27</f>
        <v>UT Shells</v>
      </c>
      <c r="E17" s="13">
        <f>'Sheet2-PASTE HERE!'!F27</f>
        <v>0</v>
      </c>
      <c r="F17" s="12"/>
      <c r="G17" s="12"/>
      <c r="H17" s="12"/>
      <c r="K17">
        <f t="shared" si="0"/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.305</v>
      </c>
      <c r="D18" s="22" t="str">
        <f>'Sheet2-PASTE HERE!'!K28</f>
        <v>Shells: bring in plate, square, trim and clean_x000D_
LAYOUT &amp; PREP (4) SHELL SECTIONS</v>
      </c>
      <c r="E18" s="13">
        <f>'Sheet2-PASTE HERE!'!F28</f>
        <v>15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.315</v>
      </c>
      <c r="D19" s="22" t="str">
        <f>'Sheet2-PASTE HERE!'!K29</f>
        <v>Roll shells, tack and weld inside seams_x000D_
FORM (4) SHELL SECTIONS</v>
      </c>
      <c r="E19" s="13">
        <f>'Sheet2-PASTE HERE!'!F29</f>
        <v>15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.320</v>
      </c>
      <c r="D20" s="22" t="str">
        <f>'Sheet2-PASTE HERE!'!K30</f>
        <v>Set up and weld sides - rectangular tank _x000D_
FIT, TACK &amp; WELD SHELL &amp; CASING PLATES</v>
      </c>
      <c r="E20" s="13">
        <f>'Sheet2-PASTE HERE!'!F30</f>
        <v>60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.325</v>
      </c>
      <c r="D21" s="22" t="str">
        <f>'Sheet2-PASTE HERE!'!K31</f>
        <v>Install body flange on shell - tack_x000D_
MOUNT END FLANGE ON SHELL &amp; WELD</v>
      </c>
      <c r="E21" s="13">
        <f>'Sheet2-PASTE HERE!'!F31</f>
        <v>6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holes_x000D_
BEVEL/PREP HOLES CUT ON CNC TABLE</v>
      </c>
      <c r="E23" s="13">
        <f>'Sheet2-PASTE HERE!'!F33</f>
        <v>10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.365</v>
      </c>
      <c r="D24" s="22" t="str">
        <f>'Sheet2-PASTE HERE!'!K34</f>
        <v>Set  nozzles, lift lugs, etc. in top head - tack</v>
      </c>
      <c r="E24" s="13">
        <f>'Sheet2-PASTE HERE!'!F34</f>
        <v>6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.366</v>
      </c>
      <c r="D25" s="22" t="str">
        <f>'Sheet2-PASTE HERE!'!K35</f>
        <v>Weld out top head nozzles, etc.</v>
      </c>
      <c r="E25" s="13">
        <f>'Sheet2-PASTE HERE!'!F35</f>
        <v>15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.375</v>
      </c>
      <c r="D26" s="22" t="str">
        <f>'Sheet2-PASTE HERE!'!K36</f>
        <v>Install top stiffeners_x000D_
FIT &amp; WELD (11) STIFFENERS + (4) CHANNEL STIFFENERS</v>
      </c>
      <c r="E26" s="13">
        <f>'Sheet2-PASTE HERE!'!F36</f>
        <v>45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.465</v>
      </c>
      <c r="D28" s="22" t="str">
        <f>'Sheet2-PASTE HERE!'!K38</f>
        <v>Set  nozzles in bottom head - tack_x000D_
FOR NOZZLES 0 (BOTTOM) &amp; P1, P2 (COVER)</v>
      </c>
      <c r="E28" s="13">
        <f>'Sheet2-PASTE HERE!'!F38</f>
        <v>5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.466</v>
      </c>
      <c r="D29" s="22" t="str">
        <f>'Sheet2-PASTE HERE!'!K39</f>
        <v>Weld nozzles in bottom head; weld complete_x000D_
FOR NOZZLES O (BOTTOM) &amp; P1, P2 (COVER)</v>
      </c>
      <c r="E29" s="13">
        <f>'Sheet2-PASTE HERE!'!F39</f>
        <v>15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.470</v>
      </c>
      <c r="D30" s="22" t="str">
        <f>'Sheet2-PASTE HERE!'!K40</f>
        <v>Install and weld out repads - bottom head_x000D_
(8) BOTTOM SUPPORT PADS</v>
      </c>
      <c r="E30" s="13">
        <f>'Sheet2-PASTE HERE!'!F40</f>
        <v>12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.475</v>
      </c>
      <c r="D31" s="22" t="str">
        <f>'Sheet2-PASTE HERE!'!K41</f>
        <v>Install bottom stiffeners_x000D_
FIT &amp; WELD (12) BOTTOM SHELL STIFFENERS</v>
      </c>
      <c r="E31" s="13">
        <f>'Sheet2-PASTE HERE!'!F41</f>
        <v>36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.630</v>
      </c>
      <c r="D32" s="22" t="str">
        <f>'Sheet2-PASTE HERE!'!K42</f>
        <v>Install internals - wear plates, rings, clips, etc._x000D_
FIT &amp; WELD (4) INTERNAL ANGLES ON BOTTOM</v>
      </c>
      <c r="E32" s="13">
        <f>'Sheet2-PASTE HERE!'!F42</f>
        <v>16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.QC5</v>
      </c>
      <c r="D33" s="22" t="str">
        <f>'Sheet2-PASTE HERE!'!K43</f>
        <v>QC Inspection - Internal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.640</v>
      </c>
      <c r="D34" s="22" t="str">
        <f>'Sheet2-PASTE HERE!'!K44</f>
        <v>Fit top head to shell - tack</v>
      </c>
      <c r="E34" s="13">
        <f>'Sheet2-PASTE HERE!'!F44</f>
        <v>6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.641</v>
      </c>
      <c r="D35" s="22" t="str">
        <f>'Sheet2-PASTE HERE!'!K45</f>
        <v>Weld top head to shell - inside_x000D_
WELD TOP PLATE INSIDE &amp; OUTSIDE</v>
      </c>
      <c r="E35" s="13">
        <f>'Sheet2-PASTE HERE!'!F45</f>
        <v>20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.800</v>
      </c>
      <c r="D36" s="22" t="str">
        <f>'Sheet2-PASTE HERE!'!K46</f>
        <v>Move tank to detail rolls</v>
      </c>
      <c r="E36" s="13">
        <f>'Sheet2-PASTE HERE!'!F46</f>
        <v>4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.715</v>
      </c>
      <c r="D37" s="22" t="str">
        <f>'Sheet2-PASTE HERE!'!K47</f>
        <v>Install insulation/vacuum rings - tack_x000D_
INSTALL HORIZONTAL &amp; VERTICAL SHELL STIFFENERS &amp; WELD</v>
      </c>
      <c r="E37" s="13">
        <f>'Sheet2-PASTE HERE!'!F47</f>
        <v>120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.717</v>
      </c>
      <c r="D38" s="22" t="str">
        <f>'Sheet2-PASTE HERE!'!K48</f>
        <v>Install lift lugs on shell_x000D_
INCL L &amp; R TOP SUPPORT BRACKETS</v>
      </c>
      <c r="E38" s="13">
        <f>'Sheet2-PASTE HERE!'!F48</f>
        <v>6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.721</v>
      </c>
      <c r="D39" s="22" t="str">
        <f>'Sheet2-PASTE HERE!'!K49</f>
        <v>Weld insulation / vacuum rings, lugs, supports, etc._x000D_
FIT &amp; WELD LEFT &amp; RIGHT MOUNTING BRACKET ASSEMBLIES</v>
      </c>
      <c r="E39" s="13">
        <f>'Sheet2-PASTE HERE!'!F49</f>
        <v>30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.725</v>
      </c>
      <c r="D40" s="22" t="str">
        <f>'Sheet2-PASTE HERE!'!K50</f>
        <v>Set nozzles in shell - tack_x000D_
FOR NOZZLES I, J, L, &amp; M</v>
      </c>
      <c r="E40" s="13">
        <f>'Sheet2-PASTE HERE!'!F50</f>
        <v>5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.726</v>
      </c>
      <c r="D41" s="22" t="str">
        <f>'Sheet2-PASTE HERE!'!K51</f>
        <v>Weld shell nozzles, manways, etc._x000D_
FOR NOZZLES I, J, L &amp; M (INCL HOLE WATCH)</v>
      </c>
      <c r="E41" s="13">
        <f>'Sheet2-PASTE HERE!'!F51</f>
        <v>25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MOVE TANK</v>
      </c>
      <c r="B42" s="11"/>
      <c r="C42" s="17" t="str">
        <f>'Sheet2-PASTE HERE!'!I52</f>
        <v>.801</v>
      </c>
      <c r="D42" s="22" t="str">
        <f>'Sheet2-PASTE HERE!'!K52</f>
        <v>Move to shop test area</v>
      </c>
      <c r="E42" s="13">
        <f>'Sheet2-PASTE HERE!'!F52</f>
        <v>2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.910</v>
      </c>
      <c r="D43" s="22" t="str">
        <f>'Sheet2-PASTE HERE!'!K53</f>
        <v>Test tank</v>
      </c>
      <c r="E43" s="13">
        <f>'Sheet2-PASTE HERE!'!F53</f>
        <v>15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.QC7</v>
      </c>
      <c r="D44" s="22" t="str">
        <f>'Sheet2-PASTE HERE!'!K54</f>
        <v>QC Inspection - Test</v>
      </c>
      <c r="E44" s="13">
        <f>'Sheet2-PASTE HERE!'!F54</f>
        <v>0</v>
      </c>
      <c r="F44" s="12"/>
      <c r="G44" s="12"/>
      <c r="H44" s="12"/>
      <c r="K44">
        <f t="shared" si="0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.802</v>
      </c>
      <c r="D45" s="22" t="str">
        <f>'Sheet2-PASTE HERE!'!K55</f>
        <v>Move to paint area</v>
      </c>
      <c r="E45" s="13">
        <f>'Sheet2-PASTE HERE!'!F55</f>
        <v>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.QC9</v>
      </c>
      <c r="D46" s="22" t="str">
        <f>'Sheet2-PASTE HERE!'!K56</f>
        <v>QC Inspection - Sandblast</v>
      </c>
      <c r="E46" s="13">
        <f>'Sheet2-PASTE HERE!'!F56</f>
        <v>0</v>
      </c>
      <c r="F46" s="12"/>
      <c r="G46" s="12"/>
      <c r="H46" s="12"/>
      <c r="K46">
        <f t="shared" si="0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.QC90</v>
      </c>
      <c r="D47" s="22" t="str">
        <f>'Sheet2-PASTE HERE!'!K57</f>
        <v>QC Inspection - Paint</v>
      </c>
      <c r="E47" s="13">
        <f>'Sheet2-PASTE HERE!'!F57</f>
        <v>0</v>
      </c>
      <c r="F47" s="12"/>
      <c r="G47" s="12"/>
      <c r="H47" s="12"/>
      <c r="K47">
        <f t="shared" si="0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.940</v>
      </c>
      <c r="D48" s="22" t="str">
        <f>'Sheet2-PASTE HERE!'!K58</f>
        <v>Prepare tank for shipment</v>
      </c>
      <c r="E48" s="13">
        <f>'Sheet2-PASTE HERE!'!F58</f>
        <v>2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.950</v>
      </c>
      <c r="D49" s="22" t="str">
        <f>'Sheet2-PASTE HERE!'!K59</f>
        <v>Check bill of materials and pack loose parts</v>
      </c>
      <c r="E49" s="13">
        <f>'Sheet2-PASTE HERE!'!F59</f>
        <v>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.QC95</v>
      </c>
      <c r="D50" s="22" t="str">
        <f>'Sheet2-PASTE HERE!'!K60</f>
        <v>QC Inspection - Final &amp; Loose Items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SHIPPING</v>
      </c>
      <c r="B51" s="11"/>
      <c r="C51" s="17" t="str">
        <f>'Sheet2-PASTE HERE!'!I61</f>
        <v>.960</v>
      </c>
      <c r="D51" s="22" t="str">
        <f>'Sheet2-PASTE HERE!'!K61</f>
        <v>Load on truck</v>
      </c>
      <c r="E51" s="13">
        <f>'Sheet2-PASTE HERE!'!F61</f>
        <v>3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 t="str">
        <f>'Sheet2-PASTE HERE!'!F63</f>
        <v/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134</v>
      </c>
      <c r="C1" s="8" t="s">
        <v>17</v>
      </c>
      <c r="D1" s="8" t="s">
        <v>135</v>
      </c>
      <c r="E1" s="8" t="s">
        <v>18</v>
      </c>
      <c r="F1" s="8" t="s">
        <v>136</v>
      </c>
      <c r="G1" s="8" t="s">
        <v>134</v>
      </c>
      <c r="H1" s="8" t="s">
        <v>20</v>
      </c>
      <c r="I1" s="8" t="s">
        <v>137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45968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679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66086</v>
      </c>
      <c r="C15" s="19">
        <v>0</v>
      </c>
      <c r="D15" s="8" t="s">
        <v>73</v>
      </c>
      <c r="E15" s="20">
        <v>0</v>
      </c>
      <c r="F15" s="20">
        <v>0</v>
      </c>
      <c r="G15" s="8" t="s">
        <v>54</v>
      </c>
      <c r="H15" s="20">
        <v>0</v>
      </c>
      <c r="I15" s="8" t="s">
        <v>74</v>
      </c>
      <c r="J15" s="19">
        <v>0</v>
      </c>
      <c r="K15" s="8" t="s">
        <v>73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66087</v>
      </c>
      <c r="C16" s="19">
        <v>0</v>
      </c>
      <c r="D16" s="8" t="s">
        <v>75</v>
      </c>
      <c r="E16" s="20">
        <v>0</v>
      </c>
      <c r="F16" s="20">
        <v>0</v>
      </c>
      <c r="G16" s="8" t="s">
        <v>54</v>
      </c>
      <c r="H16" s="20">
        <v>0</v>
      </c>
      <c r="I16" s="8" t="s">
        <v>76</v>
      </c>
      <c r="J16" s="19">
        <v>0</v>
      </c>
      <c r="K16" s="8" t="s">
        <v>77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66088</v>
      </c>
      <c r="C17" s="19">
        <v>0</v>
      </c>
      <c r="D17" s="8" t="s">
        <v>57</v>
      </c>
      <c r="E17" s="20">
        <v>0</v>
      </c>
      <c r="F17" s="20">
        <v>4</v>
      </c>
      <c r="G17" s="8" t="s">
        <v>54</v>
      </c>
      <c r="H17" s="20">
        <v>4</v>
      </c>
      <c r="I17" s="8" t="s">
        <v>58</v>
      </c>
      <c r="J17" s="19">
        <v>0</v>
      </c>
      <c r="K17" s="8" t="s">
        <v>78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66089</v>
      </c>
      <c r="C18" s="19">
        <v>0</v>
      </c>
      <c r="D18" s="8" t="s">
        <v>79</v>
      </c>
      <c r="E18" s="20">
        <v>0</v>
      </c>
      <c r="F18" s="20">
        <v>8</v>
      </c>
      <c r="G18" s="8" t="s">
        <v>54</v>
      </c>
      <c r="H18" s="20">
        <v>8</v>
      </c>
      <c r="I18" s="8" t="s">
        <v>80</v>
      </c>
      <c r="J18" s="19">
        <v>0</v>
      </c>
      <c r="K18" s="8" t="s">
        <v>138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66090</v>
      </c>
      <c r="C19" s="19">
        <v>0</v>
      </c>
      <c r="D19" s="8" t="s">
        <v>81</v>
      </c>
      <c r="E19" s="20">
        <v>0</v>
      </c>
      <c r="F19" s="20">
        <v>4</v>
      </c>
      <c r="G19" s="8" t="s">
        <v>54</v>
      </c>
      <c r="H19" s="20">
        <v>4</v>
      </c>
      <c r="I19" s="8" t="s">
        <v>82</v>
      </c>
      <c r="J19" s="19">
        <v>0</v>
      </c>
      <c r="K19" s="8" t="s">
        <v>139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66091</v>
      </c>
      <c r="C20" s="19">
        <v>0</v>
      </c>
      <c r="D20" s="8" t="s">
        <v>121</v>
      </c>
      <c r="E20" s="20">
        <v>0</v>
      </c>
      <c r="F20" s="20">
        <v>20</v>
      </c>
      <c r="G20" s="8" t="s">
        <v>54</v>
      </c>
      <c r="H20" s="20">
        <v>20</v>
      </c>
      <c r="I20" s="8" t="s">
        <v>122</v>
      </c>
      <c r="J20" s="19">
        <v>0</v>
      </c>
      <c r="K20" s="8" t="s">
        <v>140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66092</v>
      </c>
      <c r="C21" s="19">
        <v>0</v>
      </c>
      <c r="D21" s="8" t="s">
        <v>123</v>
      </c>
      <c r="E21" s="20">
        <v>0</v>
      </c>
      <c r="F21" s="20">
        <v>50</v>
      </c>
      <c r="G21" s="8" t="s">
        <v>54</v>
      </c>
      <c r="H21" s="20">
        <v>50</v>
      </c>
      <c r="I21" s="8" t="s">
        <v>59</v>
      </c>
      <c r="J21" s="19">
        <v>0</v>
      </c>
      <c r="K21" s="8" t="s">
        <v>83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66093</v>
      </c>
      <c r="C22" s="19">
        <v>0</v>
      </c>
      <c r="D22" s="8" t="s">
        <v>124</v>
      </c>
      <c r="E22" s="20">
        <v>0</v>
      </c>
      <c r="F22" s="20">
        <v>30</v>
      </c>
      <c r="G22" s="8" t="s">
        <v>54</v>
      </c>
      <c r="H22" s="20">
        <v>30</v>
      </c>
      <c r="I22" s="8" t="s">
        <v>125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66094</v>
      </c>
      <c r="C23" s="19">
        <v>0</v>
      </c>
      <c r="D23" s="8" t="s">
        <v>84</v>
      </c>
      <c r="E23" s="20">
        <v>0</v>
      </c>
      <c r="F23" s="20">
        <v>5</v>
      </c>
      <c r="G23" s="8" t="s">
        <v>54</v>
      </c>
      <c r="H23" s="20">
        <v>5</v>
      </c>
      <c r="I23" s="8" t="s">
        <v>85</v>
      </c>
      <c r="J23" s="19">
        <v>0</v>
      </c>
      <c r="K23" s="8" t="s">
        <v>141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66095</v>
      </c>
      <c r="C24" s="19">
        <v>0</v>
      </c>
      <c r="D24" s="8" t="s">
        <v>126</v>
      </c>
      <c r="E24" s="20">
        <v>0</v>
      </c>
      <c r="F24" s="20">
        <v>20</v>
      </c>
      <c r="G24" s="8" t="s">
        <v>54</v>
      </c>
      <c r="H24" s="20">
        <v>20</v>
      </c>
      <c r="I24" s="8" t="s">
        <v>127</v>
      </c>
      <c r="J24" s="19">
        <v>0</v>
      </c>
      <c r="K24" s="8" t="s">
        <v>142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66096</v>
      </c>
      <c r="C25" s="19">
        <v>0</v>
      </c>
      <c r="D25" s="8" t="s">
        <v>143</v>
      </c>
      <c r="E25" s="20">
        <v>0</v>
      </c>
      <c r="F25" s="20">
        <v>20</v>
      </c>
      <c r="G25" s="8" t="s">
        <v>54</v>
      </c>
      <c r="H25" s="20">
        <v>20</v>
      </c>
      <c r="I25" s="8" t="s">
        <v>144</v>
      </c>
      <c r="J25" s="19">
        <v>0</v>
      </c>
      <c r="K25" s="8" t="s">
        <v>145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66097</v>
      </c>
      <c r="C26" s="19">
        <v>0</v>
      </c>
      <c r="D26" s="8" t="s">
        <v>128</v>
      </c>
      <c r="E26" s="20">
        <v>0</v>
      </c>
      <c r="F26" s="20">
        <v>20</v>
      </c>
      <c r="G26" s="8" t="s">
        <v>54</v>
      </c>
      <c r="H26" s="20">
        <v>20</v>
      </c>
      <c r="I26" s="8" t="s">
        <v>129</v>
      </c>
      <c r="J26" s="19">
        <v>0</v>
      </c>
      <c r="K26" s="8" t="s">
        <v>146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53</v>
      </c>
      <c r="B27" s="18">
        <v>66098</v>
      </c>
      <c r="C27" s="19">
        <v>0</v>
      </c>
      <c r="D27" s="8" t="s">
        <v>86</v>
      </c>
      <c r="E27" s="20">
        <v>0</v>
      </c>
      <c r="F27" s="20">
        <v>0</v>
      </c>
      <c r="G27" s="8" t="s">
        <v>54</v>
      </c>
      <c r="H27" s="20">
        <v>0</v>
      </c>
      <c r="I27" s="8" t="s">
        <v>87</v>
      </c>
      <c r="J27" s="19">
        <v>0</v>
      </c>
      <c r="K27" s="8" t="s">
        <v>86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66099</v>
      </c>
      <c r="C28" s="19">
        <v>0</v>
      </c>
      <c r="D28" s="8" t="s">
        <v>88</v>
      </c>
      <c r="E28" s="20">
        <v>0</v>
      </c>
      <c r="F28" s="20">
        <v>15</v>
      </c>
      <c r="G28" s="8" t="s">
        <v>54</v>
      </c>
      <c r="H28" s="20">
        <v>15</v>
      </c>
      <c r="I28" s="8" t="s">
        <v>89</v>
      </c>
      <c r="J28" s="19">
        <v>0</v>
      </c>
      <c r="K28" s="8" t="s">
        <v>147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66100</v>
      </c>
      <c r="C29" s="19">
        <v>0</v>
      </c>
      <c r="D29" s="8" t="s">
        <v>90</v>
      </c>
      <c r="E29" s="20">
        <v>0</v>
      </c>
      <c r="F29" s="20">
        <v>15</v>
      </c>
      <c r="G29" s="8" t="s">
        <v>54</v>
      </c>
      <c r="H29" s="20">
        <v>15</v>
      </c>
      <c r="I29" s="8" t="s">
        <v>91</v>
      </c>
      <c r="J29" s="19">
        <v>0</v>
      </c>
      <c r="K29" s="8" t="s">
        <v>148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72</v>
      </c>
      <c r="B30" s="18">
        <v>66101</v>
      </c>
      <c r="C30" s="19">
        <v>0</v>
      </c>
      <c r="D30" s="8" t="s">
        <v>149</v>
      </c>
      <c r="E30" s="20">
        <v>0</v>
      </c>
      <c r="F30" s="20">
        <v>60</v>
      </c>
      <c r="G30" s="8" t="s">
        <v>54</v>
      </c>
      <c r="H30" s="20">
        <v>60</v>
      </c>
      <c r="I30" s="8" t="s">
        <v>150</v>
      </c>
      <c r="J30" s="19">
        <v>0</v>
      </c>
      <c r="K30" s="8" t="s">
        <v>151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72</v>
      </c>
      <c r="B31" s="18">
        <v>66102</v>
      </c>
      <c r="C31" s="19">
        <v>0</v>
      </c>
      <c r="D31" s="8" t="s">
        <v>152</v>
      </c>
      <c r="E31" s="20">
        <v>0</v>
      </c>
      <c r="F31" s="20">
        <v>6</v>
      </c>
      <c r="G31" s="8" t="s">
        <v>54</v>
      </c>
      <c r="H31" s="20">
        <v>6</v>
      </c>
      <c r="I31" s="8" t="s">
        <v>153</v>
      </c>
      <c r="J31" s="19">
        <v>0</v>
      </c>
      <c r="K31" s="8" t="s">
        <v>154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66103</v>
      </c>
      <c r="C32" s="19">
        <v>0</v>
      </c>
      <c r="D32" s="8" t="s">
        <v>92</v>
      </c>
      <c r="E32" s="20">
        <v>0</v>
      </c>
      <c r="F32" s="20">
        <v>0</v>
      </c>
      <c r="G32" s="8" t="s">
        <v>54</v>
      </c>
      <c r="H32" s="20">
        <v>0</v>
      </c>
      <c r="I32" s="8" t="s">
        <v>93</v>
      </c>
      <c r="J32" s="19">
        <v>0</v>
      </c>
      <c r="K32" s="8" t="s">
        <v>94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66104</v>
      </c>
      <c r="C33" s="19">
        <v>0</v>
      </c>
      <c r="D33" s="8" t="s">
        <v>95</v>
      </c>
      <c r="E33" s="20">
        <v>0</v>
      </c>
      <c r="F33" s="20">
        <v>10</v>
      </c>
      <c r="G33" s="8" t="s">
        <v>54</v>
      </c>
      <c r="H33" s="20">
        <v>10</v>
      </c>
      <c r="I33" s="8" t="s">
        <v>96</v>
      </c>
      <c r="J33" s="19">
        <v>0</v>
      </c>
      <c r="K33" s="8" t="s">
        <v>155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66105</v>
      </c>
      <c r="C34" s="19">
        <v>0</v>
      </c>
      <c r="D34" s="8" t="s">
        <v>97</v>
      </c>
      <c r="E34" s="20">
        <v>0</v>
      </c>
      <c r="F34" s="20">
        <v>6</v>
      </c>
      <c r="G34" s="8" t="s">
        <v>54</v>
      </c>
      <c r="H34" s="20">
        <v>6</v>
      </c>
      <c r="I34" s="8" t="s">
        <v>98</v>
      </c>
      <c r="J34" s="19">
        <v>0</v>
      </c>
      <c r="K34" s="8" t="s">
        <v>156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66106</v>
      </c>
      <c r="C35" s="19">
        <v>0</v>
      </c>
      <c r="D35" s="8" t="s">
        <v>99</v>
      </c>
      <c r="E35" s="20">
        <v>0</v>
      </c>
      <c r="F35" s="20">
        <v>15</v>
      </c>
      <c r="G35" s="8" t="s">
        <v>54</v>
      </c>
      <c r="H35" s="20">
        <v>15</v>
      </c>
      <c r="I35" s="8" t="s">
        <v>100</v>
      </c>
      <c r="J35" s="19">
        <v>0</v>
      </c>
      <c r="K35" s="8" t="s">
        <v>157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66107</v>
      </c>
      <c r="C36" s="19">
        <v>0</v>
      </c>
      <c r="D36" s="8" t="s">
        <v>158</v>
      </c>
      <c r="E36" s="20">
        <v>0</v>
      </c>
      <c r="F36" s="20">
        <v>45</v>
      </c>
      <c r="G36" s="8" t="s">
        <v>54</v>
      </c>
      <c r="H36" s="20">
        <v>45</v>
      </c>
      <c r="I36" s="8" t="s">
        <v>159</v>
      </c>
      <c r="J36" s="19">
        <v>0</v>
      </c>
      <c r="K36" s="8" t="s">
        <v>160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66108</v>
      </c>
      <c r="C37" s="19">
        <v>0</v>
      </c>
      <c r="D37" s="8" t="s">
        <v>92</v>
      </c>
      <c r="E37" s="20">
        <v>0</v>
      </c>
      <c r="F37" s="20">
        <v>0</v>
      </c>
      <c r="G37" s="8" t="s">
        <v>54</v>
      </c>
      <c r="H37" s="20">
        <v>0</v>
      </c>
      <c r="I37" s="8" t="s">
        <v>93</v>
      </c>
      <c r="J37" s="19">
        <v>0</v>
      </c>
      <c r="K37" s="8" t="s">
        <v>94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66109</v>
      </c>
      <c r="C38" s="19">
        <v>0</v>
      </c>
      <c r="D38" s="8" t="s">
        <v>161</v>
      </c>
      <c r="E38" s="20">
        <v>0</v>
      </c>
      <c r="F38" s="20">
        <v>5</v>
      </c>
      <c r="G38" s="8" t="s">
        <v>54</v>
      </c>
      <c r="H38" s="20">
        <v>5</v>
      </c>
      <c r="I38" s="8" t="s">
        <v>162</v>
      </c>
      <c r="J38" s="19">
        <v>0</v>
      </c>
      <c r="K38" s="8" t="s">
        <v>163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66110</v>
      </c>
      <c r="C39" s="19">
        <v>0</v>
      </c>
      <c r="D39" s="8" t="s">
        <v>164</v>
      </c>
      <c r="E39" s="20">
        <v>0</v>
      </c>
      <c r="F39" s="20">
        <v>15</v>
      </c>
      <c r="G39" s="8" t="s">
        <v>54</v>
      </c>
      <c r="H39" s="20">
        <v>15</v>
      </c>
      <c r="I39" s="8" t="s">
        <v>165</v>
      </c>
      <c r="J39" s="19">
        <v>0</v>
      </c>
      <c r="K39" s="8" t="s">
        <v>166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66111</v>
      </c>
      <c r="C40" s="19">
        <v>0</v>
      </c>
      <c r="D40" s="8" t="s">
        <v>167</v>
      </c>
      <c r="E40" s="20">
        <v>0</v>
      </c>
      <c r="F40" s="20">
        <v>12</v>
      </c>
      <c r="G40" s="8" t="s">
        <v>54</v>
      </c>
      <c r="H40" s="20">
        <v>12</v>
      </c>
      <c r="I40" s="8" t="s">
        <v>168</v>
      </c>
      <c r="J40" s="19">
        <v>0</v>
      </c>
      <c r="K40" s="8" t="s">
        <v>169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66112</v>
      </c>
      <c r="C41" s="19">
        <v>0</v>
      </c>
      <c r="D41" s="8" t="s">
        <v>170</v>
      </c>
      <c r="E41" s="20">
        <v>0</v>
      </c>
      <c r="F41" s="20">
        <v>36</v>
      </c>
      <c r="G41" s="8" t="s">
        <v>54</v>
      </c>
      <c r="H41" s="20">
        <v>36</v>
      </c>
      <c r="I41" s="8" t="s">
        <v>171</v>
      </c>
      <c r="J41" s="19">
        <v>0</v>
      </c>
      <c r="K41" s="8" t="s">
        <v>172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72</v>
      </c>
      <c r="B42" s="18">
        <v>66113</v>
      </c>
      <c r="C42" s="19">
        <v>0</v>
      </c>
      <c r="D42" s="8" t="s">
        <v>130</v>
      </c>
      <c r="E42" s="20">
        <v>0</v>
      </c>
      <c r="F42" s="20">
        <v>16</v>
      </c>
      <c r="G42" s="8" t="s">
        <v>54</v>
      </c>
      <c r="H42" s="20">
        <v>16</v>
      </c>
      <c r="I42" s="8" t="s">
        <v>131</v>
      </c>
      <c r="J42" s="19">
        <v>0</v>
      </c>
      <c r="K42" s="8" t="s">
        <v>173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66114</v>
      </c>
      <c r="C43" s="19">
        <v>0</v>
      </c>
      <c r="D43" s="8" t="s">
        <v>101</v>
      </c>
      <c r="E43" s="20">
        <v>0</v>
      </c>
      <c r="F43" s="20">
        <v>0</v>
      </c>
      <c r="G43" s="8" t="s">
        <v>54</v>
      </c>
      <c r="H43" s="20">
        <v>0</v>
      </c>
      <c r="I43" s="8" t="s">
        <v>102</v>
      </c>
      <c r="J43" s="19">
        <v>0</v>
      </c>
      <c r="K43" s="8" t="s">
        <v>101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72</v>
      </c>
      <c r="B44" s="18">
        <v>66115</v>
      </c>
      <c r="C44" s="19">
        <v>0</v>
      </c>
      <c r="D44" s="8" t="s">
        <v>103</v>
      </c>
      <c r="E44" s="20">
        <v>0</v>
      </c>
      <c r="F44" s="20">
        <v>6</v>
      </c>
      <c r="G44" s="8" t="s">
        <v>54</v>
      </c>
      <c r="H44" s="20">
        <v>6</v>
      </c>
      <c r="I44" s="8" t="s">
        <v>104</v>
      </c>
      <c r="J44" s="19">
        <v>0</v>
      </c>
      <c r="K44" s="8" t="s">
        <v>174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72</v>
      </c>
      <c r="B45" s="18">
        <v>66116</v>
      </c>
      <c r="C45" s="19">
        <v>0</v>
      </c>
      <c r="D45" s="8" t="s">
        <v>175</v>
      </c>
      <c r="E45" s="20">
        <v>0</v>
      </c>
      <c r="F45" s="20">
        <v>20</v>
      </c>
      <c r="G45" s="8" t="s">
        <v>54</v>
      </c>
      <c r="H45" s="20">
        <v>20</v>
      </c>
      <c r="I45" s="8" t="s">
        <v>176</v>
      </c>
      <c r="J45" s="19">
        <v>0</v>
      </c>
      <c r="K45" s="8" t="s">
        <v>177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105</v>
      </c>
      <c r="B46" s="18">
        <v>66117</v>
      </c>
      <c r="C46" s="19">
        <v>0</v>
      </c>
      <c r="D46" s="8" t="s">
        <v>106</v>
      </c>
      <c r="E46" s="20">
        <v>0</v>
      </c>
      <c r="F46" s="20">
        <v>4</v>
      </c>
      <c r="G46" s="8" t="s">
        <v>54</v>
      </c>
      <c r="H46" s="20">
        <v>4</v>
      </c>
      <c r="I46" s="8" t="s">
        <v>107</v>
      </c>
      <c r="J46" s="19">
        <v>0</v>
      </c>
      <c r="K46" s="8" t="s">
        <v>108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72</v>
      </c>
      <c r="B47" s="18">
        <v>66118</v>
      </c>
      <c r="C47" s="19">
        <v>0</v>
      </c>
      <c r="D47" s="8" t="s">
        <v>178</v>
      </c>
      <c r="E47" s="20">
        <v>0</v>
      </c>
      <c r="F47" s="20">
        <v>120</v>
      </c>
      <c r="G47" s="8" t="s">
        <v>54</v>
      </c>
      <c r="H47" s="20">
        <v>120</v>
      </c>
      <c r="I47" s="8" t="s">
        <v>179</v>
      </c>
      <c r="J47" s="19">
        <v>0</v>
      </c>
      <c r="K47" s="8" t="s">
        <v>180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72</v>
      </c>
      <c r="B48" s="18">
        <v>66119</v>
      </c>
      <c r="C48" s="19">
        <v>0</v>
      </c>
      <c r="D48" s="8" t="s">
        <v>60</v>
      </c>
      <c r="E48" s="20">
        <v>0</v>
      </c>
      <c r="F48" s="20">
        <v>6</v>
      </c>
      <c r="G48" s="8" t="s">
        <v>54</v>
      </c>
      <c r="H48" s="20">
        <v>6</v>
      </c>
      <c r="I48" s="8" t="s">
        <v>61</v>
      </c>
      <c r="J48" s="19">
        <v>0</v>
      </c>
      <c r="K48" s="8" t="s">
        <v>181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72</v>
      </c>
      <c r="B49" s="18">
        <v>66120</v>
      </c>
      <c r="C49" s="19">
        <v>0</v>
      </c>
      <c r="D49" s="8" t="s">
        <v>132</v>
      </c>
      <c r="E49" s="20">
        <v>0</v>
      </c>
      <c r="F49" s="20">
        <v>30</v>
      </c>
      <c r="G49" s="8" t="s">
        <v>54</v>
      </c>
      <c r="H49" s="20">
        <v>30</v>
      </c>
      <c r="I49" s="8" t="s">
        <v>133</v>
      </c>
      <c r="J49" s="19">
        <v>0</v>
      </c>
      <c r="K49" s="8" t="s">
        <v>182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72</v>
      </c>
      <c r="B50" s="18">
        <v>66121</v>
      </c>
      <c r="C50" s="19">
        <v>0</v>
      </c>
      <c r="D50" s="8" t="s">
        <v>109</v>
      </c>
      <c r="E50" s="20">
        <v>0</v>
      </c>
      <c r="F50" s="20">
        <v>5</v>
      </c>
      <c r="G50" s="8" t="s">
        <v>54</v>
      </c>
      <c r="H50" s="20">
        <v>5</v>
      </c>
      <c r="I50" s="8" t="s">
        <v>110</v>
      </c>
      <c r="J50" s="19">
        <v>0</v>
      </c>
      <c r="K50" s="8" t="s">
        <v>183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72</v>
      </c>
      <c r="B51" s="18">
        <v>66132</v>
      </c>
      <c r="C51" s="19">
        <v>0</v>
      </c>
      <c r="D51" s="8" t="s">
        <v>111</v>
      </c>
      <c r="E51" s="20">
        <v>0</v>
      </c>
      <c r="F51" s="20">
        <v>25</v>
      </c>
      <c r="G51" s="8" t="s">
        <v>54</v>
      </c>
      <c r="H51" s="20">
        <v>25</v>
      </c>
      <c r="I51" s="8" t="s">
        <v>112</v>
      </c>
      <c r="J51" s="19">
        <v>0</v>
      </c>
      <c r="K51" s="8" t="s">
        <v>184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105</v>
      </c>
      <c r="B52" s="18">
        <v>66122</v>
      </c>
      <c r="C52" s="19">
        <v>0</v>
      </c>
      <c r="D52" s="8" t="s">
        <v>113</v>
      </c>
      <c r="E52" s="20">
        <v>0</v>
      </c>
      <c r="F52" s="20">
        <v>2</v>
      </c>
      <c r="G52" s="8" t="s">
        <v>54</v>
      </c>
      <c r="H52" s="20">
        <v>2</v>
      </c>
      <c r="I52" s="8" t="s">
        <v>114</v>
      </c>
      <c r="J52" s="19">
        <v>0</v>
      </c>
      <c r="K52" s="8" t="s">
        <v>115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62</v>
      </c>
      <c r="B53" s="18">
        <v>66123</v>
      </c>
      <c r="C53" s="19">
        <v>0</v>
      </c>
      <c r="D53" s="8" t="s">
        <v>116</v>
      </c>
      <c r="E53" s="20">
        <v>0</v>
      </c>
      <c r="F53" s="20">
        <v>15</v>
      </c>
      <c r="G53" s="8" t="s">
        <v>54</v>
      </c>
      <c r="H53" s="20">
        <v>15</v>
      </c>
      <c r="I53" s="8" t="s">
        <v>117</v>
      </c>
      <c r="J53" s="19">
        <v>0</v>
      </c>
      <c r="K53" s="8" t="s">
        <v>118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53</v>
      </c>
      <c r="B54" s="18">
        <v>66124</v>
      </c>
      <c r="C54" s="19">
        <v>0</v>
      </c>
      <c r="D54" s="8" t="s">
        <v>119</v>
      </c>
      <c r="E54" s="20">
        <v>0</v>
      </c>
      <c r="F54" s="20">
        <v>0</v>
      </c>
      <c r="G54" s="8" t="s">
        <v>54</v>
      </c>
      <c r="H54" s="20">
        <v>0</v>
      </c>
      <c r="I54" s="8" t="s">
        <v>120</v>
      </c>
      <c r="J54" s="19">
        <v>0</v>
      </c>
      <c r="K54" s="8" t="s">
        <v>119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105</v>
      </c>
      <c r="B55" s="18">
        <v>66125</v>
      </c>
      <c r="C55" s="19">
        <v>0</v>
      </c>
      <c r="D55" s="8" t="s">
        <v>185</v>
      </c>
      <c r="E55" s="20">
        <v>0</v>
      </c>
      <c r="F55" s="20">
        <v>2</v>
      </c>
      <c r="G55" s="8" t="s">
        <v>54</v>
      </c>
      <c r="H55" s="20">
        <v>2</v>
      </c>
      <c r="I55" s="8" t="s">
        <v>186</v>
      </c>
      <c r="J55" s="19">
        <v>0</v>
      </c>
      <c r="K55" s="8" t="s">
        <v>187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53</v>
      </c>
      <c r="B56" s="18">
        <v>66126</v>
      </c>
      <c r="C56" s="19">
        <v>0</v>
      </c>
      <c r="D56" s="8" t="s">
        <v>188</v>
      </c>
      <c r="E56" s="20">
        <v>0</v>
      </c>
      <c r="F56" s="20">
        <v>0</v>
      </c>
      <c r="G56" s="8" t="s">
        <v>54</v>
      </c>
      <c r="H56" s="20">
        <v>0</v>
      </c>
      <c r="I56" s="8" t="s">
        <v>189</v>
      </c>
      <c r="J56" s="19">
        <v>0</v>
      </c>
      <c r="K56" s="8" t="s">
        <v>188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53</v>
      </c>
      <c r="B57" s="18">
        <v>66127</v>
      </c>
      <c r="C57" s="19">
        <v>0</v>
      </c>
      <c r="D57" s="8" t="s">
        <v>190</v>
      </c>
      <c r="E57" s="20">
        <v>0</v>
      </c>
      <c r="F57" s="20">
        <v>0</v>
      </c>
      <c r="G57" s="8" t="s">
        <v>54</v>
      </c>
      <c r="H57" s="20">
        <v>0</v>
      </c>
      <c r="I57" s="8" t="s">
        <v>191</v>
      </c>
      <c r="J57" s="19">
        <v>0</v>
      </c>
      <c r="K57" s="8" t="s">
        <v>190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62</v>
      </c>
      <c r="B58" s="18">
        <v>66128</v>
      </c>
      <c r="C58" s="19">
        <v>0</v>
      </c>
      <c r="D58" s="8" t="s">
        <v>192</v>
      </c>
      <c r="E58" s="20">
        <v>0</v>
      </c>
      <c r="F58" s="20">
        <v>2</v>
      </c>
      <c r="G58" s="8" t="s">
        <v>54</v>
      </c>
      <c r="H58" s="20">
        <v>2</v>
      </c>
      <c r="I58" s="8" t="s">
        <v>193</v>
      </c>
      <c r="J58" s="19">
        <v>0</v>
      </c>
      <c r="K58" s="8" t="s">
        <v>194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62</v>
      </c>
      <c r="B59" s="18">
        <v>66129</v>
      </c>
      <c r="C59" s="19">
        <v>0</v>
      </c>
      <c r="D59" s="8" t="s">
        <v>195</v>
      </c>
      <c r="E59" s="20">
        <v>0</v>
      </c>
      <c r="F59" s="20">
        <v>2</v>
      </c>
      <c r="G59" s="8" t="s">
        <v>54</v>
      </c>
      <c r="H59" s="20">
        <v>2</v>
      </c>
      <c r="I59" s="8" t="s">
        <v>196</v>
      </c>
      <c r="J59" s="19">
        <v>0</v>
      </c>
      <c r="K59" s="8" t="s">
        <v>197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53</v>
      </c>
      <c r="B60" s="18">
        <v>66130</v>
      </c>
      <c r="C60" s="19">
        <v>0</v>
      </c>
      <c r="D60" s="8" t="s">
        <v>63</v>
      </c>
      <c r="E60" s="20">
        <v>0</v>
      </c>
      <c r="F60" s="20">
        <v>0</v>
      </c>
      <c r="G60" s="8" t="s">
        <v>54</v>
      </c>
      <c r="H60" s="20">
        <v>0</v>
      </c>
      <c r="I60" s="8" t="s">
        <v>64</v>
      </c>
      <c r="J60" s="19">
        <v>0</v>
      </c>
      <c r="K60" s="8" t="s">
        <v>65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66</v>
      </c>
      <c r="B61" s="18">
        <v>66131</v>
      </c>
      <c r="C61" s="19">
        <v>0</v>
      </c>
      <c r="D61" s="8" t="s">
        <v>67</v>
      </c>
      <c r="E61" s="20">
        <v>0</v>
      </c>
      <c r="F61" s="20">
        <v>3</v>
      </c>
      <c r="G61" s="8" t="s">
        <v>54</v>
      </c>
      <c r="H61" s="20">
        <v>3</v>
      </c>
      <c r="I61" s="8" t="s">
        <v>68</v>
      </c>
      <c r="J61" s="19">
        <v>0</v>
      </c>
      <c r="K61" s="8" t="s">
        <v>69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/>
    <row r="63" spans="1:14" ht="12.75" customHeight="1" x14ac:dyDescent="0.2">
      <c r="B63" s="8" t="s">
        <v>16</v>
      </c>
      <c r="C63" s="8" t="s">
        <v>134</v>
      </c>
      <c r="E63" s="8" t="s">
        <v>19</v>
      </c>
      <c r="F63" s="8" t="s">
        <v>19</v>
      </c>
      <c r="G63" s="8" t="s">
        <v>21</v>
      </c>
      <c r="H63" s="8" t="s">
        <v>19</v>
      </c>
      <c r="J63" s="8" t="s">
        <v>19</v>
      </c>
    </row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117-25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4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117-25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FOR RFSO NOZZLES ONLY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8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117-25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.115</v>
      </c>
      <c r="C14" s="40" t="str">
        <f>'Build Plan w Hours'!D9</f>
        <v>Make manway parts: cut clips, form handles, etc. _x000D_
FOR K1, K2, L &amp; M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4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117-25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.140</v>
      </c>
      <c r="C20" s="40" t="str">
        <f>'Build Plan w Hours'!D10</f>
        <v>Build hatch/door_x000D_
FOR K1, K2, L &amp; M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20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117-25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50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117-25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30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117-25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.200</v>
      </c>
      <c r="C38" s="40" t="str">
        <f>'Build Plan w Hours'!D13</f>
        <v>Make lift lugs, ground lugs, etc.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5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117-25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.255</v>
      </c>
      <c r="C44" s="40" t="str">
        <f>'Build Plan w Hours'!D14</f>
        <v>Drill/punch holes_x000D_
CHECK ALL BOLT HOLES CUT ON CNC TABLE; REAM AS REQD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20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117-25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.257</v>
      </c>
      <c r="C50" s="40" t="str">
        <f>'Build Plan w Hours'!D15</f>
        <v>Build Flanges_x000D_
FOR K1, K2, L, M, N, O, P1 &amp; P2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20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117-25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BUIILD LEFT &amp; RIGHT BOTTOM BRACKET ASSEMBLIES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20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117-25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.QC3</v>
      </c>
      <c r="C62" s="40" t="str">
        <f>'Build Plan w Hours'!D17</f>
        <v>UT Shells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117-25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.305</v>
      </c>
      <c r="C68" s="40" t="str">
        <f>'Build Plan w Hours'!D18</f>
        <v>Shells: bring in plate, square, trim and clean_x000D_
LAYOUT &amp; PREP (4) SHELL SECTIONS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15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117-25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.315</v>
      </c>
      <c r="C74" s="40" t="str">
        <f>'Build Plan w Hours'!D19</f>
        <v>Roll shells, tack and weld inside seams_x000D_
FORM (4) SHELL SECTIONS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15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117-25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.320</v>
      </c>
      <c r="C80" s="40" t="str">
        <f>'Build Plan w Hours'!D20</f>
        <v>Set up and weld sides - rectangular tank _x000D_
FIT, TACK &amp; WELD SHELL &amp; CASING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60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117-25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.325</v>
      </c>
      <c r="C86" s="40" t="str">
        <f>'Build Plan w Hours'!D21</f>
        <v>Install body flange on shell - tack_x000D_
MOUNT END FLANGE ON SHELL &amp; WELD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6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117-25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117-25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holes_x000D_
BEVEL/PREP HOLES CUT ON CNC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10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117-25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.365</v>
      </c>
      <c r="C104" s="40" t="str">
        <f>'Build Plan w Hours'!D24</f>
        <v>Set  nozzles, lift lugs, etc. in top head - tack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6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117-25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.366</v>
      </c>
      <c r="C110" s="40" t="str">
        <f>'Build Plan w Hours'!D25</f>
        <v>Weld out top head nozzles, etc.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15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117-25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.375</v>
      </c>
      <c r="C116" s="40" t="str">
        <f>'Build Plan w Hours'!D26</f>
        <v>Install top stiffeners_x000D_
FIT &amp; WELD (11) STIFFENERS + (4) CHANNEL STIFFENERS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45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117-25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117-25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.465</v>
      </c>
      <c r="C128" s="40" t="str">
        <f>'Build Plan w Hours'!D28</f>
        <v>Set  nozzles in bottom head - tack_x000D_
FOR NOZZLES 0 (BOTTOM) &amp; P1, P2 (COVER)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5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117-25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.466</v>
      </c>
      <c r="C134" s="40" t="str">
        <f>'Build Plan w Hours'!D29</f>
        <v>Weld nozzles in bottom head; weld complete_x000D_
FOR NOZZLES O (BOTTOM) &amp; P1, P2 (COVER)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15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117-25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.470</v>
      </c>
      <c r="C140" s="40" t="str">
        <f>'Build Plan w Hours'!D30</f>
        <v>Install and weld out repads - bottom head_x000D_
(8) BOTTOM SUPPORT PADS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12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117-25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.475</v>
      </c>
      <c r="C146" s="40" t="str">
        <f>'Build Plan w Hours'!D31</f>
        <v>Install bottom stiffeners_x000D_
FIT &amp; WELD (12) BOTTOM SHELL STIFFENERS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36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117-25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.630</v>
      </c>
      <c r="C152" s="40" t="str">
        <f>'Build Plan w Hours'!D32</f>
        <v>Install internals - wear plates, rings, clips, etc._x000D_
FIT &amp; WELD (4) INTERNAL ANGLES ON BOTTOM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16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117-25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.QC5</v>
      </c>
      <c r="C158" s="40" t="str">
        <f>'Build Plan w Hours'!D33</f>
        <v>QC Inspection - Internal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117-25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.640</v>
      </c>
      <c r="C164" s="40" t="str">
        <f>'Build Plan w Hours'!D34</f>
        <v>Fit top head to shell - tack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6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117-25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.641</v>
      </c>
      <c r="C170" s="40" t="str">
        <f>'Build Plan w Hours'!D35</f>
        <v>Weld top head to shell - inside_x000D_
WELD TOP PLATE INSIDE &amp; OUTSIDE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20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117-25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.800</v>
      </c>
      <c r="C176" s="40" t="str">
        <f>'Build Plan w Hours'!D36</f>
        <v>Move tank to detail rolls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4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117-25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.715</v>
      </c>
      <c r="C182" s="40" t="str">
        <f>'Build Plan w Hours'!D37</f>
        <v>Install insulation/vacuum rings - tack_x000D_
INSTALL HORIZONTAL &amp; VERTICAL SHELL STIFFENERS &amp; WELD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120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117-25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.717</v>
      </c>
      <c r="C188" s="40" t="str">
        <f>'Build Plan w Hours'!D38</f>
        <v>Install lift lugs on shell_x000D_
INCL L &amp; R TOP SUPPORT BRACKETS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6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117-25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.721</v>
      </c>
      <c r="C194" s="40" t="str">
        <f>'Build Plan w Hours'!D39</f>
        <v>Weld insulation / vacuum rings, lugs, supports, etc._x000D_
FIT &amp; WELD LEFT &amp; RIGHT MOUNTING BRACKET ASSEMBLIES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30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117-25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.725</v>
      </c>
      <c r="C200" s="40" t="str">
        <f>'Build Plan w Hours'!D40</f>
        <v>Set nozzles in shell - tack_x000D_
FOR NOZZLES I, J, L, &amp; M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5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117-25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.726</v>
      </c>
      <c r="C206" s="40" t="str">
        <f>'Build Plan w Hours'!D41</f>
        <v>Weld shell nozzles, manways, etc._x000D_
FOR NOZZLES I, J, L &amp; M (INCL HOLE WATCH)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25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117-25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.801</v>
      </c>
      <c r="C212" s="40" t="str">
        <f>'Build Plan w Hours'!D42</f>
        <v>Move to shop test area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2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117-25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.910</v>
      </c>
      <c r="C218" s="40" t="str">
        <f>'Build Plan w Hours'!D43</f>
        <v>Test tank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15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117-25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.QC7</v>
      </c>
      <c r="C224" s="40" t="str">
        <f>'Build Plan w Hours'!D44</f>
        <v>QC Inspection - Test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117-25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.802</v>
      </c>
      <c r="C230" s="40" t="str">
        <f>'Build Plan w Hours'!D45</f>
        <v>Move to paint area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117-25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.QC9</v>
      </c>
      <c r="C236" s="40" t="str">
        <f>'Build Plan w Hours'!D46</f>
        <v>QC Inspection - Sandblast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117-25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.QC90</v>
      </c>
      <c r="C242" s="40" t="str">
        <f>'Build Plan w Hours'!D47</f>
        <v>QC Inspection - Paint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117-25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.940</v>
      </c>
      <c r="C248" s="40" t="str">
        <f>'Build Plan w Hours'!D48</f>
        <v>Prepare tank for shipment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2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117-25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.950</v>
      </c>
      <c r="C254" s="40" t="str">
        <f>'Build Plan w Hours'!D49</f>
        <v>Check bill of materials and pack loose parts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117-25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.QC95</v>
      </c>
      <c r="C260" s="40" t="str">
        <f>'Build Plan w Hours'!D50</f>
        <v>QC Inspection - Final &amp; Loose Items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117-25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.960</v>
      </c>
      <c r="C266" s="40" t="str">
        <f>'Build Plan w Hours'!D51</f>
        <v>Load on truck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3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117-25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117-25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 t="str">
        <f>'Build Plan w Hours'!E53</f>
        <v/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117-25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117-25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117-25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117-25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117-25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117-25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117-25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117-25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117-25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117-25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117-25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117-25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117-25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117-25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117-25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117-25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117-25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117-25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117-25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117-25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117-25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117-25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117-25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117-25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117-25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117-25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117-25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117-25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117-25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117-25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117-25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117-25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117-25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117-25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117-25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FOR RFSO NOZZLES ONLY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117-25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.115</v>
      </c>
      <c r="C14" s="40" t="str">
        <f>'Build Plan w Hours'!D9</f>
        <v>Make manway parts: cut clips, form handles, etc. _x000D_
FOR K1, K2, L &amp; M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117-25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.140</v>
      </c>
      <c r="C20" s="40" t="str">
        <f>'Build Plan w Hours'!D10</f>
        <v>Build hatch/door_x000D_
FOR K1, K2, L &amp; M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117-25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117-25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>
        <f>'Build Plan w Hours'!D12</f>
        <v>0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117-25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.200</v>
      </c>
      <c r="C38" s="40" t="str">
        <f>'Build Plan w Hours'!D13</f>
        <v>Make lift lugs, ground lugs, etc.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117-25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.255</v>
      </c>
      <c r="C44" s="40" t="str">
        <f>'Build Plan w Hours'!D14</f>
        <v>Drill/punch holes_x000D_
CHECK ALL BOLT HOLES CUT ON CNC TABLE; REAM AS REQD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117-25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.257</v>
      </c>
      <c r="C50" s="40" t="str">
        <f>'Build Plan w Hours'!D15</f>
        <v>Build Flanges_x000D_
FOR K1, K2, L, M, N, O, P1 &amp; P2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117-25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.261</v>
      </c>
      <c r="C56" s="40" t="str">
        <f>'Build Plan w Hours'!D16</f>
        <v>Miscellaneous Fabrication - Braces, Mounting Plates, Cone Outlet Necks_x000D_
BUIILD LEFT &amp; RIGHT BOTTOM BRACKET ASSEMBLIES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117-25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.QC3</v>
      </c>
      <c r="C62" s="40" t="str">
        <f>'Build Plan w Hours'!D17</f>
        <v>UT Shells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117-25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.305</v>
      </c>
      <c r="C68" s="40" t="str">
        <f>'Build Plan w Hours'!D18</f>
        <v>Shells: bring in plate, square, trim and clean_x000D_
LAYOUT &amp; PREP (4) SHELL SECTIONS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117-25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.315</v>
      </c>
      <c r="C74" s="40" t="str">
        <f>'Build Plan w Hours'!D19</f>
        <v>Roll shells, tack and weld inside seams_x000D_
FORM (4) SHELL SECTIONS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117-25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.320</v>
      </c>
      <c r="C80" s="40" t="str">
        <f>'Build Plan w Hours'!D20</f>
        <v>Set up and weld sides - rectangular tank _x000D_
FIT, TACK &amp; WELD SHELL &amp; CASING PLATES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117-25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.325</v>
      </c>
      <c r="C86" s="40" t="str">
        <f>'Build Plan w Hours'!D21</f>
        <v>Install body flange on shell - tack_x000D_
MOUNT END FLANGE ON SHELL &amp; WELD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117-25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117-25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holes_x000D_
BEVEL/PREP HOLES CUT ON CNC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117-25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.365</v>
      </c>
      <c r="C104" s="40" t="str">
        <f>'Build Plan w Hours'!D24</f>
        <v>Set  nozzles, lift lugs, etc. in top head - tack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117-25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.366</v>
      </c>
      <c r="C110" s="40" t="str">
        <f>'Build Plan w Hours'!D25</f>
        <v>Weld out top head nozzles, etc.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117-25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.375</v>
      </c>
      <c r="C116" s="40" t="str">
        <f>'Build Plan w Hours'!D26</f>
        <v>Install top stiffeners_x000D_
FIT &amp; WELD (11) STIFFENERS + (4) CHANNEL STIFFENERS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117-25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117-25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.465</v>
      </c>
      <c r="C128" s="40" t="str">
        <f>'Build Plan w Hours'!D28</f>
        <v>Set  nozzles in bottom head - tack_x000D_
FOR NOZZLES 0 (BOTTOM) &amp; P1, P2 (COVER)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117-25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.466</v>
      </c>
      <c r="C134" s="40" t="str">
        <f>'Build Plan w Hours'!D29</f>
        <v>Weld nozzles in bottom head; weld complete_x000D_
FOR NOZZLES O (BOTTOM) &amp; P1, P2 (COVER)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117-25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.470</v>
      </c>
      <c r="C140" s="40" t="str">
        <f>'Build Plan w Hours'!D30</f>
        <v>Install and weld out repads - bottom head_x000D_
(8) BOTTOM SUPPORT PADS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117-25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.475</v>
      </c>
      <c r="C146" s="40" t="str">
        <f>'Build Plan w Hours'!D31</f>
        <v>Install bottom stiffeners_x000D_
FIT &amp; WELD (12) BOTTOM SHELL STIFFENERS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117-25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.630</v>
      </c>
      <c r="C152" s="40" t="str">
        <f>'Build Plan w Hours'!D32</f>
        <v>Install internals - wear plates, rings, clips, etc._x000D_
FIT &amp; WELD (4) INTERNAL ANGLES ON BOTTOM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117-25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.QC5</v>
      </c>
      <c r="C158" s="40" t="str">
        <f>'Build Plan w Hours'!D33</f>
        <v>QC Inspection - Internal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117-25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.640</v>
      </c>
      <c r="C164" s="40" t="str">
        <f>'Build Plan w Hours'!D34</f>
        <v>Fit top head to shell - tack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117-25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.641</v>
      </c>
      <c r="C170" s="40" t="str">
        <f>'Build Plan w Hours'!D35</f>
        <v>Weld top head to shell - inside_x000D_
WELD TOP PLATE INSIDE &amp; OUTSIDE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117-25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.800</v>
      </c>
      <c r="C176" s="40" t="str">
        <f>'Build Plan w Hours'!D36</f>
        <v>Move tank to detail rolls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117-25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.715</v>
      </c>
      <c r="C182" s="40" t="str">
        <f>'Build Plan w Hours'!D37</f>
        <v>Install insulation/vacuum rings - tack_x000D_
INSTALL HORIZONTAL &amp; VERTICAL SHELL STIFFENERS &amp; WELD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117-25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.717</v>
      </c>
      <c r="C188" s="40" t="str">
        <f>'Build Plan w Hours'!D38</f>
        <v>Install lift lugs on shell_x000D_
INCL L &amp; R TOP SUPPORT BRACKETS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117-25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.721</v>
      </c>
      <c r="C194" s="40" t="str">
        <f>'Build Plan w Hours'!D39</f>
        <v>Weld insulation / vacuum rings, lugs, supports, etc._x000D_
FIT &amp; WELD LEFT &amp; RIGHT MOUNTING BRACKET ASSEMBLIES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117-25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.725</v>
      </c>
      <c r="C200" s="40" t="str">
        <f>'Build Plan w Hours'!D40</f>
        <v>Set nozzles in shell - tack_x000D_
FOR NOZZLES I, J, L, &amp; M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117-25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.726</v>
      </c>
      <c r="C206" s="40" t="str">
        <f>'Build Plan w Hours'!D41</f>
        <v>Weld shell nozzles, manways, etc._x000D_
FOR NOZZLES I, J, L &amp; M (INCL HOLE WATCH)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117-25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.801</v>
      </c>
      <c r="C212" s="40" t="str">
        <f>'Build Plan w Hours'!D42</f>
        <v>Move to shop test area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117-25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.910</v>
      </c>
      <c r="C218" s="40" t="str">
        <f>'Build Plan w Hours'!D43</f>
        <v>Test tank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117-25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.QC7</v>
      </c>
      <c r="C224" s="40" t="str">
        <f>'Build Plan w Hours'!D44</f>
        <v>QC Inspection - Test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117-25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.802</v>
      </c>
      <c r="C230" s="40" t="str">
        <f>'Build Plan w Hours'!D45</f>
        <v>Move to paint area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117-25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.QC9</v>
      </c>
      <c r="C236" s="40" t="str">
        <f>'Build Plan w Hours'!D46</f>
        <v>QC Inspection - Sandblast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117-25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.QC90</v>
      </c>
      <c r="C242" s="40" t="str">
        <f>'Build Plan w Hours'!D47</f>
        <v>QC Inspection - Paint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117-25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.940</v>
      </c>
      <c r="C248" s="40" t="str">
        <f>'Build Plan w Hours'!D48</f>
        <v>Prepare tank for shipment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117-25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.950</v>
      </c>
      <c r="C254" s="40" t="str">
        <f>'Build Plan w Hours'!D49</f>
        <v>Check bill of materials and pack loose parts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117-25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.QC95</v>
      </c>
      <c r="C260" s="40" t="str">
        <f>'Build Plan w Hours'!D50</f>
        <v>QC Inspection - Final &amp; Loose Items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117-25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.960</v>
      </c>
      <c r="C266" s="40" t="str">
        <f>'Build Plan w Hours'!D51</f>
        <v>Load on truck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117-25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117-25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117-25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117-25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117-25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117-25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117-25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117-25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117-25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117-25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117-25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117-25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117-25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117-25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117-25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117-25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117-25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117-25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117-25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117-25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117-25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117-25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117-25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117-25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117-25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117-25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117-25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117-25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117-25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117-25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117-25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117-25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117-25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117-25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117-25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117-25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117-25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2026-02-13T18:13:17Z</cp:lastPrinted>
  <dcterms:created xsi:type="dcterms:W3CDTF">2016-06-28T20:53:17Z</dcterms:created>
  <dcterms:modified xsi:type="dcterms:W3CDTF">2026-02-13T18:13:52Z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