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45-25 - PRO PIPE - NOZZLE &amp; AGITATOR SUPPORTS, NOZZLE FOR FS DAY TANK\"/>
    </mc:Choice>
  </mc:AlternateContent>
  <xr:revisionPtr revIDLastSave="0" documentId="13_ncr:1_{A98941D7-DB93-4137-A121-31AB18C5E2A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Hours'!$A$1:$H$14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<sst xmlns="http://schemas.openxmlformats.org/spreadsheetml/2006/main" count="1368" uniqueCount="86">
  <si>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</si>
  <si>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</si>
  <si>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</si>
  <si>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</si>
  <si>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</si>
  <si>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</si>
  <si>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</si>
  <si>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</si>
  <si>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</si>
  <si>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</si>
  <si>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</si>
  <si>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</si>
  <si>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</si>
  <si>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</si>
  <si>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</si>
  <si>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</si>
  <si>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</si>
  <si>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</si>
  <si>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</si>
  <si>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</si>
  <si>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</si>
  <si>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</si>
  <si>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</si>
  <si>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</si>
  <si>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</si>
  <si>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</si>
  <si>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</si>
  <si>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</si>
  <si>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</si>
  <si>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</si>
  <si>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</si>
  <si>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</si>
  <si>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</si>
  <si>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</si>
  <si>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</si>
  <si>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</si>
  <si>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</si>
  <si>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</si>
  <si>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</si>
  <si>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</si>
  <si>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</si>
  <si>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</si>
  <si>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</si>
  <si>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</si>
  <si>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</si>
  <si>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</si>
  <si>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</si>
  <si>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</si>
  <si>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</si>
  <si>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</si>
  <si>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</si>
  <si>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</si>
  <si>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</si>
  <si>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</si>
  <si>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</si>
  <si>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</si>
  <si>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</si>
  <si>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</si>
  <si>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</si>
  <si>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</si>
  <si>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Hours</t>
  </si>
  <si>
    <t>% Compl.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</si>
  <si>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</si>
  <si>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</si>
  <si>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</si>
  <si>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</si>
  <si>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</si>
  <si>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</si>
  <si>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</si>
  <si>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</si>
  <si>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</si>
  <si>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Burn and clean parts:  lugs, supports, repads, base ring, etc. (CHECK!)</t>
  </si>
  <si>
    <t>Build Repads for Nozzles</t>
  </si>
  <si>
    <t>.107</t>
  </si>
  <si>
    <t>Build Repads for Nozzles, drill and tap holes</t>
  </si>
  <si>
    <t>Fab Miscellaneous Parts</t>
  </si>
  <si>
    <t>.252</t>
  </si>
  <si>
    <t>NOZZLES AND AGITATOR SUPPORTS</t>
  </si>
  <si>
    <t>9249T</t>
  </si>
  <si>
    <t>9195</t>
  </si>
  <si>
    <t>Cut Parts on Burn Table</t>
  </si>
  <si>
    <t>Clean &amp; Prep Parts</t>
  </si>
  <si>
    <t>.156</t>
  </si>
  <si>
    <t>Fabricate miscellaneous parts_x000D_
ROLL WALL RING, FIT AND WELD TO CUSTOM FLANGE</t>
  </si>
  <si>
    <t>045-25</t>
  </si>
  <si>
    <t>Clean and prep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</si>
</sst>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3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14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84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NOZZLES AND AGITATOR SUPPORTS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.156</v>
      </c>
      <c r="D13" s="42" t="s">
        <v>85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.252</v>
      </c>
      <c r="D14" s="22" t="str">
        <f>'Sheet2-PASTE HERE!'!K24</f>
        <v>Fabricate miscellaneous parts_x000D_
ROLL WALL RING, FIT AND WELD TO CUSTOM FLANGE</v>
      </c>
      <c r="E14" s="13">
        <f>'Sheet2-PASTE HERE!'!F24</f>
        <v>10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>
        <f>'Sheet2-PASTE HERE!'!A25</f>
        <v>0</v>
      </c>
      <c r="B15" s="11"/>
      <c r="C15" s="17">
        <f>'Sheet2-PASTE HERE!'!I25</f>
        <v>0</v>
      </c>
      <c r="D15" s="22">
        <f>'Sheet2-PASTE HERE!'!K25</f>
        <v>0</v>
      </c>
      <c r="E15" s="13">
        <f>'Sheet2-PASTE HERE!'!F25</f>
        <v>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>
        <f>'Sheet2-PASTE HERE!'!A26</f>
        <v>0</v>
      </c>
      <c r="B16" s="11"/>
      <c r="C16" s="17">
        <f>'Sheet2-PASTE HERE!'!I26</f>
        <v>0</v>
      </c>
      <c r="D16" s="22">
        <f>'Sheet2-PASTE HERE!'!K26</f>
        <v>0</v>
      </c>
      <c r="E16" s="13" t="str">
        <f>'Sheet2-PASTE HERE!'!F26</f>
        <v/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>
        <f>'Sheet2-PASTE HERE!'!A27</f>
        <v>0</v>
      </c>
      <c r="B17" s="11"/>
      <c r="C17" s="17">
        <f>'Sheet2-PASTE HERE!'!I27</f>
        <v>0</v>
      </c>
      <c r="D17" s="22">
        <f>'Sheet2-PASTE HERE!'!K27</f>
        <v>0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>
        <f>'Sheet2-PASTE HERE!'!A28</f>
        <v>0</v>
      </c>
      <c r="B18" s="11"/>
      <c r="C18" s="17">
        <f>'Sheet2-PASTE HERE!'!I28</f>
        <v>0</v>
      </c>
      <c r="D18" s="22">
        <f>'Sheet2-PASTE HERE!'!K28</f>
        <v>0</v>
      </c>
      <c r="E18" s="13">
        <f>'Sheet2-PASTE HERE!'!F28</f>
        <v>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>
        <f>'Sheet2-PASTE HERE!'!A29</f>
        <v>0</v>
      </c>
      <c r="B19" s="11"/>
      <c r="C19" s="17">
        <f>'Sheet2-PASTE HERE!'!I29</f>
        <v>0</v>
      </c>
      <c r="D19" s="22">
        <f>'Sheet2-PASTE HERE!'!K29</f>
        <v>0</v>
      </c>
      <c r="E19" s="13">
        <f>'Sheet2-PASTE HERE!'!F29</f>
        <v>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>
        <f>'Sheet2-PASTE HERE!'!A30</f>
        <v>0</v>
      </c>
      <c r="B20" s="11"/>
      <c r="C20" s="17">
        <f>'Sheet2-PASTE HERE!'!I30</f>
        <v>0</v>
      </c>
      <c r="D20" s="22">
        <f>'Sheet2-PASTE HERE!'!K30</f>
        <v>0</v>
      </c>
      <c r="E20" s="13">
        <f>'Sheet2-PASTE HERE!'!F30</f>
        <v>0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>
        <f>'Sheet2-PASTE HERE!'!A31</f>
        <v>0</v>
      </c>
      <c r="B21" s="11"/>
      <c r="C21" s="17">
        <f>'Sheet2-PASTE HERE!'!I31</f>
        <v>0</v>
      </c>
      <c r="D21" s="22">
        <f>'Sheet2-PASTE HERE!'!K31</f>
        <v>0</v>
      </c>
      <c r="E21" s="13">
        <f>'Sheet2-PASTE HERE!'!F31</f>
        <v>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>
        <f>'Sheet2-PASTE HERE!'!A32</f>
        <v>0</v>
      </c>
      <c r="B22" s="11"/>
      <c r="C22" s="17">
        <f>'Sheet2-PASTE HERE!'!I32</f>
        <v>0</v>
      </c>
      <c r="D22" s="22">
        <f>'Sheet2-PASTE HERE!'!K32</f>
        <v>0</v>
      </c>
      <c r="E22" s="13">
        <f>'Sheet2-PASTE HERE!'!F32</f>
        <v>0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>
        <f>'Sheet2-PASTE HERE!'!F33</f>
        <v>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>
        <f>'Sheet2-PASTE HERE!'!F34</f>
        <v>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D17" sqref="D17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84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NOZZLES AND AGITATOR SUPPORTS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.156</v>
      </c>
      <c r="D13" s="42" t="s">
        <v>85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.252</v>
      </c>
      <c r="D14" s="22" t="str">
        <f>'Sheet2-PASTE HERE!'!K24</f>
        <v>Fabricate miscellaneous parts_x000D_
ROLL WALL RING, FIT AND WELD TO CUSTOM FLANGE</v>
      </c>
      <c r="E14" s="13">
        <f>'Sheet2-PASTE HERE!'!F24</f>
        <v>10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>
        <f>'Sheet2-PASTE HERE!'!A25</f>
        <v>0</v>
      </c>
      <c r="B15" s="11"/>
      <c r="C15" s="17">
        <f>'Sheet2-PASTE HERE!'!I25</f>
        <v>0</v>
      </c>
      <c r="D15" s="22">
        <f>'Sheet2-PASTE HERE!'!K25</f>
        <v>0</v>
      </c>
      <c r="E15" s="13">
        <f>'Sheet2-PASTE HERE!'!F25</f>
        <v>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>
        <f>'Sheet2-PASTE HERE!'!A26</f>
        <v>0</v>
      </c>
      <c r="B16" s="11"/>
      <c r="C16" s="17">
        <f>'Sheet2-PASTE HERE!'!I26</f>
        <v>0</v>
      </c>
      <c r="D16" s="22">
        <f>'Sheet2-PASTE HERE!'!K26</f>
        <v>0</v>
      </c>
      <c r="E16" s="13" t="str">
        <f>'Sheet2-PASTE HERE!'!F26</f>
        <v/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>
        <f>'Sheet2-PASTE HERE!'!A27</f>
        <v>0</v>
      </c>
      <c r="B17" s="11"/>
      <c r="C17" s="17">
        <f>'Sheet2-PASTE HERE!'!I27</f>
        <v>0</v>
      </c>
      <c r="D17" s="22">
        <f>'Sheet2-PASTE HERE!'!K27</f>
        <v>0</v>
      </c>
      <c r="E17" s="13">
        <f>'Sheet2-PASTE HERE!'!F27</f>
        <v>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>
        <f>'Sheet2-PASTE HERE!'!A28</f>
        <v>0</v>
      </c>
      <c r="B18" s="11"/>
      <c r="C18" s="17">
        <f>'Sheet2-PASTE HERE!'!I28</f>
        <v>0</v>
      </c>
      <c r="D18" s="22">
        <f>'Sheet2-PASTE HERE!'!K28</f>
        <v>0</v>
      </c>
      <c r="E18" s="13">
        <f>'Sheet2-PASTE HERE!'!F28</f>
        <v>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>
        <f>'Sheet2-PASTE HERE!'!A29</f>
        <v>0</v>
      </c>
      <c r="B19" s="11"/>
      <c r="C19" s="17">
        <f>'Sheet2-PASTE HERE!'!I29</f>
        <v>0</v>
      </c>
      <c r="D19" s="22">
        <f>'Sheet2-PASTE HERE!'!K29</f>
        <v>0</v>
      </c>
      <c r="E19" s="13">
        <f>'Sheet2-PASTE HERE!'!F29</f>
        <v>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>
        <f>'Sheet2-PASTE HERE!'!A30</f>
        <v>0</v>
      </c>
      <c r="B20" s="11"/>
      <c r="C20" s="17">
        <f>'Sheet2-PASTE HERE!'!I30</f>
        <v>0</v>
      </c>
      <c r="D20" s="22">
        <f>'Sheet2-PASTE HERE!'!K30</f>
        <v>0</v>
      </c>
      <c r="E20" s="13">
        <f>'Sheet2-PASTE HERE!'!F30</f>
        <v>0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>
        <f>'Sheet2-PASTE HERE!'!A31</f>
        <v>0</v>
      </c>
      <c r="B21" s="11"/>
      <c r="C21" s="17">
        <f>'Sheet2-PASTE HERE!'!I31</f>
        <v>0</v>
      </c>
      <c r="D21" s="22">
        <f>'Sheet2-PASTE HERE!'!K31</f>
        <v>0</v>
      </c>
      <c r="E21" s="13">
        <f>'Sheet2-PASTE HERE!'!F31</f>
        <v>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>
        <f>'Sheet2-PASTE HERE!'!A32</f>
        <v>0</v>
      </c>
      <c r="B22" s="11"/>
      <c r="C22" s="17">
        <f>'Sheet2-PASTE HERE!'!I32</f>
        <v>0</v>
      </c>
      <c r="D22" s="22">
        <f>'Sheet2-PASTE HERE!'!K32</f>
        <v>0</v>
      </c>
      <c r="E22" s="13">
        <f>'Sheet2-PASTE HERE!'!F32</f>
        <v>0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>
        <f>'Sheet2-PASTE HERE!'!F33</f>
        <v>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>
        <f>'Sheet2-PASTE HERE!'!F34</f>
        <v>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77</v>
      </c>
      <c r="C1" s="8" t="s">
        <v>17</v>
      </c>
      <c r="D1" s="8" t="s">
        <v>78</v>
      </c>
      <c r="E1" s="8" t="s">
        <v>18</v>
      </c>
      <c r="F1" s="8" t="s">
        <v>79</v>
      </c>
      <c r="G1" s="8" t="s">
        <v>77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45752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29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51336</v>
      </c>
      <c r="C17" s="19">
        <v>0</v>
      </c>
      <c r="D17" s="8" t="s">
        <v>62</v>
      </c>
      <c r="E17" s="20">
        <v>0</v>
      </c>
      <c r="F17" s="20">
        <v>0</v>
      </c>
      <c r="G17" s="8" t="s">
        <v>54</v>
      </c>
      <c r="H17" s="20">
        <v>0</v>
      </c>
      <c r="I17" s="8" t="s">
        <v>63</v>
      </c>
      <c r="J17" s="19">
        <v>0</v>
      </c>
      <c r="K17" s="8" t="s">
        <v>62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51337</v>
      </c>
      <c r="C18" s="19">
        <v>0</v>
      </c>
      <c r="D18" s="8" t="s">
        <v>64</v>
      </c>
      <c r="E18" s="20">
        <v>0</v>
      </c>
      <c r="F18" s="20">
        <v>0</v>
      </c>
      <c r="G18" s="8" t="s">
        <v>54</v>
      </c>
      <c r="H18" s="20">
        <v>0</v>
      </c>
      <c r="I18" s="8" t="s">
        <v>65</v>
      </c>
      <c r="J18" s="19">
        <v>0</v>
      </c>
      <c r="K18" s="8" t="s">
        <v>66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51338</v>
      </c>
      <c r="C19" s="19">
        <v>0</v>
      </c>
      <c r="D19" s="8" t="s">
        <v>57</v>
      </c>
      <c r="E19" s="20">
        <v>0</v>
      </c>
      <c r="F19" s="20">
        <v>1</v>
      </c>
      <c r="G19" s="8" t="s">
        <v>54</v>
      </c>
      <c r="H19" s="20">
        <v>1</v>
      </c>
      <c r="I19" s="8" t="s">
        <v>58</v>
      </c>
      <c r="J19" s="19">
        <v>0</v>
      </c>
      <c r="K19" s="8" t="s">
        <v>67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51339</v>
      </c>
      <c r="C20" s="19">
        <v>0</v>
      </c>
      <c r="D20" s="8" t="s">
        <v>68</v>
      </c>
      <c r="E20" s="20">
        <v>0</v>
      </c>
      <c r="F20" s="20">
        <v>8</v>
      </c>
      <c r="G20" s="8" t="s">
        <v>54</v>
      </c>
      <c r="H20" s="20">
        <v>8</v>
      </c>
      <c r="I20" s="8" t="s">
        <v>69</v>
      </c>
      <c r="J20" s="19">
        <v>0</v>
      </c>
      <c r="K20" s="8" t="s">
        <v>70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51340</v>
      </c>
      <c r="C21" s="19">
        <v>0</v>
      </c>
      <c r="D21" s="8" t="s">
        <v>72</v>
      </c>
      <c r="E21" s="20">
        <v>0</v>
      </c>
      <c r="F21" s="20">
        <v>4</v>
      </c>
      <c r="G21" s="8" t="s">
        <v>54</v>
      </c>
      <c r="H21" s="20">
        <v>4</v>
      </c>
      <c r="I21" s="8" t="s">
        <v>73</v>
      </c>
      <c r="J21" s="19">
        <v>0</v>
      </c>
      <c r="K21" s="8" t="s">
        <v>74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51341</v>
      </c>
      <c r="C22" s="19">
        <v>0</v>
      </c>
      <c r="D22" s="8" t="s">
        <v>80</v>
      </c>
      <c r="E22" s="20">
        <v>0</v>
      </c>
      <c r="F22" s="20">
        <v>4</v>
      </c>
      <c r="G22" s="8" t="s">
        <v>54</v>
      </c>
      <c r="H22" s="20">
        <v>4</v>
      </c>
      <c r="I22" s="8" t="s">
        <v>59</v>
      </c>
      <c r="J22" s="19">
        <v>0</v>
      </c>
      <c r="K22" s="8" t="s">
        <v>71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51342</v>
      </c>
      <c r="C23" s="19">
        <v>0</v>
      </c>
      <c r="D23" s="8" t="s">
        <v>81</v>
      </c>
      <c r="E23" s="20">
        <v>0</v>
      </c>
      <c r="F23" s="20">
        <v>2</v>
      </c>
      <c r="G23" s="8" t="s">
        <v>54</v>
      </c>
      <c r="H23" s="20">
        <v>2</v>
      </c>
      <c r="I23" s="8" t="s">
        <v>82</v>
      </c>
      <c r="J23" s="19">
        <v>0</v>
      </c>
      <c r="K23" s="8" t="s">
        <v>19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51343</v>
      </c>
      <c r="C24" s="19">
        <v>0</v>
      </c>
      <c r="D24" s="8" t="s">
        <v>75</v>
      </c>
      <c r="E24" s="20">
        <v>0</v>
      </c>
      <c r="F24" s="20">
        <v>10</v>
      </c>
      <c r="G24" s="8" t="s">
        <v>54</v>
      </c>
      <c r="H24" s="20">
        <v>10</v>
      </c>
      <c r="I24" s="8" t="s">
        <v>76</v>
      </c>
      <c r="J24" s="19">
        <v>0</v>
      </c>
      <c r="K24" s="8" t="s">
        <v>83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/>
    <row r="26" spans="1:14" ht="12.75" customHeight="1" x14ac:dyDescent="0.2">
      <c r="B26" s="8" t="s">
        <v>16</v>
      </c>
      <c r="C26" s="8" t="s">
        <v>77</v>
      </c>
      <c r="E26" s="8" t="s">
        <v>19</v>
      </c>
      <c r="F26" s="8" t="s">
        <v>19</v>
      </c>
      <c r="G26" s="8" t="s">
        <v>21</v>
      </c>
      <c r="H26" s="8" t="s">
        <v>19</v>
      </c>
      <c r="J26" s="8" t="s">
        <v>19</v>
      </c>
    </row>
    <row r="27" spans="1:14" ht="12.75" customHeight="1" x14ac:dyDescent="0.2"/>
    <row r="28" spans="1:14" ht="12.75" customHeight="1" x14ac:dyDescent="0.2"/>
    <row r="29" spans="1:14" ht="12.75" customHeight="1" x14ac:dyDescent="0.2"/>
    <row r="30" spans="1:14" ht="12.75" customHeight="1" x14ac:dyDescent="0.2"/>
    <row r="31" spans="1:14" ht="12.75" customHeight="1" x14ac:dyDescent="0.2"/>
    <row r="32" spans="1:1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60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60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60</v>
      </c>
      <c r="B28" s="38">
        <f>'Build Plan w Hours'!E11</f>
        <v>4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61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60</v>
      </c>
      <c r="B34" s="38">
        <f>'Build Plan w Hours'!E12</f>
        <v>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61</v>
      </c>
    </row>
    <row r="38" spans="1:9" ht="21.75" customHeight="1" x14ac:dyDescent="0.25">
      <c r="A38" s="29" t="s">
        <v>13</v>
      </c>
      <c r="B38" s="31" t="str">
        <f>'Build Plan w Hours'!C13</f>
        <v>.156</v>
      </c>
      <c r="C38" s="40" t="str">
        <f>'Build Plan w Hours'!D13</f>
        <v>Clean and prep parts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60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61</v>
      </c>
    </row>
    <row r="44" spans="1:9" ht="21.75" customHeight="1" x14ac:dyDescent="0.25">
      <c r="A44" s="29" t="s">
        <v>13</v>
      </c>
      <c r="B44" s="31" t="str">
        <f>'Build Plan w Hours'!C14</f>
        <v>.252</v>
      </c>
      <c r="C44" s="40" t="str">
        <f>'Build Plan w Hours'!D14</f>
        <v>Fabricate miscellaneous parts_x000D_
ROLL WALL RING, FIT AND WELD TO CUSTOM FLANGE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60</v>
      </c>
      <c r="B46" s="38">
        <f>'Build Plan w Hours'!E14</f>
        <v>10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61</v>
      </c>
    </row>
    <row r="50" spans="1:9" ht="21.75" customHeight="1" x14ac:dyDescent="0.25">
      <c r="A50" s="29" t="s">
        <v>13</v>
      </c>
      <c r="B50" s="31">
        <f>'Build Plan w Hours'!C15</f>
        <v>0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60</v>
      </c>
      <c r="B52" s="38">
        <f>'Build Plan w Hours'!E15</f>
        <v>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61</v>
      </c>
    </row>
    <row r="56" spans="1:9" ht="21.75" customHeight="1" x14ac:dyDescent="0.25">
      <c r="A56" s="29" t="s">
        <v>13</v>
      </c>
      <c r="B56" s="31">
        <f>'Build Plan w Hours'!C16</f>
        <v>0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60</v>
      </c>
      <c r="B58" s="38" t="str">
        <f>'Build Plan w Hours'!E16</f>
        <v/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61</v>
      </c>
    </row>
    <row r="62" spans="1:9" ht="21.75" customHeight="1" x14ac:dyDescent="0.25">
      <c r="A62" s="29" t="s">
        <v>13</v>
      </c>
      <c r="B62" s="31">
        <f>'Build Plan w Hours'!C17</f>
        <v>0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60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61</v>
      </c>
    </row>
    <row r="68" spans="1:9" ht="21.75" customHeight="1" x14ac:dyDescent="0.25">
      <c r="A68" s="29" t="s">
        <v>13</v>
      </c>
      <c r="B68" s="31">
        <f>'Build Plan w Hours'!C18</f>
        <v>0</v>
      </c>
      <c r="C68" s="40">
        <f>'Build Plan w Hours'!D18</f>
        <v>0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60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61</v>
      </c>
    </row>
    <row r="74" spans="1:9" ht="21.75" customHeight="1" x14ac:dyDescent="0.25">
      <c r="A74" s="29" t="s">
        <v>13</v>
      </c>
      <c r="B74" s="31">
        <f>'Build Plan w Hours'!C19</f>
        <v>0</v>
      </c>
      <c r="C74" s="40">
        <f>'Build Plan w Hours'!D19</f>
        <v>0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60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61</v>
      </c>
    </row>
    <row r="80" spans="1:9" ht="21.75" customHeight="1" x14ac:dyDescent="0.25">
      <c r="A80" s="29" t="s">
        <v>13</v>
      </c>
      <c r="B80" s="31">
        <f>'Build Plan w Hours'!C20</f>
        <v>0</v>
      </c>
      <c r="C80" s="40">
        <f>'Build Plan w Hours'!D20</f>
        <v>0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60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61</v>
      </c>
    </row>
    <row r="86" spans="1:9" ht="21.75" customHeight="1" x14ac:dyDescent="0.25">
      <c r="A86" s="29" t="s">
        <v>13</v>
      </c>
      <c r="B86" s="31">
        <f>'Build Plan w Hours'!C21</f>
        <v>0</v>
      </c>
      <c r="C86" s="40">
        <f>'Build Plan w Hours'!D21</f>
        <v>0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60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61</v>
      </c>
    </row>
    <row r="92" spans="1:9" ht="21.75" customHeight="1" x14ac:dyDescent="0.25">
      <c r="A92" s="29" t="s">
        <v>13</v>
      </c>
      <c r="B92" s="31">
        <f>'Build Plan w Hours'!C22</f>
        <v>0</v>
      </c>
      <c r="C92" s="40">
        <f>'Build Plan w Hours'!D22</f>
        <v>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60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61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60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61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60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61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60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61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60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61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61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60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61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60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61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60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61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60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61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60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61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61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60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61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60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61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60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61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60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61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60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61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60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61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60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61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60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61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60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61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60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60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60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61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61</v>
      </c>
    </row>
    <row r="38" spans="1:9" ht="21.75" customHeight="1" x14ac:dyDescent="0.25">
      <c r="A38" s="29" t="s">
        <v>13</v>
      </c>
      <c r="B38" s="31" t="str">
        <f>'Build Plan w Hours'!C13</f>
        <v>.156</v>
      </c>
      <c r="C38" s="40" t="str">
        <f>'Build Plan w Hours'!D13</f>
        <v>Clean and prep parts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61</v>
      </c>
    </row>
    <row r="44" spans="1:9" ht="21.75" customHeight="1" x14ac:dyDescent="0.25">
      <c r="A44" s="29" t="s">
        <v>13</v>
      </c>
      <c r="B44" s="31" t="str">
        <f>'Build Plan w Hours'!C14</f>
        <v>.252</v>
      </c>
      <c r="C44" s="40" t="str">
        <f>'Build Plan w Hours'!D14</f>
        <v>Fabricate miscellaneous parts_x000D_
ROLL WALL RING, FIT AND WELD TO CUSTOM FLANGE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61</v>
      </c>
    </row>
    <row r="50" spans="1:9" ht="21.75" customHeight="1" x14ac:dyDescent="0.25">
      <c r="A50" s="29" t="s">
        <v>13</v>
      </c>
      <c r="B50" s="31">
        <f>'Build Plan w Hours'!C15</f>
        <v>0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61</v>
      </c>
    </row>
    <row r="56" spans="1:9" ht="21.75" customHeight="1" x14ac:dyDescent="0.25">
      <c r="A56" s="29" t="s">
        <v>13</v>
      </c>
      <c r="B56" s="31">
        <f>'Build Plan w Hours'!C16</f>
        <v>0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61</v>
      </c>
    </row>
    <row r="62" spans="1:9" ht="21.75" customHeight="1" x14ac:dyDescent="0.25">
      <c r="A62" s="29" t="s">
        <v>13</v>
      </c>
      <c r="B62" s="31">
        <f>'Build Plan w Hours'!C17</f>
        <v>0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61</v>
      </c>
    </row>
    <row r="68" spans="1:9" ht="21.75" customHeight="1" x14ac:dyDescent="0.25">
      <c r="A68" s="29" t="s">
        <v>13</v>
      </c>
      <c r="B68" s="31">
        <f>'Build Plan w Hours'!C18</f>
        <v>0</v>
      </c>
      <c r="C68" s="40">
        <f>'Build Plan w Hours'!D18</f>
        <v>0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61</v>
      </c>
    </row>
    <row r="74" spans="1:9" ht="21.75" customHeight="1" x14ac:dyDescent="0.25">
      <c r="A74" s="29" t="s">
        <v>13</v>
      </c>
      <c r="B74" s="31">
        <f>'Build Plan w Hours'!C19</f>
        <v>0</v>
      </c>
      <c r="C74" s="40">
        <f>'Build Plan w Hours'!D19</f>
        <v>0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61</v>
      </c>
    </row>
    <row r="80" spans="1:9" ht="21.75" customHeight="1" x14ac:dyDescent="0.25">
      <c r="A80" s="29" t="s">
        <v>13</v>
      </c>
      <c r="B80" s="31">
        <f>'Build Plan w Hours'!C20</f>
        <v>0</v>
      </c>
      <c r="C80" s="40">
        <f>'Build Plan w Hours'!D20</f>
        <v>0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61</v>
      </c>
    </row>
    <row r="86" spans="1:9" ht="21.75" customHeight="1" x14ac:dyDescent="0.25">
      <c r="A86" s="29" t="s">
        <v>13</v>
      </c>
      <c r="B86" s="31">
        <f>'Build Plan w Hours'!C21</f>
        <v>0</v>
      </c>
      <c r="C86" s="40">
        <f>'Build Plan w Hours'!D21</f>
        <v>0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61</v>
      </c>
    </row>
    <row r="92" spans="1:9" ht="21.75" customHeight="1" x14ac:dyDescent="0.25">
      <c r="A92" s="29" t="s">
        <v>13</v>
      </c>
      <c r="B92" s="31">
        <f>'Build Plan w Hours'!C22</f>
        <v>0</v>
      </c>
      <c r="C92" s="40">
        <f>'Build Plan w Hours'!D22</f>
        <v>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61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61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61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61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61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61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61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61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61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61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61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61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61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61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61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61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61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61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61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61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61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045-25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045-25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2025-04-14T18:58:12Z</cp:lastPrinted>
  <dcterms:created xsi:type="dcterms:W3CDTF">2016-06-28T20:53:17Z</dcterms:created>
  <dcterms:modified xsi:type="dcterms:W3CDTF">2025-04-14T18:59:33Z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