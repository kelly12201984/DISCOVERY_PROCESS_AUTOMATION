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6-25 - Tellus - Wall Ring\"/>
    </mc:Choice>
  </mc:AlternateContent>
  <xr:revisionPtr revIDLastSave="0" documentId="8_{D9AD87E6-0C1E-4516-8DBC-829277AEB5A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Hours'!$A$1:$H$12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<sst xmlns="http://schemas.openxmlformats.org/spreadsheetml/2006/main" count="1363" uniqueCount="89">
  <si>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</si>
  <si>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</si>
  <si>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</si>
  <si>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</si>
  <si>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</si>
  <si>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</si>
  <si>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</si>
  <si>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</si>
  <si>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</si>
  <si>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</si>
  <si>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</si>
  <si>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</si>
  <si>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</si>
  <si>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</si>
  <si>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</si>
  <si>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</si>
  <si>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</si>
  <si>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</si>
  <si>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</si>
  <si>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</si>
  <si>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</si>
  <si>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</si>
  <si>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</si>
  <si>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</si>
  <si>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</si>
  <si>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</si>
  <si>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</si>
  <si>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</si>
  <si>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</si>
  <si>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</si>
  <si>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</si>
  <si>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</si>
  <si>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</si>
  <si>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</si>
  <si>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</si>
  <si>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</si>
  <si>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</si>
  <si>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</si>
  <si>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</si>
  <si>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</si>
  <si>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</si>
  <si>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</si>
  <si>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</si>
  <si>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</si>
  <si>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</si>
  <si>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</si>
  <si>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</si>
  <si>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</si>
  <si>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</si>
  <si>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</si>
  <si>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</si>
  <si>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</si>
  <si>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</si>
  <si>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</si>
  <si>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</si>
  <si>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</si>
  <si>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</si>
  <si>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.155</t>
  </si>
  <si>
    <t>FINISHING</t>
  </si>
  <si>
    <t>SHIPPING</t>
  </si>
  <si>
    <t>Load on Truck</t>
  </si>
  <si>
    <t>.960</t>
  </si>
  <si>
    <t>Load on truck</t>
  </si>
  <si>
    <t>Hours</t>
  </si>
  <si>
    <t>% Compl.</t>
  </si>
  <si>
    <t>Receive Material</t>
  </si>
  <si>
    <t>.010</t>
  </si>
  <si>
    <t>UT Top &amp; Bottom Heads</t>
  </si>
  <si>
    <t>.QC1</t>
  </si>
  <si>
    <t>UT top and bottom heads</t>
  </si>
  <si>
    <t>Burn and clean parts:  lugs, supports, repads, base ring, etc. (CHECK!)</t>
  </si>
  <si>
    <t>Clean Tank Complete</t>
  </si>
  <si>
    <t>.920</t>
  </si>
  <si>
    <t>Clean tank complete</t>
  </si>
  <si>
    <t>Fab Miscellaneous Parts</t>
  </si>
  <si>
    <t>.252</t>
  </si>
  <si>
    <t>Cut Parts on Burn Table</t>
  </si>
  <si>
    <t>Clean &amp; Prep Parts</t>
  </si>
  <si>
    <t>.156</t>
  </si>
  <si>
    <t>Misc Fabrication</t>
  </si>
  <si>
    <t>.261</t>
  </si>
  <si>
    <t>SS FLANGE RING</t>
  </si>
  <si>
    <t>TP013429</t>
  </si>
  <si>
    <t>9248</t>
  </si>
  <si>
    <t>1</t>
  </si>
  <si>
    <t>FIT &amp; WELD BAND &amp; GUSSETS AROUND RING W/COBOT</t>
  </si>
  <si>
    <t>Fabricate miscellaneous parts_x000D_
PINCH AND ROLL BAND FOR WALL RING</t>
  </si>
  <si>
    <t>Miscellaneous Fabrication - Braces, Mounting Plates, Cone Outlet Necks_x000D_
FIT &amp; WELD BAND &amp; GUSSETS AROUND RING W/COBOT</t>
  </si>
  <si>
    <t>086-25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</si>
</sst>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12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88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SS FLANGE RING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.155</v>
      </c>
      <c r="D7" s="22" t="str">
        <f>'Sheet2-PASTE HERE!'!K17</f>
        <v>Burn and clean parts:  lugs, supports, repads, base ring, etc. (CHECK!)</v>
      </c>
      <c r="E7" s="13">
        <f>'Sheet2-PASTE HERE!'!F17</f>
        <v>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.156</v>
      </c>
      <c r="D8" s="22" t="str">
        <f>'Sheet2-PASTE HERE!'!K18</f>
        <v>FIT &amp; WELD BAND &amp; GUSSETS AROUND RING W/COBOT</v>
      </c>
      <c r="E8" s="13">
        <f>'Sheet2-PASTE HERE!'!F18</f>
        <v>1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.252</v>
      </c>
      <c r="D9" s="22" t="str">
        <f>'Sheet2-PASTE HERE!'!K19</f>
        <v>Fabricate miscellaneous parts_x000D_
PINCH AND ROLL BAND FOR WALL RING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.261</v>
      </c>
      <c r="D10" s="22" t="str">
        <f>'Sheet2-PASTE HERE!'!K20</f>
        <v>Miscellaneous Fabrication - Braces, Mounting Plates, Cone Outlet Necks_x000D_
FIT &amp; WELD BAND &amp; GUSSETS AROUND RING W/COBOT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FINISHING</v>
      </c>
      <c r="B11" s="11"/>
      <c r="C11" s="17" t="str">
        <f>'Sheet2-PASTE HERE!'!I21</f>
        <v>.920</v>
      </c>
      <c r="D11" s="22" t="str">
        <f>'Sheet2-PASTE HERE!'!K21</f>
        <v>Clean tank complete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SHIPPING</v>
      </c>
      <c r="B12" s="11"/>
      <c r="C12" s="17" t="str">
        <f>'Sheet2-PASTE HERE!'!I22</f>
        <v>.960</v>
      </c>
      <c r="D12" s="22" t="str">
        <f>'Sheet2-PASTE HERE!'!K22</f>
        <v>Load on truck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>
        <f>'Sheet2-PASTE HERE!'!A23</f>
        <v>0</v>
      </c>
      <c r="B13" s="11"/>
      <c r="C13" s="17">
        <f>'Sheet2-PASTE HERE!'!I23</f>
        <v>0</v>
      </c>
      <c r="D13" s="22">
        <f>'Sheet2-PASTE HERE!'!K23</f>
        <v>0</v>
      </c>
      <c r="E13" s="13">
        <f>'Sheet2-PASTE HERE!'!F23</f>
        <v>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>
        <f>'Sheet2-PASTE HERE!'!A24</f>
        <v>0</v>
      </c>
      <c r="B14" s="11"/>
      <c r="C14" s="17">
        <f>'Sheet2-PASTE HERE!'!I24</f>
        <v>0</v>
      </c>
      <c r="D14" s="22">
        <f>'Sheet2-PASTE HERE!'!K24</f>
        <v>0</v>
      </c>
      <c r="E14" s="13" t="str">
        <f>'Sheet2-PASTE HERE!'!F24</f>
        <v/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>
        <f>'Sheet2-PASTE HERE!'!A25</f>
        <v>0</v>
      </c>
      <c r="B15" s="11"/>
      <c r="C15" s="17">
        <f>'Sheet2-PASTE HERE!'!I25</f>
        <v>0</v>
      </c>
      <c r="D15" s="22">
        <f>'Sheet2-PASTE HERE!'!K25</f>
        <v>0</v>
      </c>
      <c r="E15" s="13">
        <f>'Sheet2-PASTE HERE!'!F25</f>
        <v>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>
        <f>'Sheet2-PASTE HERE!'!A26</f>
        <v>0</v>
      </c>
      <c r="B16" s="11"/>
      <c r="C16" s="17">
        <f>'Sheet2-PASTE HERE!'!I26</f>
        <v>0</v>
      </c>
      <c r="D16" s="22">
        <f>'Sheet2-PASTE HERE!'!K26</f>
        <v>0</v>
      </c>
      <c r="E16" s="13">
        <f>'Sheet2-PASTE HERE!'!F26</f>
        <v>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>
        <f>'Sheet2-PASTE HERE!'!A27</f>
        <v>0</v>
      </c>
      <c r="B17" s="11"/>
      <c r="C17" s="17">
        <f>'Sheet2-PASTE HERE!'!I27</f>
        <v>0</v>
      </c>
      <c r="D17" s="22">
        <f>'Sheet2-PASTE HERE!'!K27</f>
        <v>0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>
        <f>'Sheet2-PASTE HERE!'!A28</f>
        <v>0</v>
      </c>
      <c r="B18" s="11"/>
      <c r="C18" s="17">
        <f>'Sheet2-PASTE HERE!'!I28</f>
        <v>0</v>
      </c>
      <c r="D18" s="22">
        <f>'Sheet2-PASTE HERE!'!K28</f>
        <v>0</v>
      </c>
      <c r="E18" s="13">
        <f>'Sheet2-PASTE HERE!'!F28</f>
        <v>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>
        <f>'Sheet2-PASTE HERE!'!A29</f>
        <v>0</v>
      </c>
      <c r="B19" s="11"/>
      <c r="C19" s="17">
        <f>'Sheet2-PASTE HERE!'!I29</f>
        <v>0</v>
      </c>
      <c r="D19" s="22">
        <f>'Sheet2-PASTE HERE!'!K29</f>
        <v>0</v>
      </c>
      <c r="E19" s="13">
        <f>'Sheet2-PASTE HERE!'!F29</f>
        <v>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>
        <f>'Sheet2-PASTE HERE!'!A30</f>
        <v>0</v>
      </c>
      <c r="B20" s="11"/>
      <c r="C20" s="17">
        <f>'Sheet2-PASTE HERE!'!I30</f>
        <v>0</v>
      </c>
      <c r="D20" s="22">
        <f>'Sheet2-PASTE HERE!'!K30</f>
        <v>0</v>
      </c>
      <c r="E20" s="13">
        <f>'Sheet2-PASTE HERE!'!F30</f>
        <v>0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>
        <f>'Sheet2-PASTE HERE!'!A31</f>
        <v>0</v>
      </c>
      <c r="B21" s="11"/>
      <c r="C21" s="17">
        <f>'Sheet2-PASTE HERE!'!I31</f>
        <v>0</v>
      </c>
      <c r="D21" s="22">
        <f>'Sheet2-PASTE HERE!'!K31</f>
        <v>0</v>
      </c>
      <c r="E21" s="13">
        <f>'Sheet2-PASTE HERE!'!F31</f>
        <v>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>
        <f>'Sheet2-PASTE HERE!'!A32</f>
        <v>0</v>
      </c>
      <c r="B22" s="11"/>
      <c r="C22" s="17">
        <f>'Sheet2-PASTE HERE!'!I32</f>
        <v>0</v>
      </c>
      <c r="D22" s="22">
        <f>'Sheet2-PASTE HERE!'!K32</f>
        <v>0</v>
      </c>
      <c r="E22" s="13">
        <f>'Sheet2-PASTE HERE!'!F32</f>
        <v>0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>
        <f>'Sheet2-PASTE HERE!'!F33</f>
        <v>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>
        <f>'Sheet2-PASTE HERE!'!F34</f>
        <v>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88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SS FLANGE RING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.155</v>
      </c>
      <c r="D7" s="22" t="str">
        <f>'Sheet2-PASTE HERE!'!K17</f>
        <v>Burn and clean parts:  lugs, supports, repads, base ring, etc. (CHECK!)</v>
      </c>
      <c r="E7" s="13">
        <f>'Sheet2-PASTE HERE!'!F17</f>
        <v>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.156</v>
      </c>
      <c r="D8" s="22" t="str">
        <f>'Sheet2-PASTE HERE!'!K18</f>
        <v>FIT &amp; WELD BAND &amp; GUSSETS AROUND RING W/COBOT</v>
      </c>
      <c r="E8" s="13">
        <f>'Sheet2-PASTE HERE!'!F18</f>
        <v>1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.252</v>
      </c>
      <c r="D9" s="22" t="str">
        <f>'Sheet2-PASTE HERE!'!K19</f>
        <v>Fabricate miscellaneous parts_x000D_
PINCH AND ROLL BAND FOR WALL RING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.261</v>
      </c>
      <c r="D10" s="22" t="str">
        <f>'Sheet2-PASTE HERE!'!K20</f>
        <v>Miscellaneous Fabrication - Braces, Mounting Plates, Cone Outlet Necks_x000D_
FIT &amp; WELD BAND &amp; GUSSETS AROUND RING W/COBOT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FINISHING</v>
      </c>
      <c r="B11" s="11"/>
      <c r="C11" s="17" t="str">
        <f>'Sheet2-PASTE HERE!'!I21</f>
        <v>.920</v>
      </c>
      <c r="D11" s="22" t="str">
        <f>'Sheet2-PASTE HERE!'!K21</f>
        <v>Clean tank complete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SHIPPING</v>
      </c>
      <c r="B12" s="11"/>
      <c r="C12" s="17" t="str">
        <f>'Sheet2-PASTE HERE!'!I22</f>
        <v>.960</v>
      </c>
      <c r="D12" s="22" t="str">
        <f>'Sheet2-PASTE HERE!'!K22</f>
        <v>Load on truck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>
        <f>'Sheet2-PASTE HERE!'!A23</f>
        <v>0</v>
      </c>
      <c r="B13" s="11"/>
      <c r="C13" s="17">
        <f>'Sheet2-PASTE HERE!'!I23</f>
        <v>0</v>
      </c>
      <c r="D13" s="22">
        <f>'Sheet2-PASTE HERE!'!K23</f>
        <v>0</v>
      </c>
      <c r="E13" s="13">
        <f>'Sheet2-PASTE HERE!'!F23</f>
        <v>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>
        <f>'Sheet2-PASTE HERE!'!A24</f>
        <v>0</v>
      </c>
      <c r="B14" s="11"/>
      <c r="C14" s="17">
        <f>'Sheet2-PASTE HERE!'!I24</f>
        <v>0</v>
      </c>
      <c r="D14" s="22">
        <f>'Sheet2-PASTE HERE!'!K24</f>
        <v>0</v>
      </c>
      <c r="E14" s="13" t="str">
        <f>'Sheet2-PASTE HERE!'!F24</f>
        <v/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>
        <f>'Sheet2-PASTE HERE!'!A25</f>
        <v>0</v>
      </c>
      <c r="B15" s="11"/>
      <c r="C15" s="17">
        <f>'Sheet2-PASTE HERE!'!I25</f>
        <v>0</v>
      </c>
      <c r="D15" s="22">
        <f>'Sheet2-PASTE HERE!'!K25</f>
        <v>0</v>
      </c>
      <c r="E15" s="13">
        <f>'Sheet2-PASTE HERE!'!F25</f>
        <v>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>
        <f>'Sheet2-PASTE HERE!'!A26</f>
        <v>0</v>
      </c>
      <c r="B16" s="11"/>
      <c r="C16" s="17">
        <f>'Sheet2-PASTE HERE!'!I26</f>
        <v>0</v>
      </c>
      <c r="D16" s="22">
        <f>'Sheet2-PASTE HERE!'!K26</f>
        <v>0</v>
      </c>
      <c r="E16" s="13">
        <f>'Sheet2-PASTE HERE!'!F26</f>
        <v>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>
        <f>'Sheet2-PASTE HERE!'!A27</f>
        <v>0</v>
      </c>
      <c r="B17" s="11"/>
      <c r="C17" s="17">
        <f>'Sheet2-PASTE HERE!'!I27</f>
        <v>0</v>
      </c>
      <c r="D17" s="22">
        <f>'Sheet2-PASTE HERE!'!K27</f>
        <v>0</v>
      </c>
      <c r="E17" s="13">
        <f>'Sheet2-PASTE HERE!'!F27</f>
        <v>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>
        <f>'Sheet2-PASTE HERE!'!A28</f>
        <v>0</v>
      </c>
      <c r="B18" s="11"/>
      <c r="C18" s="17">
        <f>'Sheet2-PASTE HERE!'!I28</f>
        <v>0</v>
      </c>
      <c r="D18" s="22">
        <f>'Sheet2-PASTE HERE!'!K28</f>
        <v>0</v>
      </c>
      <c r="E18" s="13">
        <f>'Sheet2-PASTE HERE!'!F28</f>
        <v>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>
        <f>'Sheet2-PASTE HERE!'!A29</f>
        <v>0</v>
      </c>
      <c r="B19" s="11"/>
      <c r="C19" s="17">
        <f>'Sheet2-PASTE HERE!'!I29</f>
        <v>0</v>
      </c>
      <c r="D19" s="22">
        <f>'Sheet2-PASTE HERE!'!K29</f>
        <v>0</v>
      </c>
      <c r="E19" s="13">
        <f>'Sheet2-PASTE HERE!'!F29</f>
        <v>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>
        <f>'Sheet2-PASTE HERE!'!A30</f>
        <v>0</v>
      </c>
      <c r="B20" s="11"/>
      <c r="C20" s="17">
        <f>'Sheet2-PASTE HERE!'!I30</f>
        <v>0</v>
      </c>
      <c r="D20" s="22">
        <f>'Sheet2-PASTE HERE!'!K30</f>
        <v>0</v>
      </c>
      <c r="E20" s="13">
        <f>'Sheet2-PASTE HERE!'!F30</f>
        <v>0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>
        <f>'Sheet2-PASTE HERE!'!A31</f>
        <v>0</v>
      </c>
      <c r="B21" s="11"/>
      <c r="C21" s="17">
        <f>'Sheet2-PASTE HERE!'!I31</f>
        <v>0</v>
      </c>
      <c r="D21" s="22">
        <f>'Sheet2-PASTE HERE!'!K31</f>
        <v>0</v>
      </c>
      <c r="E21" s="13">
        <f>'Sheet2-PASTE HERE!'!F31</f>
        <v>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>
        <f>'Sheet2-PASTE HERE!'!A32</f>
        <v>0</v>
      </c>
      <c r="B22" s="11"/>
      <c r="C22" s="17">
        <f>'Sheet2-PASTE HERE!'!I32</f>
        <v>0</v>
      </c>
      <c r="D22" s="22">
        <f>'Sheet2-PASTE HERE!'!K32</f>
        <v>0</v>
      </c>
      <c r="E22" s="13">
        <f>'Sheet2-PASTE HERE!'!F32</f>
        <v>0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>
        <f>'Sheet2-PASTE HERE!'!F33</f>
        <v>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>
        <f>'Sheet2-PASTE HERE!'!F34</f>
        <v>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81</v>
      </c>
      <c r="C1" s="8" t="s">
        <v>17</v>
      </c>
      <c r="D1" s="8" t="s">
        <v>82</v>
      </c>
      <c r="E1" s="8" t="s">
        <v>18</v>
      </c>
      <c r="F1" s="8" t="s">
        <v>83</v>
      </c>
      <c r="G1" s="8" t="s">
        <v>81</v>
      </c>
      <c r="H1" s="8" t="s">
        <v>20</v>
      </c>
      <c r="I1" s="8" t="s">
        <v>84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45868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14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53921</v>
      </c>
      <c r="C15" s="19">
        <v>0</v>
      </c>
      <c r="D15" s="8" t="s">
        <v>65</v>
      </c>
      <c r="E15" s="20">
        <v>0</v>
      </c>
      <c r="F15" s="20">
        <v>0</v>
      </c>
      <c r="G15" s="8" t="s">
        <v>54</v>
      </c>
      <c r="H15" s="20">
        <v>0</v>
      </c>
      <c r="I15" s="8" t="s">
        <v>66</v>
      </c>
      <c r="J15" s="19">
        <v>0</v>
      </c>
      <c r="K15" s="8" t="s">
        <v>65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53922</v>
      </c>
      <c r="C16" s="19">
        <v>0</v>
      </c>
      <c r="D16" s="8" t="s">
        <v>67</v>
      </c>
      <c r="E16" s="20">
        <v>0</v>
      </c>
      <c r="F16" s="20">
        <v>0</v>
      </c>
      <c r="G16" s="8" t="s">
        <v>54</v>
      </c>
      <c r="H16" s="20">
        <v>0</v>
      </c>
      <c r="I16" s="8" t="s">
        <v>68</v>
      </c>
      <c r="J16" s="19">
        <v>0</v>
      </c>
      <c r="K16" s="8" t="s">
        <v>69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53923</v>
      </c>
      <c r="C17" s="19">
        <v>0</v>
      </c>
      <c r="D17" s="8" t="s">
        <v>76</v>
      </c>
      <c r="E17" s="20">
        <v>0</v>
      </c>
      <c r="F17" s="20">
        <v>2</v>
      </c>
      <c r="G17" s="8" t="s">
        <v>54</v>
      </c>
      <c r="H17" s="20">
        <v>2</v>
      </c>
      <c r="I17" s="8" t="s">
        <v>57</v>
      </c>
      <c r="J17" s="19">
        <v>0</v>
      </c>
      <c r="K17" s="8" t="s">
        <v>70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53924</v>
      </c>
      <c r="C18" s="19">
        <v>0</v>
      </c>
      <c r="D18" s="8" t="s">
        <v>77</v>
      </c>
      <c r="E18" s="20">
        <v>0</v>
      </c>
      <c r="F18" s="20">
        <v>1</v>
      </c>
      <c r="G18" s="8" t="s">
        <v>54</v>
      </c>
      <c r="H18" s="20">
        <v>1</v>
      </c>
      <c r="I18" s="8" t="s">
        <v>78</v>
      </c>
      <c r="J18" s="19">
        <v>0</v>
      </c>
      <c r="K18" s="8" t="s">
        <v>85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53925</v>
      </c>
      <c r="C19" s="19">
        <v>0</v>
      </c>
      <c r="D19" s="8" t="s">
        <v>74</v>
      </c>
      <c r="E19" s="20">
        <v>0</v>
      </c>
      <c r="F19" s="20">
        <v>2</v>
      </c>
      <c r="G19" s="8" t="s">
        <v>54</v>
      </c>
      <c r="H19" s="20">
        <v>2</v>
      </c>
      <c r="I19" s="8" t="s">
        <v>75</v>
      </c>
      <c r="J19" s="19">
        <v>0</v>
      </c>
      <c r="K19" s="8" t="s">
        <v>86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53926</v>
      </c>
      <c r="C20" s="19">
        <v>0</v>
      </c>
      <c r="D20" s="8" t="s">
        <v>79</v>
      </c>
      <c r="E20" s="20">
        <v>0</v>
      </c>
      <c r="F20" s="20">
        <v>6</v>
      </c>
      <c r="G20" s="8" t="s">
        <v>54</v>
      </c>
      <c r="H20" s="20">
        <v>6</v>
      </c>
      <c r="I20" s="8" t="s">
        <v>80</v>
      </c>
      <c r="J20" s="19">
        <v>0</v>
      </c>
      <c r="K20" s="8" t="s">
        <v>87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58</v>
      </c>
      <c r="B21" s="18">
        <v>53927</v>
      </c>
      <c r="C21" s="19">
        <v>0</v>
      </c>
      <c r="D21" s="8" t="s">
        <v>71</v>
      </c>
      <c r="E21" s="20">
        <v>0</v>
      </c>
      <c r="F21" s="20">
        <v>2</v>
      </c>
      <c r="G21" s="8" t="s">
        <v>54</v>
      </c>
      <c r="H21" s="20">
        <v>2</v>
      </c>
      <c r="I21" s="8" t="s">
        <v>72</v>
      </c>
      <c r="J21" s="19">
        <v>0</v>
      </c>
      <c r="K21" s="8" t="s">
        <v>73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59</v>
      </c>
      <c r="B22" s="18">
        <v>53928</v>
      </c>
      <c r="C22" s="19">
        <v>0</v>
      </c>
      <c r="D22" s="8" t="s">
        <v>60</v>
      </c>
      <c r="E22" s="20">
        <v>0</v>
      </c>
      <c r="F22" s="20">
        <v>1</v>
      </c>
      <c r="G22" s="8" t="s">
        <v>54</v>
      </c>
      <c r="H22" s="20">
        <v>1</v>
      </c>
      <c r="I22" s="8" t="s">
        <v>61</v>
      </c>
      <c r="J22" s="19">
        <v>0</v>
      </c>
      <c r="K22" s="8" t="s">
        <v>62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/>
    <row r="24" spans="1:14" ht="12.75" customHeight="1" x14ac:dyDescent="0.2">
      <c r="B24" s="8" t="s">
        <v>16</v>
      </c>
      <c r="C24" s="8" t="s">
        <v>81</v>
      </c>
      <c r="E24" s="8" t="s">
        <v>19</v>
      </c>
      <c r="F24" s="8" t="s">
        <v>19</v>
      </c>
      <c r="G24" s="8" t="s">
        <v>21</v>
      </c>
      <c r="H24" s="8" t="s">
        <v>19</v>
      </c>
      <c r="J24" s="8" t="s">
        <v>19</v>
      </c>
    </row>
    <row r="25" spans="1:14" ht="12.75" customHeight="1" x14ac:dyDescent="0.2"/>
    <row r="26" spans="1:14" ht="12.75" customHeight="1" x14ac:dyDescent="0.2"/>
    <row r="27" spans="1:14" ht="12.75" customHeight="1" x14ac:dyDescent="0.2"/>
    <row r="28" spans="1:14" ht="12.75" customHeight="1" x14ac:dyDescent="0.2"/>
    <row r="29" spans="1:14" ht="12.75" customHeight="1" x14ac:dyDescent="0.2"/>
    <row r="30" spans="1:14" ht="12.75" customHeight="1" x14ac:dyDescent="0.2"/>
    <row r="31" spans="1:14" ht="12.75" customHeight="1" x14ac:dyDescent="0.2"/>
    <row r="32" spans="1:1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64</v>
      </c>
    </row>
    <row r="2" spans="1:9" ht="21.75" customHeight="1" x14ac:dyDescent="0.25">
      <c r="A2" s="29" t="s">
        <v>13</v>
      </c>
      <c r="B2" s="31" t="str">
        <f>'Build Plan w Hours'!C7</f>
        <v>.155</v>
      </c>
      <c r="C2" s="40" t="str">
        <f>'Build Plan w Hours'!D7</f>
        <v>Burn and clean parts:  lugs, supports, repads, base ring, etc. (CHECK!)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63</v>
      </c>
      <c r="B4" s="38">
        <f>'Build Plan w Hours'!E7</f>
        <v>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64</v>
      </c>
    </row>
    <row r="8" spans="1:9" ht="21.75" customHeight="1" x14ac:dyDescent="0.25">
      <c r="A8" s="29" t="s">
        <v>13</v>
      </c>
      <c r="B8" s="31" t="str">
        <f>'Build Plan w Hours'!C8</f>
        <v>.156</v>
      </c>
      <c r="C8" s="40" t="str">
        <f>'Build Plan w Hours'!D8</f>
        <v>FIT &amp; WELD BAND &amp; GUSSETS AROUND RING W/COBOT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63</v>
      </c>
      <c r="B10" s="38">
        <f>'Build Plan w Hours'!E8</f>
        <v>1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64</v>
      </c>
    </row>
    <row r="14" spans="1:9" ht="21.75" customHeight="1" x14ac:dyDescent="0.25">
      <c r="A14" s="29" t="s">
        <v>13</v>
      </c>
      <c r="B14" s="31" t="str">
        <f>'Build Plan w Hours'!C9</f>
        <v>.252</v>
      </c>
      <c r="C14" s="40" t="str">
        <f>'Build Plan w Hours'!D9</f>
        <v>Fabricate miscellaneous parts_x000D_
PINCH AND ROLL BAND FOR WALL RING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63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64</v>
      </c>
    </row>
    <row r="20" spans="1:9" ht="21.75" customHeight="1" x14ac:dyDescent="0.25">
      <c r="A20" s="29" t="s">
        <v>13</v>
      </c>
      <c r="B20" s="31" t="str">
        <f>'Build Plan w Hours'!C10</f>
        <v>.261</v>
      </c>
      <c r="C20" s="40" t="str">
        <f>'Build Plan w Hours'!D10</f>
        <v>Miscellaneous Fabrication - Braces, Mounting Plates, Cone Outlet Necks_x000D_
FIT &amp; WELD BAND &amp; GUSSETS AROUND RING W/COBOT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63</v>
      </c>
      <c r="B22" s="38">
        <f>'Build Plan w Hours'!E10</f>
        <v>6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64</v>
      </c>
    </row>
    <row r="26" spans="1:9" ht="21.75" customHeight="1" x14ac:dyDescent="0.25">
      <c r="A26" s="29" t="s">
        <v>13</v>
      </c>
      <c r="B26" s="31" t="str">
        <f>'Build Plan w Hours'!C11</f>
        <v>.920</v>
      </c>
      <c r="C26" s="40" t="str">
        <f>'Build Plan w Hours'!D11</f>
        <v>Clean tank complete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63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64</v>
      </c>
    </row>
    <row r="32" spans="1:9" ht="21.75" customHeight="1" x14ac:dyDescent="0.25">
      <c r="A32" s="29" t="s">
        <v>13</v>
      </c>
      <c r="B32" s="31" t="str">
        <f>'Build Plan w Hours'!C12</f>
        <v>.960</v>
      </c>
      <c r="C32" s="40" t="str">
        <f>'Build Plan w Hours'!D12</f>
        <v>Load on truck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63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64</v>
      </c>
    </row>
    <row r="38" spans="1:9" ht="21.75" customHeight="1" x14ac:dyDescent="0.25">
      <c r="A38" s="29" t="s">
        <v>13</v>
      </c>
      <c r="B38" s="31">
        <f>'Build Plan w Hours'!C13</f>
        <v>0</v>
      </c>
      <c r="C38" s="40">
        <f>'Build Plan w Hours'!D13</f>
        <v>0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63</v>
      </c>
      <c r="B40" s="38">
        <f>'Build Plan w Hours'!E13</f>
        <v>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64</v>
      </c>
    </row>
    <row r="44" spans="1:9" ht="21.75" customHeight="1" x14ac:dyDescent="0.25">
      <c r="A44" s="29" t="s">
        <v>13</v>
      </c>
      <c r="B44" s="31">
        <f>'Build Plan w Hours'!C14</f>
        <v>0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63</v>
      </c>
      <c r="B46" s="38" t="str">
        <f>'Build Plan w Hours'!E14</f>
        <v/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64</v>
      </c>
    </row>
    <row r="50" spans="1:9" ht="21.75" customHeight="1" x14ac:dyDescent="0.25">
      <c r="A50" s="29" t="s">
        <v>13</v>
      </c>
      <c r="B50" s="31">
        <f>'Build Plan w Hours'!C15</f>
        <v>0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63</v>
      </c>
      <c r="B52" s="38">
        <f>'Build Plan w Hours'!E15</f>
        <v>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64</v>
      </c>
    </row>
    <row r="56" spans="1:9" ht="21.75" customHeight="1" x14ac:dyDescent="0.25">
      <c r="A56" s="29" t="s">
        <v>13</v>
      </c>
      <c r="B56" s="31">
        <f>'Build Plan w Hours'!C16</f>
        <v>0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63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64</v>
      </c>
    </row>
    <row r="62" spans="1:9" ht="21.75" customHeight="1" x14ac:dyDescent="0.25">
      <c r="A62" s="29" t="s">
        <v>13</v>
      </c>
      <c r="B62" s="31">
        <f>'Build Plan w Hours'!C17</f>
        <v>0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63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64</v>
      </c>
    </row>
    <row r="68" spans="1:9" ht="21.75" customHeight="1" x14ac:dyDescent="0.25">
      <c r="A68" s="29" t="s">
        <v>13</v>
      </c>
      <c r="B68" s="31">
        <f>'Build Plan w Hours'!C18</f>
        <v>0</v>
      </c>
      <c r="C68" s="40">
        <f>'Build Plan w Hours'!D18</f>
        <v>0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63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64</v>
      </c>
    </row>
    <row r="74" spans="1:9" ht="21.75" customHeight="1" x14ac:dyDescent="0.25">
      <c r="A74" s="29" t="s">
        <v>13</v>
      </c>
      <c r="B74" s="31">
        <f>'Build Plan w Hours'!C19</f>
        <v>0</v>
      </c>
      <c r="C74" s="40">
        <f>'Build Plan w Hours'!D19</f>
        <v>0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63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64</v>
      </c>
    </row>
    <row r="80" spans="1:9" ht="21.75" customHeight="1" x14ac:dyDescent="0.25">
      <c r="A80" s="29" t="s">
        <v>13</v>
      </c>
      <c r="B80" s="31">
        <f>'Build Plan w Hours'!C20</f>
        <v>0</v>
      </c>
      <c r="C80" s="40">
        <f>'Build Plan w Hours'!D20</f>
        <v>0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63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64</v>
      </c>
    </row>
    <row r="86" spans="1:9" ht="21.75" customHeight="1" x14ac:dyDescent="0.25">
      <c r="A86" s="29" t="s">
        <v>13</v>
      </c>
      <c r="B86" s="31">
        <f>'Build Plan w Hours'!C21</f>
        <v>0</v>
      </c>
      <c r="C86" s="40">
        <f>'Build Plan w Hours'!D21</f>
        <v>0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63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64</v>
      </c>
    </row>
    <row r="92" spans="1:9" ht="21.75" customHeight="1" x14ac:dyDescent="0.25">
      <c r="A92" s="29" t="s">
        <v>13</v>
      </c>
      <c r="B92" s="31">
        <f>'Build Plan w Hours'!C22</f>
        <v>0</v>
      </c>
      <c r="C92" s="40">
        <f>'Build Plan w Hours'!D22</f>
        <v>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63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64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63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64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63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64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63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64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63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64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63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64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63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64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63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64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63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64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63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64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63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64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63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64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63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64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63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64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63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64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63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64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63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64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63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64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63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64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63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64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63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64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63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64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63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64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63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64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63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64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63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64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63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64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63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64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63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64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63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64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63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64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63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64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63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64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63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64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63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64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63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64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63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64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63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64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63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64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63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64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63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64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63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64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63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64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63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64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63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086-25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64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63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086-25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64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63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086-25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64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63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086-25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64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63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086-25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64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63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086-25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64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63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64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63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64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63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64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63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64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63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64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63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64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63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64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63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64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63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64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63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64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63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64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63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64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63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64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63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64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63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64</v>
      </c>
    </row>
    <row r="2" spans="1:9" ht="21.75" customHeight="1" x14ac:dyDescent="0.25">
      <c r="A2" s="29" t="s">
        <v>13</v>
      </c>
      <c r="B2" s="31" t="str">
        <f>'Build Plan w Hours'!C7</f>
        <v>.155</v>
      </c>
      <c r="C2" s="40" t="str">
        <f>'Build Plan w Hours'!D7</f>
        <v>Burn and clean parts:  lugs, supports, repads, base ring, etc. (CHECK!)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64</v>
      </c>
    </row>
    <row r="8" spans="1:9" ht="21.75" customHeight="1" x14ac:dyDescent="0.25">
      <c r="A8" s="29" t="s">
        <v>13</v>
      </c>
      <c r="B8" s="31" t="str">
        <f>'Build Plan w Hours'!C8</f>
        <v>.156</v>
      </c>
      <c r="C8" s="40" t="str">
        <f>'Build Plan w Hours'!D8</f>
        <v>FIT &amp; WELD BAND &amp; GUSSETS AROUND RING W/COBOT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64</v>
      </c>
    </row>
    <row r="14" spans="1:9" ht="21.75" customHeight="1" x14ac:dyDescent="0.25">
      <c r="A14" s="29" t="s">
        <v>13</v>
      </c>
      <c r="B14" s="31" t="str">
        <f>'Build Plan w Hours'!C9</f>
        <v>.252</v>
      </c>
      <c r="C14" s="40" t="str">
        <f>'Build Plan w Hours'!D9</f>
        <v>Fabricate miscellaneous parts_x000D_
PINCH AND ROLL BAND FOR WALL RING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64</v>
      </c>
    </row>
    <row r="20" spans="1:9" ht="21.75" customHeight="1" x14ac:dyDescent="0.25">
      <c r="A20" s="29" t="s">
        <v>13</v>
      </c>
      <c r="B20" s="31" t="str">
        <f>'Build Plan w Hours'!C10</f>
        <v>.261</v>
      </c>
      <c r="C20" s="40" t="str">
        <f>'Build Plan w Hours'!D10</f>
        <v>Miscellaneous Fabrication - Braces, Mounting Plates, Cone Outlet Necks_x000D_
FIT &amp; WELD BAND &amp; GUSSETS AROUND RING W/COBOT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64</v>
      </c>
    </row>
    <row r="26" spans="1:9" ht="21.75" customHeight="1" x14ac:dyDescent="0.25">
      <c r="A26" s="29" t="s">
        <v>13</v>
      </c>
      <c r="B26" s="31" t="str">
        <f>'Build Plan w Hours'!C11</f>
        <v>.920</v>
      </c>
      <c r="C26" s="40" t="str">
        <f>'Build Plan w Hours'!D11</f>
        <v>Clean tank complete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64</v>
      </c>
    </row>
    <row r="32" spans="1:9" ht="21.75" customHeight="1" x14ac:dyDescent="0.25">
      <c r="A32" s="29" t="s">
        <v>13</v>
      </c>
      <c r="B32" s="31" t="str">
        <f>'Build Plan w Hours'!C12</f>
        <v>.960</v>
      </c>
      <c r="C32" s="40" t="str">
        <f>'Build Plan w Hours'!D12</f>
        <v>Load on truck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64</v>
      </c>
    </row>
    <row r="38" spans="1:9" ht="21.75" customHeight="1" x14ac:dyDescent="0.25">
      <c r="A38" s="29" t="s">
        <v>13</v>
      </c>
      <c r="B38" s="31">
        <f>'Build Plan w Hours'!C13</f>
        <v>0</v>
      </c>
      <c r="C38" s="40">
        <f>'Build Plan w Hours'!D13</f>
        <v>0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64</v>
      </c>
    </row>
    <row r="44" spans="1:9" ht="21.75" customHeight="1" x14ac:dyDescent="0.25">
      <c r="A44" s="29" t="s">
        <v>13</v>
      </c>
      <c r="B44" s="31">
        <f>'Build Plan w Hours'!C14</f>
        <v>0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64</v>
      </c>
    </row>
    <row r="50" spans="1:9" ht="21.75" customHeight="1" x14ac:dyDescent="0.25">
      <c r="A50" s="29" t="s">
        <v>13</v>
      </c>
      <c r="B50" s="31">
        <f>'Build Plan w Hours'!C15</f>
        <v>0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64</v>
      </c>
    </row>
    <row r="56" spans="1:9" ht="21.75" customHeight="1" x14ac:dyDescent="0.25">
      <c r="A56" s="29" t="s">
        <v>13</v>
      </c>
      <c r="B56" s="31">
        <f>'Build Plan w Hours'!C16</f>
        <v>0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64</v>
      </c>
    </row>
    <row r="62" spans="1:9" ht="21.75" customHeight="1" x14ac:dyDescent="0.25">
      <c r="A62" s="29" t="s">
        <v>13</v>
      </c>
      <c r="B62" s="31">
        <f>'Build Plan w Hours'!C17</f>
        <v>0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64</v>
      </c>
    </row>
    <row r="68" spans="1:9" ht="21.75" customHeight="1" x14ac:dyDescent="0.25">
      <c r="A68" s="29" t="s">
        <v>13</v>
      </c>
      <c r="B68" s="31">
        <f>'Build Plan w Hours'!C18</f>
        <v>0</v>
      </c>
      <c r="C68" s="40">
        <f>'Build Plan w Hours'!D18</f>
        <v>0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64</v>
      </c>
    </row>
    <row r="74" spans="1:9" ht="21.75" customHeight="1" x14ac:dyDescent="0.25">
      <c r="A74" s="29" t="s">
        <v>13</v>
      </c>
      <c r="B74" s="31">
        <f>'Build Plan w Hours'!C19</f>
        <v>0</v>
      </c>
      <c r="C74" s="40">
        <f>'Build Plan w Hours'!D19</f>
        <v>0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64</v>
      </c>
    </row>
    <row r="80" spans="1:9" ht="21.75" customHeight="1" x14ac:dyDescent="0.25">
      <c r="A80" s="29" t="s">
        <v>13</v>
      </c>
      <c r="B80" s="31">
        <f>'Build Plan w Hours'!C20</f>
        <v>0</v>
      </c>
      <c r="C80" s="40">
        <f>'Build Plan w Hours'!D20</f>
        <v>0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64</v>
      </c>
    </row>
    <row r="86" spans="1:9" ht="21.75" customHeight="1" x14ac:dyDescent="0.25">
      <c r="A86" s="29" t="s">
        <v>13</v>
      </c>
      <c r="B86" s="31">
        <f>'Build Plan w Hours'!C21</f>
        <v>0</v>
      </c>
      <c r="C86" s="40">
        <f>'Build Plan w Hours'!D21</f>
        <v>0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64</v>
      </c>
    </row>
    <row r="92" spans="1:9" ht="21.75" customHeight="1" x14ac:dyDescent="0.25">
      <c r="A92" s="29" t="s">
        <v>13</v>
      </c>
      <c r="B92" s="31">
        <f>'Build Plan w Hours'!C22</f>
        <v>0</v>
      </c>
      <c r="C92" s="40">
        <f>'Build Plan w Hours'!D22</f>
        <v>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64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64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64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64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64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64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64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64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64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64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64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64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64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64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64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64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64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64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64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64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64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64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64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64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64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64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64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64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64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64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64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64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64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64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64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64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64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64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64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64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64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64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64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64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086-25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64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086-25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64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086-25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64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086-25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64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086-25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64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086-25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64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64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64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64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64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64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64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64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64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64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64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64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64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64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64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086-25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64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086-25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64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2025-08-25T20:33:54Z</cp:lastPrinted>
  <dcterms:created xsi:type="dcterms:W3CDTF">2016-06-28T20:53:17Z</dcterms:created>
  <dcterms:modified xsi:type="dcterms:W3CDTF">2025-08-25T20:34:28Z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