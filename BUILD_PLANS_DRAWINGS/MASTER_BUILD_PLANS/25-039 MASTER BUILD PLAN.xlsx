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9-25 - Zachary - Filter Tank\"/>
    </mc:Choice>
  </mc:AlternateContent>
  <xr:revisionPtr revIDLastSave="0" documentId="8_{8D70E315-F3E1-4A10-83FB-CC3D67EF513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<sst xmlns="http://schemas.openxmlformats.org/spreadsheetml/2006/main" count="1790" uniqueCount="239">
  <si>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</si>
  <si>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</si>
  <si>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</si>
  <si>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</si>
  <si>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</si>
  <si>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</si>
  <si>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</si>
  <si>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</si>
  <si>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</si>
  <si>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</si>
  <si>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</si>
  <si>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</si>
  <si>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</si>
  <si>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</si>
  <si>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</si>
  <si>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</si>
  <si>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</si>
  <si>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</si>
  <si>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</si>
  <si>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</si>
  <si>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</si>
  <si>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</si>
  <si>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</si>
  <si>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</si>
  <si>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</si>
  <si>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</si>
  <si>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</si>
  <si>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</si>
  <si>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</si>
  <si>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</si>
  <si>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</si>
  <si>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</si>
  <si>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</si>
  <si>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</si>
  <si>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</si>
  <si>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</si>
  <si>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</si>
  <si>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</si>
  <si>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</si>
  <si>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</si>
  <si>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</si>
  <si>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</si>
  <si>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</si>
  <si>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</si>
  <si>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</si>
  <si>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</si>
  <si>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</si>
  <si>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</si>
  <si>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</si>
  <si>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</si>
  <si>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</si>
  <si>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</si>
  <si>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</si>
  <si>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</si>
  <si>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</si>
  <si>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</si>
  <si>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</si>
  <si>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</si>
  <si>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</si>
  <si>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</si>
  <si>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</si>
  <si>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</si>
  <si>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</si>
  <si>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</si>
  <si>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</si>
  <si>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</si>
  <si>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</si>
  <si>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</si>
  <si>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</si>
  <si>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</si>
  <si>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</si>
  <si>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</si>
  <si>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</si>
  <si>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</si>
  <si>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</si>
  <si>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</si>
  <si>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</si>
  <si>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</si>
  <si>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</si>
  <si>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</si>
  <si>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</si>
  <si>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</si>
  <si>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</si>
  <si>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</si>
  <si>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</si>
  <si>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</si>
  <si>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</si>
  <si>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</si>
  <si>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</si>
  <si>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</si>
  <si>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</si>
  <si>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</si>
  <si>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</si>
  <si>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</si>
  <si>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</si>
  <si>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</si>
  <si>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</si>
  <si>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</si>
  <si>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</si>
  <si>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</si>
  <si>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</si>
  <si>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</si>
  <si>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</si>
  <si>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</si>
  <si>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</si>
  <si>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</si>
  <si>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</si>
  <si>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</si>
  <si>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</si>
  <si>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</si>
  <si>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</si>
  <si>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</si>
  <si>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</si>
  <si>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</si>
  <si>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</si>
  <si>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</si>
  <si>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</si>
  <si>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</si>
  <si>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</si>
  <si>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</si>
  <si>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</si>
  <si>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</si>
  <si>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</si>
  <si>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</si>
  <si>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</si>
  <si>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</si>
  <si>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</si>
  <si>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</si>
  <si>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</si>
  <si>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</si>
  <si>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</si>
  <si>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</si>
  <si>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</si>
  <si>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</si>
  <si>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</si>
  <si>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</si>
  <si>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</si>
  <si>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</si>
  <si>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</si>
  <si>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</si>
  <si>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</si>
  <si>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</si>
  <si>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</si>
  <si>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</si>
  <si>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</si>
  <si>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</si>
  <si>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</si>
  <si>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</si>
  <si>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</si>
  <si>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</si>
  <si>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</si>
  <si>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</si>
  <si>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</si>
  <si>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</si>
  <si>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</si>
  <si>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</si>
  <si>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</si>
  <si>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</si>
  <si>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</si>
  <si>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</si>
  <si>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</si>
  <si>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</si>
  <si>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</si>
  <si>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</si>
  <si>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Repads for Nozzles</t>
  </si>
  <si>
    <t>.107</t>
  </si>
  <si>
    <t>Build Repads for Nozzles, drill and tap holes</t>
  </si>
  <si>
    <t>Fab Miscellaneous Parts</t>
  </si>
  <si>
    <t>.252</t>
  </si>
  <si>
    <t>I&amp;W Repads -Top</t>
  </si>
  <si>
    <t>.370</t>
  </si>
  <si>
    <t>Install Dip Pipe Supports</t>
  </si>
  <si>
    <t>.735</t>
  </si>
  <si>
    <t>FILTER TANK</t>
  </si>
  <si>
    <t>115140-630139</t>
  </si>
  <si>
    <t>9097.1</t>
  </si>
  <si>
    <t>1</t>
  </si>
  <si>
    <t>Cut nozzle pipe and clean_x000D_
INCL PIPES FOR INTERNAL SPRAY ASSEMBLY</t>
  </si>
  <si>
    <t>Cut Parts on Burn Table</t>
  </si>
  <si>
    <t>Clean &amp; Prep Parts</t>
  </si>
  <si>
    <t>.156</t>
  </si>
  <si>
    <t>Build supports: legs, lugs, saddles_x000D_
FAB &amp; COPE (4) LEGS</t>
  </si>
  <si>
    <t>Fabricate miscellaneous parts_x000D_
MAKE (4) PIPING SUPPORTS &amp; (2) BOX SUPPORTS</t>
  </si>
  <si>
    <t>Wrap Top &amp; Bottom Heads</t>
  </si>
  <si>
    <t>.300</t>
  </si>
  <si>
    <t>Wrap top and bottom heads</t>
  </si>
  <si>
    <t>Shells: bring in plate, square, trim and clean_x000D_
SET UP (1) SINGLE SHELL &amp; (1) DOUBLE SHELL</t>
  </si>
  <si>
    <t>Roll shells, tack and weld inside seams_x000D_
ROLL &amp; WELD (1) SINGLE SHELL &amp; (1) DOUBLE SHELL</t>
  </si>
  <si>
    <t>Lay out top head, burn and clean holes_x000D_
ON BURN TABLE</t>
  </si>
  <si>
    <t>Bevel Top Head</t>
  </si>
  <si>
    <t>.360</t>
  </si>
  <si>
    <t>Bevel top head_x000D_
BEVEL NOZZLE HOLES CUT ON BURN TABLE</t>
  </si>
  <si>
    <t>Weld out top head nozzles, etc._x000D_
INCL LIFT LUGS</t>
  </si>
  <si>
    <t>Install and weld out repads - top head</t>
  </si>
  <si>
    <t>L/O Bottom, B&amp;C Holes</t>
  </si>
  <si>
    <t>.455</t>
  </si>
  <si>
    <t>Lay out bottom head, burn and clean holes_x000D_
ON BURN TABLE</t>
  </si>
  <si>
    <t>Bevel Bottom Head</t>
  </si>
  <si>
    <t>.460</t>
  </si>
  <si>
    <t>Bevel bottom head_x000D_
BEVEL NOZZLE HOLES CUT 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</si>
  <si>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</si>
  <si>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</si>
  <si>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</si>
  <si>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</si>
  <si>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</si>
  <si>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</si>
  <si>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Fab Internal Coil Support</t>
  </si>
  <si>
    <t>.580</t>
  </si>
  <si>
    <t>Fabricate internal coil supports_x000D_
MAKE (2) HEADER PIPE SUPPORTS</t>
  </si>
  <si>
    <t>Fab Internal Coil</t>
  </si>
  <si>
    <t>.590</t>
  </si>
  <si>
    <t>Fabricate internal coil_x000D_
MAKE &amp; ASSEMBLE HEADER &amp; BRANCH PIPING</t>
  </si>
  <si>
    <t>ASME Hold Point</t>
  </si>
  <si>
    <t>.OI1</t>
  </si>
  <si>
    <t>Fit bottom head to shell_x000D_
AND WELD INSIDE SEAM</t>
  </si>
  <si>
    <t>Tack shell courses together</t>
  </si>
  <si>
    <t>Weld inside round seams</t>
  </si>
  <si>
    <t>Lay out shell, burn and clean holes_x000D_
BEVEL HOLES CUT ON BURN TABLE</t>
  </si>
  <si>
    <t>Install Internal Coil/Spt</t>
  </si>
  <si>
    <t>.635</t>
  </si>
  <si>
    <t>Install internal coil and supports_x000D_
AND CONNECT N6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</si>
  <si>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</si>
  <si>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</si>
  <si>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</si>
  <si>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</si>
  <si>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</si>
  <si>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</si>
  <si>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</si>
  <si>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supports - legs, lugs, anchors, saddles, skirt_x000D_
INSTALL &amp; WELD (4) LEGS</t>
  </si>
  <si>
    <t>Set nozzles in shell - tack</t>
  </si>
  <si>
    <t>Weld shell nozzles, manways, etc._x000D_
INCL HOLE WATCH &amp; FLANGE FOR N7</t>
  </si>
  <si>
    <t>Add Repads-Weld</t>
  </si>
  <si>
    <t>.730</t>
  </si>
  <si>
    <t>Add repads and weld</t>
  </si>
  <si>
    <t>Install dip pipe supports_x000D_
INCL HOLE WATCH</t>
  </si>
  <si>
    <t>ASME Inspection Internal</t>
  </si>
  <si>
    <t>.OI2</t>
  </si>
  <si>
    <t>Test tank_x000D_
TEST TANK &amp; INTERNAL PIPING</t>
  </si>
  <si>
    <t>039-25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</si>
</sst>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FILTER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PIPES FOR INTERNAL SPRAY ASSEMBLY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16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FAB &amp; COPE (4) LEGS</v>
      </c>
      <c r="E19" s="13">
        <f>'Sheet2-PASTE HERE!'!F29</f>
        <v>10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MAKE (4) PIPING SUPPORTS &amp; (2) BOX SUPPORTS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.300</v>
      </c>
      <c r="D22" s="22" t="str">
        <f>'Sheet2-PASTE HERE!'!K32</f>
        <v>Wrap top and bottom heads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clean_x000D_
SET UP (1) SINGLE SHELL &amp; (1) DOUBLE SHELL</v>
      </c>
      <c r="E24" s="13">
        <f>'Sheet2-PASTE HERE!'!F34</f>
        <v>7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seams_x000D_
ROLL &amp; WELD (1) SINGLE SHELL &amp; (1) DOUBLE SHELL</v>
      </c>
      <c r="E25" s="13">
        <f>'Sheet2-PASTE HERE!'!F35</f>
        <v>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ON BURN TABLE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.360</v>
      </c>
      <c r="D28" s="22" t="str">
        <f>'Sheet2-PASTE HERE!'!K38</f>
        <v>Bevel top head_x000D_
BEVEL NOZZLE HOLES CUT ON BURN TABLE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etc._x000D_
INCL LIFT LUGS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3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.455</v>
      </c>
      <c r="D33" s="22" t="str">
        <f>'Sheet2-PASTE HERE!'!K43</f>
        <v>Lay out bottom head, burn and clean holes_x000D_
ON BURN TABLE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.460</v>
      </c>
      <c r="D34" s="22" t="str">
        <f>'Sheet2-PASTE HERE!'!K44</f>
        <v>Bevel bottom head_x000D_
BEVEL NOZZLE HOLES CUT ON BURN TABLE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.580</v>
      </c>
      <c r="D37" s="22" t="str">
        <f>'Sheet2-PASTE HERE!'!K47</f>
        <v>Fabricate internal coil supports_x000D_
MAKE (2) HEADER PIPE SUPPORTS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.590</v>
      </c>
      <c r="D38" s="22" t="str">
        <f>'Sheet2-PASTE HERE!'!K48</f>
        <v>Fabricate internal coil_x000D_
MAKE &amp; ASSEMBLE HEADER &amp; BRANCH PIPING</v>
      </c>
      <c r="E38" s="13">
        <f>'Sheet2-PASTE HERE!'!F48</f>
        <v>34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.OI1</v>
      </c>
      <c r="D39" s="22" t="str">
        <f>'Sheet2-PASTE HERE!'!K49</f>
        <v>ASME Hold Point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1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.600</v>
      </c>
      <c r="D40" s="22" t="str">
        <f>'Sheet2-PASTE HERE!'!K50</f>
        <v>Fit bottom head to shell_x000D_
AND WELD INSIDE SEAM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.605</v>
      </c>
      <c r="D41" s="22" t="str">
        <f>'Sheet2-PASTE HERE!'!K51</f>
        <v>Tack shell courses together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.610</v>
      </c>
      <c r="D42" s="22" t="str">
        <f>'Sheet2-PASTE HERE!'!K52</f>
        <v>Weld inside round seams</v>
      </c>
      <c r="E42" s="13">
        <f>'Sheet2-PASTE HERE!'!F52</f>
        <v>3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.620</v>
      </c>
      <c r="D43" s="22" t="str">
        <f>'Sheet2-PASTE HERE!'!K53</f>
        <v>Lay out shell, burn and clean holes_x000D_
BEVEL HOLES CUT ON BURN TABLE</v>
      </c>
      <c r="E43" s="13">
        <f>'Sheet2-PASTE HERE!'!F53</f>
        <v>3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.635</v>
      </c>
      <c r="D44" s="22" t="str">
        <f>'Sheet2-PASTE HERE!'!K54</f>
        <v>Install internal coil and supports_x000D_
AND CONNECT N6</v>
      </c>
      <c r="E44" s="13">
        <f>'Sheet2-PASTE HERE!'!F54</f>
        <v>20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INCL HOLE WATCH</v>
      </c>
      <c r="E47" s="13">
        <f>'Sheet2-PASTE HERE!'!F57</f>
        <v>7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</v>
      </c>
      <c r="E48" s="13">
        <f>'Sheet2-PASTE HERE!'!F58</f>
        <v>12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.720</v>
      </c>
      <c r="D50" s="22" t="str">
        <f>'Sheet2-PASTE HERE!'!K60</f>
        <v>Install supports - legs, lugs, anchors, saddles, skirt_x000D_
INSTALL &amp; WELD (4) LEGS</v>
      </c>
      <c r="E50" s="13">
        <f>'Sheet2-PASTE HERE!'!F60</f>
        <v>20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.725</v>
      </c>
      <c r="D51" s="22" t="str">
        <f>'Sheet2-PASTE HERE!'!K61</f>
        <v>Set nozzles in shell - tack</v>
      </c>
      <c r="E51" s="13">
        <f>'Sheet2-PASTE HERE!'!F61</f>
        <v>7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.726</v>
      </c>
      <c r="D52" s="22" t="str">
        <f>'Sheet2-PASTE HERE!'!K62</f>
        <v>Weld shell nozzles, manways, etc._x000D_
INCL HOLE WATCH &amp; FLANGE FOR N7</v>
      </c>
      <c r="E52" s="13">
        <f>'Sheet2-PASTE HERE!'!F62</f>
        <v>20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.730</v>
      </c>
      <c r="D53" s="22" t="str">
        <f>'Sheet2-PASTE HERE!'!K63</f>
        <v>Add repads and weld</v>
      </c>
      <c r="E53" s="13">
        <f>'Sheet2-PASTE HERE!'!F63</f>
        <v>3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.735</v>
      </c>
      <c r="D54" s="22" t="str">
        <f>'Sheet2-PASTE HERE!'!K64</f>
        <v>Install dip pipe supports_x000D_
INCL HOLE WATCH</v>
      </c>
      <c r="E54" s="13">
        <f>'Sheet2-PASTE HERE!'!F64</f>
        <v>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.765</v>
      </c>
      <c r="D55" s="22" t="str">
        <f>'Sheet2-PASTE HERE!'!K65</f>
        <v>Install name tag</v>
      </c>
      <c r="E55" s="13">
        <f>'Sheet2-PASTE HERE!'!F65</f>
        <v>1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.770</v>
      </c>
      <c r="D56" s="22" t="str">
        <f>'Sheet2-PASTE HERE!'!K66</f>
        <v>Inspect tank, make repairs, get QC inspector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.QC6</v>
      </c>
      <c r="D57" s="22" t="str">
        <f>'Sheet2-PASTE HERE!'!K67</f>
        <v>QC Inspection - Fabrication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.OI2</v>
      </c>
      <c r="D58" s="22" t="str">
        <f>'Sheet2-PASTE HERE!'!K68</f>
        <v>ASME Inspection Internal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1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.801</v>
      </c>
      <c r="D59" s="22" t="str">
        <f>'Sheet2-PASTE HERE!'!K69</f>
        <v>Move to shop test area</v>
      </c>
      <c r="E59" s="13">
        <f>'Sheet2-PASTE HERE!'!F69</f>
        <v>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.910</v>
      </c>
      <c r="D60" s="22" t="str">
        <f>'Sheet2-PASTE HERE!'!K70</f>
        <v>Test tank_x000D_
TEST TANK &amp; INTERNAL PIPING</v>
      </c>
      <c r="E60" s="13">
        <f>'Sheet2-PASTE HERE!'!F70</f>
        <v>15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.QC7</v>
      </c>
      <c r="D61" s="22" t="str">
        <f>'Sheet2-PASTE HERE!'!K71</f>
        <v>QC Inspection -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.OI3</v>
      </c>
      <c r="D62" s="22" t="str">
        <f>'Sheet2-PASTE HERE!'!K72</f>
        <v>ASME Inspection Test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1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.920</v>
      </c>
      <c r="D63" s="22" t="str">
        <f>'Sheet2-PASTE HERE!'!K73</f>
        <v>Clean tank complete</v>
      </c>
      <c r="E63" s="13">
        <f>'Sheet2-PASTE HERE!'!F73</f>
        <v>28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.QC8</v>
      </c>
      <c r="D64" s="22" t="str">
        <f>'Sheet2-PASTE HERE!'!K74</f>
        <v>QC Inspection - Clean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3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FILTER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PIPES FOR INTERNAL SPRAY ASSEMBLY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16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FAB &amp; COPE (4) LEGS</v>
      </c>
      <c r="E19" s="13">
        <f>'Sheet2-PASTE HERE!'!F29</f>
        <v>10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MAKE (4) PIPING SUPPORTS &amp; (2) BOX SUPPORTS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.300</v>
      </c>
      <c r="D22" s="22" t="str">
        <f>'Sheet2-PASTE HERE!'!K32</f>
        <v>Wrap top and bottom heads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clean_x000D_
SET UP (1) SINGLE SHELL &amp; (1) DOUBLE SHELL</v>
      </c>
      <c r="E24" s="13">
        <f>'Sheet2-PASTE HERE!'!F34</f>
        <v>7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seams_x000D_
ROLL &amp; WELD (1) SINGLE SHELL &amp; (1) DOUBLE SHELL</v>
      </c>
      <c r="E25" s="13">
        <f>'Sheet2-PASTE HERE!'!F35</f>
        <v>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ON BURN TABLE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.360</v>
      </c>
      <c r="D28" s="22" t="str">
        <f>'Sheet2-PASTE HERE!'!K38</f>
        <v>Bevel top head_x000D_
BEVEL NOZZLE HOLES CUT ON BURN TABLE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etc._x000D_
INCL LIFT LUGS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3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.455</v>
      </c>
      <c r="D33" s="22" t="str">
        <f>'Sheet2-PASTE HERE!'!K43</f>
        <v>Lay out bottom head, burn and clean holes_x000D_
ON BURN TABLE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.460</v>
      </c>
      <c r="D34" s="22" t="str">
        <f>'Sheet2-PASTE HERE!'!K44</f>
        <v>Bevel bottom head_x000D_
BEVEL NOZZLE HOLES CUT ON BURN TABLE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.580</v>
      </c>
      <c r="D37" s="22" t="str">
        <f>'Sheet2-PASTE HERE!'!K47</f>
        <v>Fabricate internal coil supports_x000D_
MAKE (2) HEADER PIPE SUPPORTS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.590</v>
      </c>
      <c r="D38" s="22" t="str">
        <f>'Sheet2-PASTE HERE!'!K48</f>
        <v>Fabricate internal coil_x000D_
MAKE &amp; ASSEMBLE HEADER &amp; BRANCH PIPING</v>
      </c>
      <c r="E38" s="13">
        <f>'Sheet2-PASTE HERE!'!F48</f>
        <v>34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.OI1</v>
      </c>
      <c r="D39" s="22" t="str">
        <f>'Sheet2-PASTE HERE!'!K49</f>
        <v>ASME Hold Point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1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.600</v>
      </c>
      <c r="D40" s="22" t="str">
        <f>'Sheet2-PASTE HERE!'!K50</f>
        <v>Fit bottom head to shell_x000D_
AND WELD INSIDE SEAM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.605</v>
      </c>
      <c r="D41" s="22" t="str">
        <f>'Sheet2-PASTE HERE!'!K51</f>
        <v>Tack shell courses together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.610</v>
      </c>
      <c r="D42" s="22" t="str">
        <f>'Sheet2-PASTE HERE!'!K52</f>
        <v>Weld inside round seams</v>
      </c>
      <c r="E42" s="13">
        <f>'Sheet2-PASTE HERE!'!F52</f>
        <v>3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.620</v>
      </c>
      <c r="D43" s="22" t="str">
        <f>'Sheet2-PASTE HERE!'!K53</f>
        <v>Lay out shell, burn and clean holes_x000D_
BEVEL HOLES CUT ON BURN TABLE</v>
      </c>
      <c r="E43" s="13">
        <f>'Sheet2-PASTE HERE!'!F53</f>
        <v>3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.635</v>
      </c>
      <c r="D44" s="22" t="str">
        <f>'Sheet2-PASTE HERE!'!K54</f>
        <v>Install internal coil and supports_x000D_
AND CONNECT N6</v>
      </c>
      <c r="E44" s="13">
        <f>'Sheet2-PASTE HERE!'!F54</f>
        <v>20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INCL HOLE WATCH</v>
      </c>
      <c r="E47" s="13">
        <f>'Sheet2-PASTE HERE!'!F57</f>
        <v>7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</v>
      </c>
      <c r="E48" s="13">
        <f>'Sheet2-PASTE HERE!'!F58</f>
        <v>12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.720</v>
      </c>
      <c r="D50" s="22" t="str">
        <f>'Sheet2-PASTE HERE!'!K60</f>
        <v>Install supports - legs, lugs, anchors, saddles, skirt_x000D_
INSTALL &amp; WELD (4) LEGS</v>
      </c>
      <c r="E50" s="13">
        <f>'Sheet2-PASTE HERE!'!F60</f>
        <v>20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.725</v>
      </c>
      <c r="D51" s="22" t="str">
        <f>'Sheet2-PASTE HERE!'!K61</f>
        <v>Set nozzles in shell - tack</v>
      </c>
      <c r="E51" s="13">
        <f>'Sheet2-PASTE HERE!'!F61</f>
        <v>7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.726</v>
      </c>
      <c r="D52" s="22" t="str">
        <f>'Sheet2-PASTE HERE!'!K62</f>
        <v>Weld shell nozzles, manways, etc._x000D_
INCL HOLE WATCH &amp; FLANGE FOR N7</v>
      </c>
      <c r="E52" s="13">
        <f>'Sheet2-PASTE HERE!'!F62</f>
        <v>20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.730</v>
      </c>
      <c r="D53" s="22" t="str">
        <f>'Sheet2-PASTE HERE!'!K63</f>
        <v>Add repads and weld</v>
      </c>
      <c r="E53" s="13">
        <f>'Sheet2-PASTE HERE!'!F63</f>
        <v>3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.735</v>
      </c>
      <c r="D54" s="22" t="str">
        <f>'Sheet2-PASTE HERE!'!K64</f>
        <v>Install dip pipe supports_x000D_
INCL HOLE WATCH</v>
      </c>
      <c r="E54" s="13">
        <f>'Sheet2-PASTE HERE!'!F64</f>
        <v>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.765</v>
      </c>
      <c r="D55" s="22" t="str">
        <f>'Sheet2-PASTE HERE!'!K65</f>
        <v>Install name tag</v>
      </c>
      <c r="E55" s="13">
        <f>'Sheet2-PASTE HERE!'!F65</f>
        <v>1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.770</v>
      </c>
      <c r="D56" s="22" t="str">
        <f>'Sheet2-PASTE HERE!'!K66</f>
        <v>Inspect tank, make repairs, get QC inspector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.QC6</v>
      </c>
      <c r="D57" s="22" t="str">
        <f>'Sheet2-PASTE HERE!'!K67</f>
        <v>QC Inspection - Fabrication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.OI2</v>
      </c>
      <c r="D58" s="22" t="str">
        <f>'Sheet2-PASTE HERE!'!K68</f>
        <v>ASME Inspection Internal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1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.801</v>
      </c>
      <c r="D59" s="22" t="str">
        <f>'Sheet2-PASTE HERE!'!K69</f>
        <v>Move to shop test area</v>
      </c>
      <c r="E59" s="13">
        <f>'Sheet2-PASTE HERE!'!F69</f>
        <v>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.910</v>
      </c>
      <c r="D60" s="22" t="str">
        <f>'Sheet2-PASTE HERE!'!K70</f>
        <v>Test tank_x000D_
TEST TANK &amp; INTERNAL PIPING</v>
      </c>
      <c r="E60" s="13">
        <f>'Sheet2-PASTE HERE!'!F70</f>
        <v>15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.QC7</v>
      </c>
      <c r="D61" s="22" t="str">
        <f>'Sheet2-PASTE HERE!'!K71</f>
        <v>QC Inspection -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.OI3</v>
      </c>
      <c r="D62" s="22" t="str">
        <f>'Sheet2-PASTE HERE!'!K72</f>
        <v>ASME Inspection Test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1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.920</v>
      </c>
      <c r="D63" s="22" t="str">
        <f>'Sheet2-PASTE HERE!'!K73</f>
        <v>Clean tank complete</v>
      </c>
      <c r="E63" s="13">
        <f>'Sheet2-PASTE HERE!'!F73</f>
        <v>28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.QC8</v>
      </c>
      <c r="D64" s="22" t="str">
        <f>'Sheet2-PASTE HERE!'!K74</f>
        <v>QC Inspection - Clean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3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175</v>
      </c>
      <c r="G1" s="8" t="s">
        <v>173</v>
      </c>
      <c r="H1" s="8" t="s">
        <v>20</v>
      </c>
      <c r="I1" s="8" t="s">
        <v>176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45714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312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51502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51503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51504</v>
      </c>
      <c r="C19" s="19">
        <v>0</v>
      </c>
      <c r="D19" s="8" t="s">
        <v>57</v>
      </c>
      <c r="E19" s="20">
        <v>0</v>
      </c>
      <c r="F19" s="20">
        <v>6</v>
      </c>
      <c r="G19" s="8" t="s">
        <v>54</v>
      </c>
      <c r="H19" s="20">
        <v>6</v>
      </c>
      <c r="I19" s="8" t="s">
        <v>58</v>
      </c>
      <c r="J19" s="19">
        <v>0</v>
      </c>
      <c r="K19" s="8" t="s">
        <v>177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51505</v>
      </c>
      <c r="C20" s="19">
        <v>0</v>
      </c>
      <c r="D20" s="8" t="s">
        <v>80</v>
      </c>
      <c r="E20" s="20">
        <v>0</v>
      </c>
      <c r="F20" s="20">
        <v>7</v>
      </c>
      <c r="G20" s="8" t="s">
        <v>54</v>
      </c>
      <c r="H20" s="20">
        <v>7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51506</v>
      </c>
      <c r="C21" s="19">
        <v>0</v>
      </c>
      <c r="D21" s="8" t="s">
        <v>164</v>
      </c>
      <c r="E21" s="20">
        <v>0</v>
      </c>
      <c r="F21" s="20">
        <v>2</v>
      </c>
      <c r="G21" s="8" t="s">
        <v>54</v>
      </c>
      <c r="H21" s="20">
        <v>2</v>
      </c>
      <c r="I21" s="8" t="s">
        <v>165</v>
      </c>
      <c r="J21" s="19">
        <v>0</v>
      </c>
      <c r="K21" s="8" t="s">
        <v>166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51507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51508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51509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51510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51511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51512</v>
      </c>
      <c r="C27" s="19">
        <v>0</v>
      </c>
      <c r="D27" s="8" t="s">
        <v>178</v>
      </c>
      <c r="E27" s="20">
        <v>0</v>
      </c>
      <c r="F27" s="20">
        <v>16</v>
      </c>
      <c r="G27" s="8" t="s">
        <v>54</v>
      </c>
      <c r="H27" s="20">
        <v>16</v>
      </c>
      <c r="I27" s="8" t="s">
        <v>59</v>
      </c>
      <c r="J27" s="19">
        <v>0</v>
      </c>
      <c r="K27" s="8" t="s">
        <v>98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51513</v>
      </c>
      <c r="C28" s="19">
        <v>0</v>
      </c>
      <c r="D28" s="8" t="s">
        <v>179</v>
      </c>
      <c r="E28" s="20">
        <v>0</v>
      </c>
      <c r="F28" s="20">
        <v>10</v>
      </c>
      <c r="G28" s="8" t="s">
        <v>54</v>
      </c>
      <c r="H28" s="20">
        <v>10</v>
      </c>
      <c r="I28" s="8" t="s">
        <v>180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51514</v>
      </c>
      <c r="C29" s="19">
        <v>0</v>
      </c>
      <c r="D29" s="8" t="s">
        <v>60</v>
      </c>
      <c r="E29" s="20">
        <v>0</v>
      </c>
      <c r="F29" s="20">
        <v>10</v>
      </c>
      <c r="G29" s="8" t="s">
        <v>54</v>
      </c>
      <c r="H29" s="20">
        <v>10</v>
      </c>
      <c r="I29" s="8" t="s">
        <v>61</v>
      </c>
      <c r="J29" s="19">
        <v>0</v>
      </c>
      <c r="K29" s="8" t="s">
        <v>181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51515</v>
      </c>
      <c r="C30" s="19">
        <v>0</v>
      </c>
      <c r="D30" s="8" t="s">
        <v>99</v>
      </c>
      <c r="E30" s="20">
        <v>0</v>
      </c>
      <c r="F30" s="20">
        <v>2</v>
      </c>
      <c r="G30" s="8" t="s">
        <v>54</v>
      </c>
      <c r="H30" s="20">
        <v>2</v>
      </c>
      <c r="I30" s="8" t="s">
        <v>100</v>
      </c>
      <c r="J30" s="19">
        <v>0</v>
      </c>
      <c r="K30" s="8" t="s">
        <v>101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51516</v>
      </c>
      <c r="C31" s="19">
        <v>0</v>
      </c>
      <c r="D31" s="8" t="s">
        <v>167</v>
      </c>
      <c r="E31" s="20">
        <v>0</v>
      </c>
      <c r="F31" s="20">
        <v>4</v>
      </c>
      <c r="G31" s="8" t="s">
        <v>54</v>
      </c>
      <c r="H31" s="20">
        <v>4</v>
      </c>
      <c r="I31" s="8" t="s">
        <v>168</v>
      </c>
      <c r="J31" s="19">
        <v>0</v>
      </c>
      <c r="K31" s="8" t="s">
        <v>182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51517</v>
      </c>
      <c r="C32" s="19">
        <v>0</v>
      </c>
      <c r="D32" s="8" t="s">
        <v>183</v>
      </c>
      <c r="E32" s="20">
        <v>0</v>
      </c>
      <c r="F32" s="20">
        <v>1</v>
      </c>
      <c r="G32" s="8" t="s">
        <v>54</v>
      </c>
      <c r="H32" s="20">
        <v>1</v>
      </c>
      <c r="I32" s="8" t="s">
        <v>184</v>
      </c>
      <c r="J32" s="19">
        <v>0</v>
      </c>
      <c r="K32" s="8" t="s">
        <v>185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51518</v>
      </c>
      <c r="C33" s="19">
        <v>0</v>
      </c>
      <c r="D33" s="8" t="s">
        <v>102</v>
      </c>
      <c r="E33" s="20">
        <v>0</v>
      </c>
      <c r="F33" s="20">
        <v>0</v>
      </c>
      <c r="G33" s="8" t="s">
        <v>54</v>
      </c>
      <c r="H33" s="20">
        <v>0</v>
      </c>
      <c r="I33" s="8" t="s">
        <v>103</v>
      </c>
      <c r="J33" s="19">
        <v>0</v>
      </c>
      <c r="K33" s="8" t="s">
        <v>102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51519</v>
      </c>
      <c r="C34" s="19">
        <v>0</v>
      </c>
      <c r="D34" s="8" t="s">
        <v>104</v>
      </c>
      <c r="E34" s="20">
        <v>0</v>
      </c>
      <c r="F34" s="20">
        <v>7</v>
      </c>
      <c r="G34" s="8" t="s">
        <v>54</v>
      </c>
      <c r="H34" s="20">
        <v>7</v>
      </c>
      <c r="I34" s="8" t="s">
        <v>105</v>
      </c>
      <c r="J34" s="19">
        <v>0</v>
      </c>
      <c r="K34" s="8" t="s">
        <v>186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51520</v>
      </c>
      <c r="C35" s="19">
        <v>0</v>
      </c>
      <c r="D35" s="8" t="s">
        <v>106</v>
      </c>
      <c r="E35" s="20">
        <v>0</v>
      </c>
      <c r="F35" s="20">
        <v>8</v>
      </c>
      <c r="G35" s="8" t="s">
        <v>54</v>
      </c>
      <c r="H35" s="20">
        <v>8</v>
      </c>
      <c r="I35" s="8" t="s">
        <v>107</v>
      </c>
      <c r="J35" s="19">
        <v>0</v>
      </c>
      <c r="K35" s="8" t="s">
        <v>187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51521</v>
      </c>
      <c r="C36" s="19">
        <v>0</v>
      </c>
      <c r="D36" s="8" t="s">
        <v>108</v>
      </c>
      <c r="E36" s="20">
        <v>0</v>
      </c>
      <c r="F36" s="20">
        <v>0</v>
      </c>
      <c r="G36" s="8" t="s">
        <v>54</v>
      </c>
      <c r="H36" s="20">
        <v>0</v>
      </c>
      <c r="I36" s="8" t="s">
        <v>109</v>
      </c>
      <c r="J36" s="19">
        <v>0</v>
      </c>
      <c r="K36" s="8" t="s">
        <v>110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51522</v>
      </c>
      <c r="C37" s="19">
        <v>0</v>
      </c>
      <c r="D37" s="8" t="s">
        <v>111</v>
      </c>
      <c r="E37" s="20">
        <v>0</v>
      </c>
      <c r="F37" s="20">
        <v>1</v>
      </c>
      <c r="G37" s="8" t="s">
        <v>54</v>
      </c>
      <c r="H37" s="20">
        <v>1</v>
      </c>
      <c r="I37" s="8" t="s">
        <v>112</v>
      </c>
      <c r="J37" s="19">
        <v>0</v>
      </c>
      <c r="K37" s="8" t="s">
        <v>188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51523</v>
      </c>
      <c r="C38" s="19">
        <v>0</v>
      </c>
      <c r="D38" s="8" t="s">
        <v>189</v>
      </c>
      <c r="E38" s="20">
        <v>0</v>
      </c>
      <c r="F38" s="20">
        <v>2</v>
      </c>
      <c r="G38" s="8" t="s">
        <v>54</v>
      </c>
      <c r="H38" s="20">
        <v>2</v>
      </c>
      <c r="I38" s="8" t="s">
        <v>190</v>
      </c>
      <c r="J38" s="19">
        <v>0</v>
      </c>
      <c r="K38" s="8" t="s">
        <v>191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51524</v>
      </c>
      <c r="C39" s="19">
        <v>0</v>
      </c>
      <c r="D39" s="8" t="s">
        <v>113</v>
      </c>
      <c r="E39" s="20">
        <v>0</v>
      </c>
      <c r="F39" s="20">
        <v>2</v>
      </c>
      <c r="G39" s="8" t="s">
        <v>54</v>
      </c>
      <c r="H39" s="20">
        <v>2</v>
      </c>
      <c r="I39" s="8" t="s">
        <v>114</v>
      </c>
      <c r="J39" s="19">
        <v>0</v>
      </c>
      <c r="K39" s="8" t="s">
        <v>115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51525</v>
      </c>
      <c r="C40" s="19">
        <v>0</v>
      </c>
      <c r="D40" s="8" t="s">
        <v>116</v>
      </c>
      <c r="E40" s="20">
        <v>0</v>
      </c>
      <c r="F40" s="20">
        <v>6</v>
      </c>
      <c r="G40" s="8" t="s">
        <v>54</v>
      </c>
      <c r="H40" s="20">
        <v>6</v>
      </c>
      <c r="I40" s="8" t="s">
        <v>117</v>
      </c>
      <c r="J40" s="19">
        <v>0</v>
      </c>
      <c r="K40" s="8" t="s">
        <v>192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51526</v>
      </c>
      <c r="C41" s="19">
        <v>0</v>
      </c>
      <c r="D41" s="8" t="s">
        <v>169</v>
      </c>
      <c r="E41" s="20">
        <v>0</v>
      </c>
      <c r="F41" s="20">
        <v>3</v>
      </c>
      <c r="G41" s="8" t="s">
        <v>54</v>
      </c>
      <c r="H41" s="20">
        <v>3</v>
      </c>
      <c r="I41" s="8" t="s">
        <v>170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51527</v>
      </c>
      <c r="C42" s="19">
        <v>0</v>
      </c>
      <c r="D42" s="8" t="s">
        <v>108</v>
      </c>
      <c r="E42" s="20">
        <v>0</v>
      </c>
      <c r="F42" s="20">
        <v>0</v>
      </c>
      <c r="G42" s="8" t="s">
        <v>54</v>
      </c>
      <c r="H42" s="20">
        <v>0</v>
      </c>
      <c r="I42" s="8" t="s">
        <v>109</v>
      </c>
      <c r="J42" s="19">
        <v>0</v>
      </c>
      <c r="K42" s="8" t="s">
        <v>110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51528</v>
      </c>
      <c r="C43" s="19">
        <v>0</v>
      </c>
      <c r="D43" s="8" t="s">
        <v>194</v>
      </c>
      <c r="E43" s="20">
        <v>0</v>
      </c>
      <c r="F43" s="20">
        <v>1</v>
      </c>
      <c r="G43" s="8" t="s">
        <v>54</v>
      </c>
      <c r="H43" s="20">
        <v>1</v>
      </c>
      <c r="I43" s="8" t="s">
        <v>195</v>
      </c>
      <c r="J43" s="19">
        <v>0</v>
      </c>
      <c r="K43" s="8" t="s">
        <v>196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51529</v>
      </c>
      <c r="C44" s="19">
        <v>0</v>
      </c>
      <c r="D44" s="8" t="s">
        <v>197</v>
      </c>
      <c r="E44" s="20">
        <v>0</v>
      </c>
      <c r="F44" s="20">
        <v>2</v>
      </c>
      <c r="G44" s="8" t="s">
        <v>54</v>
      </c>
      <c r="H44" s="20">
        <v>2</v>
      </c>
      <c r="I44" s="8" t="s">
        <v>198</v>
      </c>
      <c r="J44" s="19">
        <v>0</v>
      </c>
      <c r="K44" s="8" t="s">
        <v>199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51530</v>
      </c>
      <c r="C45" s="19">
        <v>0</v>
      </c>
      <c r="D45" s="8" t="s">
        <v>200</v>
      </c>
      <c r="E45" s="20">
        <v>0</v>
      </c>
      <c r="F45" s="20">
        <v>2</v>
      </c>
      <c r="G45" s="8" t="s">
        <v>54</v>
      </c>
      <c r="H45" s="20">
        <v>2</v>
      </c>
      <c r="I45" s="8" t="s">
        <v>201</v>
      </c>
      <c r="J45" s="19">
        <v>0</v>
      </c>
      <c r="K45" s="8" t="s">
        <v>202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51531</v>
      </c>
      <c r="C46" s="19">
        <v>0</v>
      </c>
      <c r="D46" s="8" t="s">
        <v>203</v>
      </c>
      <c r="E46" s="20">
        <v>0</v>
      </c>
      <c r="F46" s="20">
        <v>3</v>
      </c>
      <c r="G46" s="8" t="s">
        <v>54</v>
      </c>
      <c r="H46" s="20">
        <v>3</v>
      </c>
      <c r="I46" s="8" t="s">
        <v>204</v>
      </c>
      <c r="J46" s="19">
        <v>0</v>
      </c>
      <c r="K46" s="8" t="s">
        <v>205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51532</v>
      </c>
      <c r="C47" s="19">
        <v>0</v>
      </c>
      <c r="D47" s="8" t="s">
        <v>206</v>
      </c>
      <c r="E47" s="20">
        <v>0</v>
      </c>
      <c r="F47" s="20">
        <v>3</v>
      </c>
      <c r="G47" s="8" t="s">
        <v>54</v>
      </c>
      <c r="H47" s="20">
        <v>3</v>
      </c>
      <c r="I47" s="8" t="s">
        <v>207</v>
      </c>
      <c r="J47" s="19">
        <v>0</v>
      </c>
      <c r="K47" s="8" t="s">
        <v>208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51533</v>
      </c>
      <c r="C48" s="19">
        <v>0</v>
      </c>
      <c r="D48" s="8" t="s">
        <v>209</v>
      </c>
      <c r="E48" s="20">
        <v>0</v>
      </c>
      <c r="F48" s="20">
        <v>34</v>
      </c>
      <c r="G48" s="8" t="s">
        <v>54</v>
      </c>
      <c r="H48" s="20">
        <v>34</v>
      </c>
      <c r="I48" s="8" t="s">
        <v>210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51534</v>
      </c>
      <c r="C49" s="19">
        <v>0</v>
      </c>
      <c r="D49" s="8" t="s">
        <v>212</v>
      </c>
      <c r="E49" s="20">
        <v>0</v>
      </c>
      <c r="F49" s="20">
        <v>0</v>
      </c>
      <c r="G49" s="8" t="s">
        <v>54</v>
      </c>
      <c r="H49" s="20">
        <v>0</v>
      </c>
      <c r="I49" s="8" t="s">
        <v>213</v>
      </c>
      <c r="J49" s="19">
        <v>0</v>
      </c>
      <c r="K49" s="8" t="s">
        <v>212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51535</v>
      </c>
      <c r="C50" s="19">
        <v>0</v>
      </c>
      <c r="D50" s="8" t="s">
        <v>118</v>
      </c>
      <c r="E50" s="20">
        <v>0</v>
      </c>
      <c r="F50" s="20">
        <v>8</v>
      </c>
      <c r="G50" s="8" t="s">
        <v>54</v>
      </c>
      <c r="H50" s="20">
        <v>8</v>
      </c>
      <c r="I50" s="8" t="s">
        <v>119</v>
      </c>
      <c r="J50" s="19">
        <v>0</v>
      </c>
      <c r="K50" s="8" t="s">
        <v>214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51536</v>
      </c>
      <c r="C51" s="19">
        <v>0</v>
      </c>
      <c r="D51" s="8" t="s">
        <v>120</v>
      </c>
      <c r="E51" s="20">
        <v>0</v>
      </c>
      <c r="F51" s="20">
        <v>3</v>
      </c>
      <c r="G51" s="8" t="s">
        <v>54</v>
      </c>
      <c r="H51" s="20">
        <v>3</v>
      </c>
      <c r="I51" s="8" t="s">
        <v>121</v>
      </c>
      <c r="J51" s="19">
        <v>0</v>
      </c>
      <c r="K51" s="8" t="s">
        <v>215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51537</v>
      </c>
      <c r="C52" s="19">
        <v>0</v>
      </c>
      <c r="D52" s="8" t="s">
        <v>122</v>
      </c>
      <c r="E52" s="20">
        <v>0</v>
      </c>
      <c r="F52" s="20">
        <v>3</v>
      </c>
      <c r="G52" s="8" t="s">
        <v>54</v>
      </c>
      <c r="H52" s="20">
        <v>3</v>
      </c>
      <c r="I52" s="8" t="s">
        <v>123</v>
      </c>
      <c r="J52" s="19">
        <v>0</v>
      </c>
      <c r="K52" s="8" t="s">
        <v>216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51538</v>
      </c>
      <c r="C53" s="19">
        <v>0</v>
      </c>
      <c r="D53" s="8" t="s">
        <v>124</v>
      </c>
      <c r="E53" s="20">
        <v>0</v>
      </c>
      <c r="F53" s="20">
        <v>3</v>
      </c>
      <c r="G53" s="8" t="s">
        <v>54</v>
      </c>
      <c r="H53" s="20">
        <v>3</v>
      </c>
      <c r="I53" s="8" t="s">
        <v>125</v>
      </c>
      <c r="J53" s="19">
        <v>0</v>
      </c>
      <c r="K53" s="8" t="s">
        <v>217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51539</v>
      </c>
      <c r="C54" s="19">
        <v>0</v>
      </c>
      <c r="D54" s="8" t="s">
        <v>218</v>
      </c>
      <c r="E54" s="20">
        <v>0</v>
      </c>
      <c r="F54" s="20">
        <v>20</v>
      </c>
      <c r="G54" s="8" t="s">
        <v>54</v>
      </c>
      <c r="H54" s="20">
        <v>20</v>
      </c>
      <c r="I54" s="8" t="s">
        <v>219</v>
      </c>
      <c r="J54" s="19">
        <v>0</v>
      </c>
      <c r="K54" s="8" t="s">
        <v>220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51540</v>
      </c>
      <c r="C55" s="19">
        <v>0</v>
      </c>
      <c r="D55" s="8" t="s">
        <v>126</v>
      </c>
      <c r="E55" s="20">
        <v>0</v>
      </c>
      <c r="F55" s="20">
        <v>0</v>
      </c>
      <c r="G55" s="8" t="s">
        <v>54</v>
      </c>
      <c r="H55" s="20">
        <v>0</v>
      </c>
      <c r="I55" s="8" t="s">
        <v>127</v>
      </c>
      <c r="J55" s="19">
        <v>0</v>
      </c>
      <c r="K55" s="8" t="s">
        <v>126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51541</v>
      </c>
      <c r="C56" s="19">
        <v>0</v>
      </c>
      <c r="D56" s="8" t="s">
        <v>128</v>
      </c>
      <c r="E56" s="20">
        <v>0</v>
      </c>
      <c r="F56" s="20">
        <v>4</v>
      </c>
      <c r="G56" s="8" t="s">
        <v>54</v>
      </c>
      <c r="H56" s="20">
        <v>4</v>
      </c>
      <c r="I56" s="8" t="s">
        <v>129</v>
      </c>
      <c r="J56" s="19">
        <v>0</v>
      </c>
      <c r="K56" s="8" t="s">
        <v>221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51542</v>
      </c>
      <c r="C57" s="19">
        <v>0</v>
      </c>
      <c r="D57" s="8" t="s">
        <v>222</v>
      </c>
      <c r="E57" s="20">
        <v>0</v>
      </c>
      <c r="F57" s="20">
        <v>7</v>
      </c>
      <c r="G57" s="8" t="s">
        <v>54</v>
      </c>
      <c r="H57" s="20">
        <v>7</v>
      </c>
      <c r="I57" s="8" t="s">
        <v>223</v>
      </c>
      <c r="J57" s="19">
        <v>0</v>
      </c>
      <c r="K57" s="8" t="s">
        <v>224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51543</v>
      </c>
      <c r="C58" s="19">
        <v>0</v>
      </c>
      <c r="D58" s="8" t="s">
        <v>225</v>
      </c>
      <c r="E58" s="20">
        <v>0</v>
      </c>
      <c r="F58" s="20">
        <v>12</v>
      </c>
      <c r="G58" s="8" t="s">
        <v>54</v>
      </c>
      <c r="H58" s="20">
        <v>12</v>
      </c>
      <c r="I58" s="8" t="s">
        <v>226</v>
      </c>
      <c r="J58" s="19">
        <v>0</v>
      </c>
      <c r="K58" s="8" t="s">
        <v>227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130</v>
      </c>
      <c r="B59" s="18">
        <v>51544</v>
      </c>
      <c r="C59" s="19">
        <v>0</v>
      </c>
      <c r="D59" s="8" t="s">
        <v>131</v>
      </c>
      <c r="E59" s="20">
        <v>0</v>
      </c>
      <c r="F59" s="20">
        <v>2</v>
      </c>
      <c r="G59" s="8" t="s">
        <v>54</v>
      </c>
      <c r="H59" s="20">
        <v>2</v>
      </c>
      <c r="I59" s="8" t="s">
        <v>132</v>
      </c>
      <c r="J59" s="19">
        <v>0</v>
      </c>
      <c r="K59" s="8" t="s">
        <v>133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51545</v>
      </c>
      <c r="C60" s="19">
        <v>0</v>
      </c>
      <c r="D60" s="8" t="s">
        <v>134</v>
      </c>
      <c r="E60" s="20">
        <v>0</v>
      </c>
      <c r="F60" s="20">
        <v>20</v>
      </c>
      <c r="G60" s="8" t="s">
        <v>54</v>
      </c>
      <c r="H60" s="20">
        <v>20</v>
      </c>
      <c r="I60" s="8" t="s">
        <v>135</v>
      </c>
      <c r="J60" s="19">
        <v>0</v>
      </c>
      <c r="K60" s="8" t="s">
        <v>228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51546</v>
      </c>
      <c r="C61" s="19">
        <v>0</v>
      </c>
      <c r="D61" s="8" t="s">
        <v>136</v>
      </c>
      <c r="E61" s="20">
        <v>0</v>
      </c>
      <c r="F61" s="20">
        <v>7</v>
      </c>
      <c r="G61" s="8" t="s">
        <v>54</v>
      </c>
      <c r="H61" s="20">
        <v>7</v>
      </c>
      <c r="I61" s="8" t="s">
        <v>137</v>
      </c>
      <c r="J61" s="19">
        <v>0</v>
      </c>
      <c r="K61" s="8" t="s">
        <v>229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51547</v>
      </c>
      <c r="C62" s="19">
        <v>0</v>
      </c>
      <c r="D62" s="8" t="s">
        <v>138</v>
      </c>
      <c r="E62" s="20">
        <v>0</v>
      </c>
      <c r="F62" s="20">
        <v>20</v>
      </c>
      <c r="G62" s="8" t="s">
        <v>54</v>
      </c>
      <c r="H62" s="20">
        <v>20</v>
      </c>
      <c r="I62" s="8" t="s">
        <v>139</v>
      </c>
      <c r="J62" s="19">
        <v>0</v>
      </c>
      <c r="K62" s="8" t="s">
        <v>230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51548</v>
      </c>
      <c r="C63" s="19">
        <v>0</v>
      </c>
      <c r="D63" s="8" t="s">
        <v>231</v>
      </c>
      <c r="E63" s="20">
        <v>0</v>
      </c>
      <c r="F63" s="20">
        <v>3</v>
      </c>
      <c r="G63" s="8" t="s">
        <v>54</v>
      </c>
      <c r="H63" s="20">
        <v>3</v>
      </c>
      <c r="I63" s="8" t="s">
        <v>232</v>
      </c>
      <c r="J63" s="19">
        <v>0</v>
      </c>
      <c r="K63" s="8" t="s">
        <v>233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51549</v>
      </c>
      <c r="C64" s="19">
        <v>0</v>
      </c>
      <c r="D64" s="8" t="s">
        <v>171</v>
      </c>
      <c r="E64" s="20">
        <v>0</v>
      </c>
      <c r="F64" s="20">
        <v>2</v>
      </c>
      <c r="G64" s="8" t="s">
        <v>54</v>
      </c>
      <c r="H64" s="20">
        <v>2</v>
      </c>
      <c r="I64" s="8" t="s">
        <v>172</v>
      </c>
      <c r="J64" s="19">
        <v>0</v>
      </c>
      <c r="K64" s="8" t="s">
        <v>234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62</v>
      </c>
      <c r="B65" s="18">
        <v>51550</v>
      </c>
      <c r="C65" s="19">
        <v>0</v>
      </c>
      <c r="D65" s="8" t="s">
        <v>140</v>
      </c>
      <c r="E65" s="20">
        <v>0</v>
      </c>
      <c r="F65" s="20">
        <v>1</v>
      </c>
      <c r="G65" s="8" t="s">
        <v>54</v>
      </c>
      <c r="H65" s="20">
        <v>1</v>
      </c>
      <c r="I65" s="8" t="s">
        <v>141</v>
      </c>
      <c r="J65" s="19">
        <v>0</v>
      </c>
      <c r="K65" s="8" t="s">
        <v>142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51551</v>
      </c>
      <c r="C66" s="19">
        <v>0</v>
      </c>
      <c r="D66" s="8" t="s">
        <v>143</v>
      </c>
      <c r="E66" s="20">
        <v>0</v>
      </c>
      <c r="F66" s="20">
        <v>1</v>
      </c>
      <c r="G66" s="8" t="s">
        <v>54</v>
      </c>
      <c r="H66" s="20">
        <v>1</v>
      </c>
      <c r="I66" s="8" t="s">
        <v>144</v>
      </c>
      <c r="J66" s="19">
        <v>0</v>
      </c>
      <c r="K66" s="8" t="s">
        <v>145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51552</v>
      </c>
      <c r="C67" s="19">
        <v>0</v>
      </c>
      <c r="D67" s="8" t="s">
        <v>146</v>
      </c>
      <c r="E67" s="20">
        <v>0</v>
      </c>
      <c r="F67" s="20">
        <v>0</v>
      </c>
      <c r="G67" s="8" t="s">
        <v>54</v>
      </c>
      <c r="H67" s="20">
        <v>0</v>
      </c>
      <c r="I67" s="8" t="s">
        <v>147</v>
      </c>
      <c r="J67" s="19">
        <v>0</v>
      </c>
      <c r="K67" s="8" t="s">
        <v>148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51553</v>
      </c>
      <c r="C68" s="19">
        <v>0</v>
      </c>
      <c r="D68" s="8" t="s">
        <v>235</v>
      </c>
      <c r="E68" s="20">
        <v>0</v>
      </c>
      <c r="F68" s="20">
        <v>0</v>
      </c>
      <c r="G68" s="8" t="s">
        <v>54</v>
      </c>
      <c r="H68" s="20">
        <v>0</v>
      </c>
      <c r="I68" s="8" t="s">
        <v>236</v>
      </c>
      <c r="J68" s="19">
        <v>0</v>
      </c>
      <c r="K68" s="8" t="s">
        <v>235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130</v>
      </c>
      <c r="B69" s="18">
        <v>51554</v>
      </c>
      <c r="C69" s="19">
        <v>0</v>
      </c>
      <c r="D69" s="8" t="s">
        <v>149</v>
      </c>
      <c r="E69" s="20">
        <v>0</v>
      </c>
      <c r="F69" s="20">
        <v>2</v>
      </c>
      <c r="G69" s="8" t="s">
        <v>54</v>
      </c>
      <c r="H69" s="20">
        <v>2</v>
      </c>
      <c r="I69" s="8" t="s">
        <v>150</v>
      </c>
      <c r="J69" s="19">
        <v>0</v>
      </c>
      <c r="K69" s="8" t="s">
        <v>151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62</v>
      </c>
      <c r="B70" s="18">
        <v>51555</v>
      </c>
      <c r="C70" s="19">
        <v>0</v>
      </c>
      <c r="D70" s="8" t="s">
        <v>152</v>
      </c>
      <c r="E70" s="20">
        <v>0</v>
      </c>
      <c r="F70" s="20">
        <v>15</v>
      </c>
      <c r="G70" s="8" t="s">
        <v>54</v>
      </c>
      <c r="H70" s="20">
        <v>15</v>
      </c>
      <c r="I70" s="8" t="s">
        <v>153</v>
      </c>
      <c r="J70" s="19">
        <v>0</v>
      </c>
      <c r="K70" s="8" t="s">
        <v>237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51556</v>
      </c>
      <c r="C71" s="19">
        <v>0</v>
      </c>
      <c r="D71" s="8" t="s">
        <v>154</v>
      </c>
      <c r="E71" s="20">
        <v>0</v>
      </c>
      <c r="F71" s="20">
        <v>0</v>
      </c>
      <c r="G71" s="8" t="s">
        <v>54</v>
      </c>
      <c r="H71" s="20">
        <v>0</v>
      </c>
      <c r="I71" s="8" t="s">
        <v>155</v>
      </c>
      <c r="J71" s="19">
        <v>0</v>
      </c>
      <c r="K71" s="8" t="s">
        <v>154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51557</v>
      </c>
      <c r="C72" s="19">
        <v>0</v>
      </c>
      <c r="D72" s="8" t="s">
        <v>156</v>
      </c>
      <c r="E72" s="20">
        <v>0</v>
      </c>
      <c r="F72" s="20">
        <v>0</v>
      </c>
      <c r="G72" s="8" t="s">
        <v>54</v>
      </c>
      <c r="H72" s="20">
        <v>0</v>
      </c>
      <c r="I72" s="8" t="s">
        <v>157</v>
      </c>
      <c r="J72" s="19">
        <v>0</v>
      </c>
      <c r="K72" s="8" t="s">
        <v>156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62</v>
      </c>
      <c r="B73" s="18">
        <v>51558</v>
      </c>
      <c r="C73" s="19">
        <v>0</v>
      </c>
      <c r="D73" s="8" t="s">
        <v>158</v>
      </c>
      <c r="E73" s="20">
        <v>0</v>
      </c>
      <c r="F73" s="20">
        <v>28</v>
      </c>
      <c r="G73" s="8" t="s">
        <v>54</v>
      </c>
      <c r="H73" s="20">
        <v>28</v>
      </c>
      <c r="I73" s="8" t="s">
        <v>159</v>
      </c>
      <c r="J73" s="19">
        <v>0</v>
      </c>
      <c r="K73" s="8" t="s">
        <v>160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51559</v>
      </c>
      <c r="C74" s="19">
        <v>0</v>
      </c>
      <c r="D74" s="8" t="s">
        <v>161</v>
      </c>
      <c r="E74" s="20">
        <v>0</v>
      </c>
      <c r="F74" s="20">
        <v>0</v>
      </c>
      <c r="G74" s="8" t="s">
        <v>54</v>
      </c>
      <c r="H74" s="20">
        <v>0</v>
      </c>
      <c r="I74" s="8" t="s">
        <v>162</v>
      </c>
      <c r="J74" s="19">
        <v>0</v>
      </c>
      <c r="K74" s="8" t="s">
        <v>161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62</v>
      </c>
      <c r="B75" s="18">
        <v>51560</v>
      </c>
      <c r="C75" s="19">
        <v>0</v>
      </c>
      <c r="D75" s="8" t="s">
        <v>63</v>
      </c>
      <c r="E75" s="20">
        <v>0</v>
      </c>
      <c r="F75" s="20">
        <v>2</v>
      </c>
      <c r="G75" s="8" t="s">
        <v>54</v>
      </c>
      <c r="H75" s="20">
        <v>2</v>
      </c>
      <c r="I75" s="8" t="s">
        <v>64</v>
      </c>
      <c r="J75" s="19">
        <v>0</v>
      </c>
      <c r="K75" s="8" t="s">
        <v>163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51561</v>
      </c>
      <c r="C76" s="19">
        <v>0</v>
      </c>
      <c r="D76" s="8" t="s">
        <v>65</v>
      </c>
      <c r="E76" s="20">
        <v>0</v>
      </c>
      <c r="F76" s="20">
        <v>0</v>
      </c>
      <c r="G76" s="8" t="s">
        <v>54</v>
      </c>
      <c r="H76" s="20">
        <v>0</v>
      </c>
      <c r="I76" s="8" t="s">
        <v>66</v>
      </c>
      <c r="J76" s="19">
        <v>0</v>
      </c>
      <c r="K76" s="8" t="s">
        <v>67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68</v>
      </c>
      <c r="B77" s="18">
        <v>51562</v>
      </c>
      <c r="C77" s="19">
        <v>0</v>
      </c>
      <c r="D77" s="8" t="s">
        <v>69</v>
      </c>
      <c r="E77" s="20">
        <v>0</v>
      </c>
      <c r="F77" s="20">
        <v>3</v>
      </c>
      <c r="G77" s="8" t="s">
        <v>54</v>
      </c>
      <c r="H77" s="20">
        <v>3</v>
      </c>
      <c r="I77" s="8" t="s">
        <v>70</v>
      </c>
      <c r="J77" s="19">
        <v>0</v>
      </c>
      <c r="K77" s="8" t="s">
        <v>71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173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PIPES FOR INTERNAL SPRAY ASSEMBLY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16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FAB &amp; COPE (4) LEGS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10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MAKE (4) PIPING SUPPORTS &amp; (2) BOX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.300</v>
      </c>
      <c r="C92" s="40" t="str">
        <f>'Build Plan w Hours'!D22</f>
        <v>Wrap top and bottom heads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clean_x000D_
SET UP (1) SINGLE SHELL &amp; (1) DOUBLE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7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seams_x000D_
ROLL &amp; WELD (1) SINGLE SHELL &amp; (1) DOUBLE SHELL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ON BURN TABLE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.360</v>
      </c>
      <c r="C128" s="40" t="str">
        <f>'Build Plan w Hours'!D28</f>
        <v>Bevel top head_x000D_
BEVEL NOZZLE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etc._x000D_
INCL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3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.455</v>
      </c>
      <c r="C158" s="40" t="str">
        <f>'Build Plan w Hours'!D33</f>
        <v>Lay out bottom head,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.460</v>
      </c>
      <c r="C164" s="40" t="str">
        <f>'Build Plan w Hours'!D34</f>
        <v>Bevel bottom head_x000D_
BEVEL NOZZLE HOLES CUT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.580</v>
      </c>
      <c r="C182" s="40" t="str">
        <f>'Build Plan w Hours'!D37</f>
        <v>Fabricate internal coil supports_x000D_
MAKE (2) HEADER PIPE SUPPORTS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.590</v>
      </c>
      <c r="C188" s="40" t="str">
        <f>'Build Plan w Hours'!D38</f>
        <v>Fabricate internal coil_x000D_
MAKE &amp; ASSEMBLE HEADER &amp; BRANCH PIPING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34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.OI1</v>
      </c>
      <c r="C194" s="40" t="str">
        <f>'Build Plan w Hours'!D39</f>
        <v>ASME Hold Point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.600</v>
      </c>
      <c r="C200" s="40" t="str">
        <f>'Build Plan w Hours'!D40</f>
        <v>Fit bottom head to shell_x000D_
AND WELD INSIDE SEAM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.605</v>
      </c>
      <c r="C206" s="40" t="str">
        <f>'Build Plan w Hours'!D41</f>
        <v>Tack shell courses together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.610</v>
      </c>
      <c r="C212" s="40" t="str">
        <f>'Build Plan w Hours'!D42</f>
        <v>Weld inside round seams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3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.620</v>
      </c>
      <c r="C218" s="40" t="str">
        <f>'Build Plan w Hours'!D43</f>
        <v>Lay out shell, burn and clean holes_x000D_
BEVEL HOLES CUT 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3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.635</v>
      </c>
      <c r="C224" s="40" t="str">
        <f>'Build Plan w Hours'!D44</f>
        <v>Install internal coil and supports_x000D_
AND CONNECT N6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20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7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.720</v>
      </c>
      <c r="C260" s="40" t="str">
        <f>'Build Plan w Hours'!D50</f>
        <v>Install supports - legs, lugs, anchors, saddles, skirt_x000D_
INSTALL &amp; WELD (4) LEGS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.725</v>
      </c>
      <c r="C266" s="40" t="str">
        <f>'Build Plan w Hours'!D51</f>
        <v>Set nozzles in shell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7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.726</v>
      </c>
      <c r="C272" s="40" t="str">
        <f>'Build Plan w Hours'!D52</f>
        <v>Weld shell nozzles, manways, etc._x000D_
INCL HOLE WATCH &amp; FLANGE FOR N7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20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.730</v>
      </c>
      <c r="C278" s="40" t="str">
        <f>'Build Plan w Hours'!D53</f>
        <v>Add repads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3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.735</v>
      </c>
      <c r="C284" s="40" t="str">
        <f>'Build Plan w Hours'!D54</f>
        <v>Install dip pipe supports_x000D_
INCL HOLE WATCH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.765</v>
      </c>
      <c r="C290" s="40" t="str">
        <f>'Build Plan w Hours'!D55</f>
        <v>Install name tag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1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.770</v>
      </c>
      <c r="C296" s="40" t="str">
        <f>'Build Plan w Hours'!D56</f>
        <v>Inspect tank, make repairs, get QC inspector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.QC6</v>
      </c>
      <c r="C302" s="40" t="str">
        <f>'Build Plan w Hours'!D57</f>
        <v>QC Inspection - Fabrication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.OI2</v>
      </c>
      <c r="C308" s="40" t="str">
        <f>'Build Plan w Hours'!D58</f>
        <v>ASME Inspection Internal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.801</v>
      </c>
      <c r="C314" s="40" t="str">
        <f>'Build Plan w Hours'!D59</f>
        <v>Move to shop test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.910</v>
      </c>
      <c r="C320" s="40" t="str">
        <f>'Build Plan w Hours'!D60</f>
        <v>Test tank_x000D_
TEST TANK &amp; INTERNAL PIPING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15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.QC7</v>
      </c>
      <c r="C326" s="40" t="str">
        <f>'Build Plan w Hours'!D61</f>
        <v>QC Inspection -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.OI3</v>
      </c>
      <c r="C332" s="40" t="str">
        <f>'Build Plan w Hours'!D62</f>
        <v>ASME Inspection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.920</v>
      </c>
      <c r="C338" s="40" t="str">
        <f>'Build Plan w Hours'!D63</f>
        <v>Clean tank complete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28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.QC8</v>
      </c>
      <c r="C344" s="40" t="str">
        <f>'Build Plan w Hours'!D64</f>
        <v>QC Inspection - Clean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3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PIPES FOR INTERNAL SPRAY ASSEMBLY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FAB &amp; COPE (4) LEGS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MAKE (4) PIPING SUPPORTS &amp; (2) BOX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.300</v>
      </c>
      <c r="C92" s="40" t="str">
        <f>'Build Plan w Hours'!D22</f>
        <v>Wrap top and bottom heads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clean_x000D_
SET UP (1) SINGLE SHELL &amp; (1) DOUBLE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seams_x000D_
ROLL &amp; WELD (1) SINGLE SHELL &amp; (1) DOUBLE SHELL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ON BURN TABLE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.360</v>
      </c>
      <c r="C128" s="40" t="str">
        <f>'Build Plan w Hours'!D28</f>
        <v>Bevel top head_x000D_
BEVEL NOZZLE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etc._x000D_
INCL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.455</v>
      </c>
      <c r="C158" s="40" t="str">
        <f>'Build Plan w Hours'!D33</f>
        <v>Lay out bottom head,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.460</v>
      </c>
      <c r="C164" s="40" t="str">
        <f>'Build Plan w Hours'!D34</f>
        <v>Bevel bottom head_x000D_
BEVEL NOZZLE HOLES CUT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.580</v>
      </c>
      <c r="C182" s="40" t="str">
        <f>'Build Plan w Hours'!D37</f>
        <v>Fabricate internal coil supports_x000D_
MAKE (2) HEADER PIPE SUPPORTS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.590</v>
      </c>
      <c r="C188" s="40" t="str">
        <f>'Build Plan w Hours'!D38</f>
        <v>Fabricate internal coil_x000D_
MAKE &amp; ASSEMBLE HEADER &amp; BRANCH PIPING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.OI1</v>
      </c>
      <c r="C194" s="40" t="str">
        <f>'Build Plan w Hours'!D39</f>
        <v>ASME Hold Point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.600</v>
      </c>
      <c r="C200" s="40" t="str">
        <f>'Build Plan w Hours'!D40</f>
        <v>Fit bottom head to shell_x000D_
AND WELD INSIDE SEAM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.605</v>
      </c>
      <c r="C206" s="40" t="str">
        <f>'Build Plan w Hours'!D41</f>
        <v>Tack shell courses together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.610</v>
      </c>
      <c r="C212" s="40" t="str">
        <f>'Build Plan w Hours'!D42</f>
        <v>Weld inside round seams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.620</v>
      </c>
      <c r="C218" s="40" t="str">
        <f>'Build Plan w Hours'!D43</f>
        <v>Lay out shell, burn and clean holes_x000D_
BEVEL HOLES CUT 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.635</v>
      </c>
      <c r="C224" s="40" t="str">
        <f>'Build Plan w Hours'!D44</f>
        <v>Install internal coil and supports_x000D_
AND CONNECT N6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.720</v>
      </c>
      <c r="C260" s="40" t="str">
        <f>'Build Plan w Hours'!D50</f>
        <v>Install supports - legs, lugs, anchors, saddles, skirt_x000D_
INSTALL &amp; WELD (4) LEGS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.725</v>
      </c>
      <c r="C266" s="40" t="str">
        <f>'Build Plan w Hours'!D51</f>
        <v>Set nozzles in shell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.726</v>
      </c>
      <c r="C272" s="40" t="str">
        <f>'Build Plan w Hours'!D52</f>
        <v>Weld shell nozzles, manways, etc._x000D_
INCL HOLE WATCH &amp; FLANGE FOR N7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.730</v>
      </c>
      <c r="C278" s="40" t="str">
        <f>'Build Plan w Hours'!D53</f>
        <v>Add repads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.735</v>
      </c>
      <c r="C284" s="40" t="str">
        <f>'Build Plan w Hours'!D54</f>
        <v>Install dip pipe supports_x000D_
INCL HOLE WATCH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.765</v>
      </c>
      <c r="C290" s="40" t="str">
        <f>'Build Plan w Hours'!D55</f>
        <v>Install name tag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.770</v>
      </c>
      <c r="C296" s="40" t="str">
        <f>'Build Plan w Hours'!D56</f>
        <v>Inspect tank, make repairs, get QC inspector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.QC6</v>
      </c>
      <c r="C302" s="40" t="str">
        <f>'Build Plan w Hours'!D57</f>
        <v>QC Inspection - Fabrication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.OI2</v>
      </c>
      <c r="C308" s="40" t="str">
        <f>'Build Plan w Hours'!D58</f>
        <v>ASME Inspection Internal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.801</v>
      </c>
      <c r="C314" s="40" t="str">
        <f>'Build Plan w Hours'!D59</f>
        <v>Move to shop test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.910</v>
      </c>
      <c r="C320" s="40" t="str">
        <f>'Build Plan w Hours'!D60</f>
        <v>Test tank_x000D_
TEST TANK &amp; INTERNAL PIPING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.QC7</v>
      </c>
      <c r="C326" s="40" t="str">
        <f>'Build Plan w Hours'!D61</f>
        <v>QC Inspection -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.OI3</v>
      </c>
      <c r="C332" s="40" t="str">
        <f>'Build Plan w Hours'!D62</f>
        <v>ASME Inspection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.920</v>
      </c>
      <c r="C338" s="40" t="str">
        <f>'Build Plan w Hours'!D63</f>
        <v>Clean tank complete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.QC8</v>
      </c>
      <c r="C344" s="40" t="str">
        <f>'Build Plan w Hours'!D64</f>
        <v>QC Inspection - Clean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2025-05-09T13:00:06Z</cp:lastPrinted>
  <dcterms:created xsi:type="dcterms:W3CDTF">2016-06-28T20:53:17Z</dcterms:created>
  <dcterms:modified xsi:type="dcterms:W3CDTF">2025-05-09T13:00:41Z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