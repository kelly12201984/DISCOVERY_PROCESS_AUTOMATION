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7-24 - Bosk -Repair of 65\"/>
    </mc:Choice>
  </mc:AlternateContent>
  <xr:revisionPtr revIDLastSave="0" documentId="8_{525630A2-40B2-45E6-A2E3-C919598CCD49}" xr6:coauthVersionLast="47" xr6:coauthVersionMax="47" xr10:uidLastSave="{00000000-0000-0000-0000-000000000000}"/>
  <bookViews>
    <workbookView xWindow="-120" yWindow="600" windowWidth="29040" windowHeight="1512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Hours'!$A$1:$H$32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<sst xmlns="http://schemas.openxmlformats.org/spreadsheetml/2006/main" count="1510" uniqueCount="133">
  <si>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</si>
  <si>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</si>
  <si>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</si>
  <si>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</si>
  <si>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</si>
  <si>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</si>
  <si>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</si>
  <si>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</si>
  <si>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</si>
  <si>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</si>
  <si>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</si>
  <si>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</si>
  <si>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</si>
  <si>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</si>
  <si>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</si>
  <si>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</si>
  <si>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</si>
  <si>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</si>
  <si>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</si>
  <si>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</si>
  <si>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</si>
  <si>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</si>
  <si>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</si>
  <si>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</si>
  <si>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</si>
  <si>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</si>
  <si>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</si>
  <si>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</si>
  <si>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</si>
  <si>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</si>
  <si>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</si>
  <si>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</si>
  <si>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</si>
  <si>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</si>
  <si>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</si>
  <si>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</si>
  <si>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</si>
  <si>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</si>
  <si>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</si>
  <si>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</si>
  <si>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</si>
  <si>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</si>
  <si>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</si>
  <si>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</si>
  <si>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</si>
  <si>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</si>
  <si>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</si>
  <si>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</si>
  <si>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</si>
  <si>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</si>
  <si>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</si>
  <si>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</si>
  <si>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</si>
  <si>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</si>
  <si>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</si>
  <si>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</si>
  <si>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</si>
  <si>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</si>
  <si>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</si>
  <si>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</si>
  <si>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</si>
  <si>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</si>
  <si>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</si>
  <si>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</si>
  <si>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</si>
  <si>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</si>
  <si>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</si>
  <si>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</si>
  <si>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</si>
  <si>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</si>
  <si>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</si>
  <si>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</si>
  <si>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</si>
  <si>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</si>
  <si>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</si>
  <si>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</si>
  <si>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</si>
  <si>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</si>
  <si>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</si>
  <si>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</si>
  <si>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QC Inspection - Internal</t>
  </si>
  <si>
    <t>.QC5</t>
  </si>
  <si>
    <t>MOVE TANK</t>
  </si>
  <si>
    <t>Set Nozzles in Shell</t>
  </si>
  <si>
    <t>.725</t>
  </si>
  <si>
    <t>Weld Shell Nozz &amp; M/Ws</t>
  </si>
  <si>
    <t>.726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</si>
  <si>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</si>
  <si>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</si>
  <si>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</si>
  <si>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</si>
  <si>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</si>
  <si>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</si>
  <si>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</si>
  <si>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</si>
  <si>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</si>
  <si>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</si>
  <si>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</si>
  <si>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QC Inspection - Test</t>
  </si>
  <si>
    <t>.QC7</t>
  </si>
  <si>
    <t>ASME Inspection Test</t>
  </si>
  <si>
    <t>.OI3</t>
  </si>
  <si>
    <t>Prepare tank for shipment</t>
  </si>
  <si>
    <t>Fab Miscellaneous Parts</t>
  </si>
  <si>
    <t>.252</t>
  </si>
  <si>
    <t>Build nozzles and weld_x000D_
BUILD N9</t>
  </si>
  <si>
    <t>Roll Insulation Rings</t>
  </si>
  <si>
    <t>.210</t>
  </si>
  <si>
    <t>Roll insulation rings</t>
  </si>
  <si>
    <t>Fabricate miscellaneous parts_x000D_
INSULATION RING SUPPORTS, NOZZLE BRACING, ETC.</t>
  </si>
  <si>
    <t>ASME Hold Point</t>
  </si>
  <si>
    <t>.OI1</t>
  </si>
  <si>
    <t>Install Insul/Vac Rings</t>
  </si>
  <si>
    <t>.715</t>
  </si>
  <si>
    <t>Install insulation/vacuum rings - tack_x000D_
REMOVE &amp; REPAIR DAMAGED INSULATION RINGS</t>
  </si>
  <si>
    <t>Set nozzles in shell - tack_x000D_
REMOVE DAMAGED N9 &amp; SET NEW N9 IN PLACE</t>
  </si>
  <si>
    <t>Weld shell nozzles, manways, etc.</t>
  </si>
  <si>
    <t>Customer Inspection</t>
  </si>
  <si>
    <t>.OI4</t>
  </si>
  <si>
    <t>ASME Inspection Internal</t>
  </si>
  <si>
    <t>.OI2</t>
  </si>
  <si>
    <t>Remove Nozzles</t>
  </si>
  <si>
    <t>.855</t>
  </si>
  <si>
    <t>Remove nozzles_x000D_
MAKE MISC. REPAIRS</t>
  </si>
  <si>
    <t>Test tank_x000D_
***CHECK WITH QC FOR TEST PRESSURE***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</si>
  <si>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</si>
  <si>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</si>
  <si>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</si>
  <si>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</si>
  <si>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</si>
  <si>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</si>
  <si>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</si>
  <si>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007-24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</si>
</sst>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2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132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/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BUILD N9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.210</v>
      </c>
      <c r="D11" s="22" t="str">
        <f>'Sheet2-PASTE HERE!'!K21</f>
        <v>Roll insulation rings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.252</v>
      </c>
      <c r="D12" s="22" t="str">
        <f>'Sheet2-PASTE HERE!'!K22</f>
        <v>Fabricate miscellaneous parts_x000D_
INSULATION RING SUPPORTS, NOZZLE BRACING, ETC.</v>
      </c>
      <c r="E12" s="13">
        <f>'Sheet2-PASTE HERE!'!F22</f>
        <v>8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.OI1</v>
      </c>
      <c r="D13" s="22" t="str">
        <f>'Sheet2-PASTE HERE!'!K23</f>
        <v>ASME Hold Point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1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.QC5</v>
      </c>
      <c r="D14" s="22" t="str">
        <f>'Sheet2-PASTE HERE!'!K24</f>
        <v>QC Inspection - Internal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FIT</v>
      </c>
      <c r="B15" s="11"/>
      <c r="C15" s="17" t="str">
        <f>'Sheet2-PASTE HERE!'!I25</f>
        <v>.715</v>
      </c>
      <c r="D15" s="22" t="str">
        <f>'Sheet2-PASTE HERE!'!K25</f>
        <v>Install insulation/vacuum rings - tack_x000D_
REMOVE &amp; REPAIR DAMAGED INSULATION RINGS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FIT</v>
      </c>
      <c r="B16" s="11"/>
      <c r="C16" s="17" t="str">
        <f>'Sheet2-PASTE HERE!'!I26</f>
        <v>.725</v>
      </c>
      <c r="D16" s="22" t="str">
        <f>'Sheet2-PASTE HERE!'!K26</f>
        <v>Set nozzles in shell - tack_x000D_
REMOVE DAMAGED N9 &amp; SET NEW N9 IN PLACE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.726</v>
      </c>
      <c r="D17" s="22" t="str">
        <f>'Sheet2-PASTE HERE!'!K27</f>
        <v>Weld shell nozzles, manways, etc.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.770</v>
      </c>
      <c r="D18" s="22" t="str">
        <f>'Sheet2-PASTE HERE!'!K28</f>
        <v>Inspect tank, make repairs, get QC inspector</v>
      </c>
      <c r="E18" s="13">
        <f>'Sheet2-PASTE HERE!'!F28</f>
        <v>1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.QC6</v>
      </c>
      <c r="D19" s="22" t="str">
        <f>'Sheet2-PASTE HERE!'!K29</f>
        <v>QC Inspection - Fabrication</v>
      </c>
      <c r="E19" s="13">
        <f>'Sheet2-PASTE HERE!'!F29</f>
        <v>0</v>
      </c>
      <c r="F19" s="12"/>
      <c r="G19" s="12"/>
      <c r="H19" s="12"/>
      <c r="K19">
        <f t="shared" si="2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.OI4</v>
      </c>
      <c r="D20" s="22" t="str">
        <f>'Sheet2-PASTE HERE!'!K30</f>
        <v>Customer Inspection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1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.OI2</v>
      </c>
      <c r="D21" s="22" t="str">
        <f>'Sheet2-PASTE HERE!'!K31</f>
        <v>ASME Inspection Internal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1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.855</v>
      </c>
      <c r="D22" s="22" t="str">
        <f>'Sheet2-PASTE HERE!'!K32</f>
        <v>Remove nozzles_x000D_
MAKE MISC. REPAIRS</v>
      </c>
      <c r="E22" s="13">
        <f>'Sheet2-PASTE HERE!'!F32</f>
        <v>10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MOVE TANK</v>
      </c>
      <c r="B23" s="11"/>
      <c r="C23" s="17" t="str">
        <f>'Sheet2-PASTE HERE!'!I33</f>
        <v>.801</v>
      </c>
      <c r="D23" s="22" t="str">
        <f>'Sheet2-PASTE HERE!'!K33</f>
        <v>Move to shop test area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FINISHING</v>
      </c>
      <c r="B24" s="11"/>
      <c r="C24" s="17" t="str">
        <f>'Sheet2-PASTE HERE!'!I34</f>
        <v>.910</v>
      </c>
      <c r="D24" s="22" t="str">
        <f>'Sheet2-PASTE HERE!'!K34</f>
        <v>Test tank_x000D_
***CHECK WITH QC FOR TEST PRESSURE***</v>
      </c>
      <c r="E24" s="13">
        <f>'Sheet2-PASTE HERE!'!F34</f>
        <v>10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.QC7</v>
      </c>
      <c r="D25" s="22" t="str">
        <f>'Sheet2-PASTE HERE!'!K35</f>
        <v>QC Inspection - Test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.OI3</v>
      </c>
      <c r="D26" s="22" t="str">
        <f>'Sheet2-PASTE HERE!'!K36</f>
        <v>ASME Inspection Test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1</v>
      </c>
    </row>
    <row r="27" spans="1:12" ht="26.25" customHeight="1" x14ac:dyDescent="0.2">
      <c r="A27" s="10" t="str">
        <f>'Sheet2-PASTE HERE!'!A37</f>
        <v>MOVE TANK</v>
      </c>
      <c r="B27" s="11"/>
      <c r="C27" s="17" t="str">
        <f>'Sheet2-PASTE HERE!'!I37</f>
        <v>.802</v>
      </c>
      <c r="D27" s="22" t="str">
        <f>'Sheet2-PASTE HERE!'!K37</f>
        <v>Move to paint area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.QC9</v>
      </c>
      <c r="D28" s="22" t="str">
        <f>'Sheet2-PASTE HERE!'!K38</f>
        <v>QC Inspection - Sandblast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.QC90</v>
      </c>
      <c r="D29" s="22" t="str">
        <f>'Sheet2-PASTE HERE!'!K39</f>
        <v>QC Inspection - Paint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.940</v>
      </c>
      <c r="D30" s="22" t="str">
        <f>'Sheet2-PASTE HERE!'!K40</f>
        <v>Prepare tank for shipment</v>
      </c>
      <c r="E30" s="13">
        <f>'Sheet2-PASTE HERE!'!F40</f>
        <v>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.QC95</v>
      </c>
      <c r="D31" s="22" t="str">
        <f>'Sheet2-PASTE HERE!'!K41</f>
        <v>QC Inspection - Final &amp; Loose Items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SHIPPING</v>
      </c>
      <c r="B32" s="11"/>
      <c r="C32" s="17" t="str">
        <f>'Sheet2-PASTE HERE!'!I42</f>
        <v>.960</v>
      </c>
      <c r="D32" s="22" t="str">
        <f>'Sheet2-PASTE HERE!'!K42</f>
        <v>Load on truck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 t="str">
        <f>'Sheet2-PASTE HERE!'!F44</f>
        <v/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132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/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BUILD N9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.210</v>
      </c>
      <c r="D11" s="22" t="str">
        <f>'Sheet2-PASTE HERE!'!K21</f>
        <v>Roll insulation rings</v>
      </c>
      <c r="E11" s="13">
        <f>'Sheet2-PASTE HERE!'!F21</f>
        <v>3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.252</v>
      </c>
      <c r="D12" s="22" t="str">
        <f>'Sheet2-PASTE HERE!'!K22</f>
        <v>Fabricate miscellaneous parts_x000D_
INSULATION RING SUPPORTS, NOZZLE BRACING, ETC.</v>
      </c>
      <c r="E12" s="13">
        <f>'Sheet2-PASTE HERE!'!F22</f>
        <v>8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INSPECTION</v>
      </c>
      <c r="B13" s="11"/>
      <c r="C13" s="17" t="str">
        <f>'Sheet2-PASTE HERE!'!I23</f>
        <v>.OI1</v>
      </c>
      <c r="D13" s="22" t="str">
        <f>'Sheet2-PASTE HERE!'!K23</f>
        <v>ASME Hold Point</v>
      </c>
      <c r="E13" s="13">
        <f>'Sheet2-PASTE HERE!'!F23</f>
        <v>0</v>
      </c>
      <c r="F13" s="12"/>
      <c r="G13" s="12"/>
      <c r="H13" s="12"/>
      <c r="K13">
        <f t="shared" si="0"/>
        <v>1</v>
      </c>
      <c r="L13">
        <f t="shared" si="1"/>
        <v>1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.QC5</v>
      </c>
      <c r="D14" s="22" t="str">
        <f>'Sheet2-PASTE HERE!'!K24</f>
        <v>QC Inspection - Internal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FIT</v>
      </c>
      <c r="B15" s="11"/>
      <c r="C15" s="17" t="str">
        <f>'Sheet2-PASTE HERE!'!I25</f>
        <v>.715</v>
      </c>
      <c r="D15" s="22" t="str">
        <f>'Sheet2-PASTE HERE!'!K25</f>
        <v>Install insulation/vacuum rings - tack_x000D_
REMOVE &amp; REPAIR DAMAGED INSULATION RINGS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FIT</v>
      </c>
      <c r="B16" s="11"/>
      <c r="C16" s="17" t="str">
        <f>'Sheet2-PASTE HERE!'!I26</f>
        <v>.725</v>
      </c>
      <c r="D16" s="22" t="str">
        <f>'Sheet2-PASTE HERE!'!K26</f>
        <v>Set nozzles in shell - tack_x000D_
REMOVE DAMAGED N9 &amp; SET NEW N9 IN PLACE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.726</v>
      </c>
      <c r="D17" s="22" t="str">
        <f>'Sheet2-PASTE HERE!'!K27</f>
        <v>Weld shell nozzles, manways, etc.</v>
      </c>
      <c r="E17" s="13">
        <f>'Sheet2-PASTE HERE!'!F27</f>
        <v>0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.770</v>
      </c>
      <c r="D18" s="22" t="str">
        <f>'Sheet2-PASTE HERE!'!K28</f>
        <v>Inspect tank, make repairs, get QC inspector</v>
      </c>
      <c r="E18" s="13">
        <f>'Sheet2-PASTE HERE!'!F28</f>
        <v>1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.QC6</v>
      </c>
      <c r="D19" s="22" t="str">
        <f>'Sheet2-PASTE HERE!'!K29</f>
        <v>QC Inspection - Fabrication</v>
      </c>
      <c r="E19" s="13">
        <f>'Sheet2-PASTE HERE!'!F29</f>
        <v>0</v>
      </c>
      <c r="F19" s="12"/>
      <c r="G19" s="12"/>
      <c r="H19" s="12"/>
      <c r="K19">
        <f t="shared" si="0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.OI4</v>
      </c>
      <c r="D20" s="22" t="str">
        <f>'Sheet2-PASTE HERE!'!K30</f>
        <v>Customer Inspection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1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.OI2</v>
      </c>
      <c r="D21" s="22" t="str">
        <f>'Sheet2-PASTE HERE!'!K31</f>
        <v>ASME Inspection Internal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1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.855</v>
      </c>
      <c r="D22" s="22" t="str">
        <f>'Sheet2-PASTE HERE!'!K32</f>
        <v>Remove nozzles_x000D_
MAKE MISC. REPAIRS</v>
      </c>
      <c r="E22" s="13">
        <f>'Sheet2-PASTE HERE!'!F32</f>
        <v>10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MOVE TANK</v>
      </c>
      <c r="B23" s="11"/>
      <c r="C23" s="17" t="str">
        <f>'Sheet2-PASTE HERE!'!I33</f>
        <v>.801</v>
      </c>
      <c r="D23" s="22" t="str">
        <f>'Sheet2-PASTE HERE!'!K33</f>
        <v>Move to shop test area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FINISHING</v>
      </c>
      <c r="B24" s="11"/>
      <c r="C24" s="17" t="str">
        <f>'Sheet2-PASTE HERE!'!I34</f>
        <v>.910</v>
      </c>
      <c r="D24" s="22" t="str">
        <f>'Sheet2-PASTE HERE!'!K34</f>
        <v>Test tank_x000D_
***CHECK WITH QC FOR TEST PRESSURE***</v>
      </c>
      <c r="E24" s="13">
        <f>'Sheet2-PASTE HERE!'!F34</f>
        <v>10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.QC7</v>
      </c>
      <c r="D25" s="22" t="str">
        <f>'Sheet2-PASTE HERE!'!K35</f>
        <v>QC Inspection - Test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.OI3</v>
      </c>
      <c r="D26" s="22" t="str">
        <f>'Sheet2-PASTE HERE!'!K36</f>
        <v>ASME Inspection Test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1</v>
      </c>
    </row>
    <row r="27" spans="1:12" ht="26.25" customHeight="1" x14ac:dyDescent="0.2">
      <c r="A27" s="10" t="str">
        <f>'Sheet2-PASTE HERE!'!A37</f>
        <v>MOVE TANK</v>
      </c>
      <c r="B27" s="11"/>
      <c r="C27" s="17" t="str">
        <f>'Sheet2-PASTE HERE!'!I37</f>
        <v>.802</v>
      </c>
      <c r="D27" s="22" t="str">
        <f>'Sheet2-PASTE HERE!'!K37</f>
        <v>Move to paint area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.QC9</v>
      </c>
      <c r="D28" s="22" t="str">
        <f>'Sheet2-PASTE HERE!'!K38</f>
        <v>QC Inspection - Sandblast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.QC90</v>
      </c>
      <c r="D29" s="22" t="str">
        <f>'Sheet2-PASTE HERE!'!K39</f>
        <v>QC Inspection - Paint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.940</v>
      </c>
      <c r="D30" s="22" t="str">
        <f>'Sheet2-PASTE HERE!'!K40</f>
        <v>Prepare tank for shipment</v>
      </c>
      <c r="E30" s="13">
        <f>'Sheet2-PASTE HERE!'!F40</f>
        <v>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.QC95</v>
      </c>
      <c r="D31" s="22" t="str">
        <f>'Sheet2-PASTE HERE!'!K41</f>
        <v>QC Inspection - Final &amp; Loose Items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SHIPPING</v>
      </c>
      <c r="B32" s="11"/>
      <c r="C32" s="17" t="str">
        <f>'Sheet2-PASTE HERE!'!I42</f>
        <v>.960</v>
      </c>
      <c r="D32" s="22" t="str">
        <f>'Sheet2-PASTE HERE!'!K42</f>
        <v>Load on truck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 t="str">
        <f>'Sheet2-PASTE HERE!'!F44</f>
        <v/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19</v>
      </c>
      <c r="C1" s="8" t="s">
        <v>17</v>
      </c>
      <c r="D1" s="8" t="s">
        <v>19</v>
      </c>
      <c r="E1" s="8" t="s">
        <v>18</v>
      </c>
      <c r="F1" s="8" t="s">
        <v>19</v>
      </c>
      <c r="G1" s="8" t="s">
        <v>19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45370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72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47573</v>
      </c>
      <c r="C17" s="19">
        <v>0</v>
      </c>
      <c r="D17" s="8" t="s">
        <v>72</v>
      </c>
      <c r="E17" s="20">
        <v>0</v>
      </c>
      <c r="F17" s="20">
        <v>0</v>
      </c>
      <c r="G17" s="8" t="s">
        <v>54</v>
      </c>
      <c r="H17" s="20">
        <v>0</v>
      </c>
      <c r="I17" s="8" t="s">
        <v>73</v>
      </c>
      <c r="J17" s="19">
        <v>0</v>
      </c>
      <c r="K17" s="8" t="s">
        <v>72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47574</v>
      </c>
      <c r="C18" s="19">
        <v>0</v>
      </c>
      <c r="D18" s="8" t="s">
        <v>74</v>
      </c>
      <c r="E18" s="20">
        <v>0</v>
      </c>
      <c r="F18" s="20">
        <v>0</v>
      </c>
      <c r="G18" s="8" t="s">
        <v>54</v>
      </c>
      <c r="H18" s="20">
        <v>0</v>
      </c>
      <c r="I18" s="8" t="s">
        <v>75</v>
      </c>
      <c r="J18" s="19">
        <v>0</v>
      </c>
      <c r="K18" s="8" t="s">
        <v>76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47575</v>
      </c>
      <c r="C19" s="19">
        <v>0</v>
      </c>
      <c r="D19" s="8" t="s">
        <v>57</v>
      </c>
      <c r="E19" s="20">
        <v>0</v>
      </c>
      <c r="F19" s="20">
        <v>2</v>
      </c>
      <c r="G19" s="8" t="s">
        <v>54</v>
      </c>
      <c r="H19" s="20">
        <v>2</v>
      </c>
      <c r="I19" s="8" t="s">
        <v>58</v>
      </c>
      <c r="J19" s="19">
        <v>0</v>
      </c>
      <c r="K19" s="8" t="s">
        <v>77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47576</v>
      </c>
      <c r="C20" s="19">
        <v>0</v>
      </c>
      <c r="D20" s="8" t="s">
        <v>78</v>
      </c>
      <c r="E20" s="20">
        <v>0</v>
      </c>
      <c r="F20" s="20">
        <v>6</v>
      </c>
      <c r="G20" s="8" t="s">
        <v>54</v>
      </c>
      <c r="H20" s="20">
        <v>6</v>
      </c>
      <c r="I20" s="8" t="s">
        <v>79</v>
      </c>
      <c r="J20" s="19">
        <v>0</v>
      </c>
      <c r="K20" s="8" t="s">
        <v>105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47577</v>
      </c>
      <c r="C21" s="19">
        <v>0</v>
      </c>
      <c r="D21" s="8" t="s">
        <v>106</v>
      </c>
      <c r="E21" s="20">
        <v>0</v>
      </c>
      <c r="F21" s="20">
        <v>3</v>
      </c>
      <c r="G21" s="8" t="s">
        <v>54</v>
      </c>
      <c r="H21" s="20">
        <v>3</v>
      </c>
      <c r="I21" s="8" t="s">
        <v>107</v>
      </c>
      <c r="J21" s="19">
        <v>0</v>
      </c>
      <c r="K21" s="8" t="s">
        <v>108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47578</v>
      </c>
      <c r="C22" s="19">
        <v>0</v>
      </c>
      <c r="D22" s="8" t="s">
        <v>103</v>
      </c>
      <c r="E22" s="20">
        <v>0</v>
      </c>
      <c r="F22" s="20">
        <v>8</v>
      </c>
      <c r="G22" s="8" t="s">
        <v>54</v>
      </c>
      <c r="H22" s="20">
        <v>8</v>
      </c>
      <c r="I22" s="8" t="s">
        <v>104</v>
      </c>
      <c r="J22" s="19">
        <v>0</v>
      </c>
      <c r="K22" s="8" t="s">
        <v>109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53</v>
      </c>
      <c r="B23" s="18">
        <v>47579</v>
      </c>
      <c r="C23" s="19">
        <v>0</v>
      </c>
      <c r="D23" s="8" t="s">
        <v>110</v>
      </c>
      <c r="E23" s="20">
        <v>0</v>
      </c>
      <c r="F23" s="20">
        <v>0</v>
      </c>
      <c r="G23" s="8" t="s">
        <v>54</v>
      </c>
      <c r="H23" s="20">
        <v>0</v>
      </c>
      <c r="I23" s="8" t="s">
        <v>111</v>
      </c>
      <c r="J23" s="19">
        <v>0</v>
      </c>
      <c r="K23" s="8" t="s">
        <v>110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47580</v>
      </c>
      <c r="C24" s="19">
        <v>0</v>
      </c>
      <c r="D24" s="8" t="s">
        <v>80</v>
      </c>
      <c r="E24" s="20">
        <v>0</v>
      </c>
      <c r="F24" s="20">
        <v>0</v>
      </c>
      <c r="G24" s="8" t="s">
        <v>54</v>
      </c>
      <c r="H24" s="20">
        <v>0</v>
      </c>
      <c r="I24" s="8" t="s">
        <v>81</v>
      </c>
      <c r="J24" s="19">
        <v>0</v>
      </c>
      <c r="K24" s="8" t="s">
        <v>80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71</v>
      </c>
      <c r="B25" s="18">
        <v>47581</v>
      </c>
      <c r="C25" s="19">
        <v>0</v>
      </c>
      <c r="D25" s="8" t="s">
        <v>112</v>
      </c>
      <c r="E25" s="20">
        <v>0</v>
      </c>
      <c r="F25" s="20">
        <v>20</v>
      </c>
      <c r="G25" s="8" t="s">
        <v>54</v>
      </c>
      <c r="H25" s="20">
        <v>20</v>
      </c>
      <c r="I25" s="8" t="s">
        <v>113</v>
      </c>
      <c r="J25" s="19">
        <v>0</v>
      </c>
      <c r="K25" s="8" t="s">
        <v>114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71</v>
      </c>
      <c r="B26" s="18">
        <v>47582</v>
      </c>
      <c r="C26" s="19">
        <v>0</v>
      </c>
      <c r="D26" s="8" t="s">
        <v>83</v>
      </c>
      <c r="E26" s="20">
        <v>0</v>
      </c>
      <c r="F26" s="20">
        <v>4</v>
      </c>
      <c r="G26" s="8" t="s">
        <v>54</v>
      </c>
      <c r="H26" s="20">
        <v>4</v>
      </c>
      <c r="I26" s="8" t="s">
        <v>84</v>
      </c>
      <c r="J26" s="19">
        <v>0</v>
      </c>
      <c r="K26" s="8" t="s">
        <v>115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71</v>
      </c>
      <c r="B27" s="18">
        <v>47583</v>
      </c>
      <c r="C27" s="19">
        <v>0</v>
      </c>
      <c r="D27" s="8" t="s">
        <v>85</v>
      </c>
      <c r="E27" s="20">
        <v>0</v>
      </c>
      <c r="F27" s="20">
        <v>0</v>
      </c>
      <c r="G27" s="8" t="s">
        <v>54</v>
      </c>
      <c r="H27" s="20">
        <v>0</v>
      </c>
      <c r="I27" s="8" t="s">
        <v>86</v>
      </c>
      <c r="J27" s="19">
        <v>0</v>
      </c>
      <c r="K27" s="8" t="s">
        <v>116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71</v>
      </c>
      <c r="B28" s="18">
        <v>47584</v>
      </c>
      <c r="C28" s="19">
        <v>0</v>
      </c>
      <c r="D28" s="8" t="s">
        <v>87</v>
      </c>
      <c r="E28" s="20">
        <v>0</v>
      </c>
      <c r="F28" s="20">
        <v>1</v>
      </c>
      <c r="G28" s="8" t="s">
        <v>54</v>
      </c>
      <c r="H28" s="20">
        <v>1</v>
      </c>
      <c r="I28" s="8" t="s">
        <v>88</v>
      </c>
      <c r="J28" s="19">
        <v>0</v>
      </c>
      <c r="K28" s="8" t="s">
        <v>89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53</v>
      </c>
      <c r="B29" s="18">
        <v>47585</v>
      </c>
      <c r="C29" s="19">
        <v>0</v>
      </c>
      <c r="D29" s="8" t="s">
        <v>90</v>
      </c>
      <c r="E29" s="20">
        <v>0</v>
      </c>
      <c r="F29" s="20">
        <v>0</v>
      </c>
      <c r="G29" s="8" t="s">
        <v>54</v>
      </c>
      <c r="H29" s="20">
        <v>0</v>
      </c>
      <c r="I29" s="8" t="s">
        <v>91</v>
      </c>
      <c r="J29" s="19">
        <v>0</v>
      </c>
      <c r="K29" s="8" t="s">
        <v>92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47586</v>
      </c>
      <c r="C30" s="19">
        <v>0</v>
      </c>
      <c r="D30" s="8" t="s">
        <v>117</v>
      </c>
      <c r="E30" s="20">
        <v>0</v>
      </c>
      <c r="F30" s="20">
        <v>0</v>
      </c>
      <c r="G30" s="8" t="s">
        <v>54</v>
      </c>
      <c r="H30" s="20">
        <v>0</v>
      </c>
      <c r="I30" s="8" t="s">
        <v>118</v>
      </c>
      <c r="J30" s="19">
        <v>0</v>
      </c>
      <c r="K30" s="8" t="s">
        <v>117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47587</v>
      </c>
      <c r="C31" s="19">
        <v>0</v>
      </c>
      <c r="D31" s="8" t="s">
        <v>119</v>
      </c>
      <c r="E31" s="20">
        <v>0</v>
      </c>
      <c r="F31" s="20">
        <v>0</v>
      </c>
      <c r="G31" s="8" t="s">
        <v>54</v>
      </c>
      <c r="H31" s="20">
        <v>0</v>
      </c>
      <c r="I31" s="8" t="s">
        <v>120</v>
      </c>
      <c r="J31" s="19">
        <v>0</v>
      </c>
      <c r="K31" s="8" t="s">
        <v>119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71</v>
      </c>
      <c r="B32" s="18">
        <v>47588</v>
      </c>
      <c r="C32" s="19">
        <v>0</v>
      </c>
      <c r="D32" s="8" t="s">
        <v>121</v>
      </c>
      <c r="E32" s="20">
        <v>0</v>
      </c>
      <c r="F32" s="20">
        <v>10</v>
      </c>
      <c r="G32" s="8" t="s">
        <v>54</v>
      </c>
      <c r="H32" s="20">
        <v>10</v>
      </c>
      <c r="I32" s="8" t="s">
        <v>122</v>
      </c>
      <c r="J32" s="19">
        <v>0</v>
      </c>
      <c r="K32" s="8" t="s">
        <v>123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82</v>
      </c>
      <c r="B33" s="18">
        <v>47589</v>
      </c>
      <c r="C33" s="19">
        <v>0</v>
      </c>
      <c r="D33" s="8" t="s">
        <v>93</v>
      </c>
      <c r="E33" s="20">
        <v>0</v>
      </c>
      <c r="F33" s="20">
        <v>2</v>
      </c>
      <c r="G33" s="8" t="s">
        <v>54</v>
      </c>
      <c r="H33" s="20">
        <v>2</v>
      </c>
      <c r="I33" s="8" t="s">
        <v>94</v>
      </c>
      <c r="J33" s="19">
        <v>0</v>
      </c>
      <c r="K33" s="8" t="s">
        <v>95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59</v>
      </c>
      <c r="B34" s="18">
        <v>47590</v>
      </c>
      <c r="C34" s="19">
        <v>0</v>
      </c>
      <c r="D34" s="8" t="s">
        <v>96</v>
      </c>
      <c r="E34" s="20">
        <v>0</v>
      </c>
      <c r="F34" s="20">
        <v>10</v>
      </c>
      <c r="G34" s="8" t="s">
        <v>54</v>
      </c>
      <c r="H34" s="20">
        <v>10</v>
      </c>
      <c r="I34" s="8" t="s">
        <v>97</v>
      </c>
      <c r="J34" s="19">
        <v>0</v>
      </c>
      <c r="K34" s="8" t="s">
        <v>124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47591</v>
      </c>
      <c r="C35" s="19">
        <v>0</v>
      </c>
      <c r="D35" s="8" t="s">
        <v>98</v>
      </c>
      <c r="E35" s="20">
        <v>0</v>
      </c>
      <c r="F35" s="20">
        <v>0</v>
      </c>
      <c r="G35" s="8" t="s">
        <v>54</v>
      </c>
      <c r="H35" s="20">
        <v>0</v>
      </c>
      <c r="I35" s="8" t="s">
        <v>99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47592</v>
      </c>
      <c r="C36" s="19">
        <v>0</v>
      </c>
      <c r="D36" s="8" t="s">
        <v>100</v>
      </c>
      <c r="E36" s="20">
        <v>0</v>
      </c>
      <c r="F36" s="20">
        <v>0</v>
      </c>
      <c r="G36" s="8" t="s">
        <v>54</v>
      </c>
      <c r="H36" s="20">
        <v>0</v>
      </c>
      <c r="I36" s="8" t="s">
        <v>101</v>
      </c>
      <c r="J36" s="19">
        <v>0</v>
      </c>
      <c r="K36" s="8" t="s">
        <v>100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82</v>
      </c>
      <c r="B37" s="18">
        <v>47593</v>
      </c>
      <c r="C37" s="19">
        <v>0</v>
      </c>
      <c r="D37" s="8" t="s">
        <v>125</v>
      </c>
      <c r="E37" s="20">
        <v>0</v>
      </c>
      <c r="F37" s="20">
        <v>2</v>
      </c>
      <c r="G37" s="8" t="s">
        <v>54</v>
      </c>
      <c r="H37" s="20">
        <v>2</v>
      </c>
      <c r="I37" s="8" t="s">
        <v>126</v>
      </c>
      <c r="J37" s="19">
        <v>0</v>
      </c>
      <c r="K37" s="8" t="s">
        <v>127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47594</v>
      </c>
      <c r="C38" s="19">
        <v>0</v>
      </c>
      <c r="D38" s="8" t="s">
        <v>128</v>
      </c>
      <c r="E38" s="20">
        <v>0</v>
      </c>
      <c r="F38" s="20">
        <v>0</v>
      </c>
      <c r="G38" s="8" t="s">
        <v>54</v>
      </c>
      <c r="H38" s="20">
        <v>0</v>
      </c>
      <c r="I38" s="8" t="s">
        <v>129</v>
      </c>
      <c r="J38" s="19">
        <v>0</v>
      </c>
      <c r="K38" s="8" t="s">
        <v>128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53</v>
      </c>
      <c r="B39" s="18">
        <v>47595</v>
      </c>
      <c r="C39" s="19">
        <v>0</v>
      </c>
      <c r="D39" s="8" t="s">
        <v>130</v>
      </c>
      <c r="E39" s="20">
        <v>0</v>
      </c>
      <c r="F39" s="20">
        <v>0</v>
      </c>
      <c r="G39" s="8" t="s">
        <v>54</v>
      </c>
      <c r="H39" s="20">
        <v>0</v>
      </c>
      <c r="I39" s="8" t="s">
        <v>131</v>
      </c>
      <c r="J39" s="19">
        <v>0</v>
      </c>
      <c r="K39" s="8" t="s">
        <v>130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59</v>
      </c>
      <c r="B40" s="18">
        <v>47596</v>
      </c>
      <c r="C40" s="19">
        <v>0</v>
      </c>
      <c r="D40" s="8" t="s">
        <v>60</v>
      </c>
      <c r="E40" s="20">
        <v>0</v>
      </c>
      <c r="F40" s="20">
        <v>2</v>
      </c>
      <c r="G40" s="8" t="s">
        <v>54</v>
      </c>
      <c r="H40" s="20">
        <v>2</v>
      </c>
      <c r="I40" s="8" t="s">
        <v>61</v>
      </c>
      <c r="J40" s="19">
        <v>0</v>
      </c>
      <c r="K40" s="8" t="s">
        <v>102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47597</v>
      </c>
      <c r="C41" s="19">
        <v>0</v>
      </c>
      <c r="D41" s="8" t="s">
        <v>62</v>
      </c>
      <c r="E41" s="20">
        <v>0</v>
      </c>
      <c r="F41" s="20">
        <v>0</v>
      </c>
      <c r="G41" s="8" t="s">
        <v>54</v>
      </c>
      <c r="H41" s="20">
        <v>0</v>
      </c>
      <c r="I41" s="8" t="s">
        <v>63</v>
      </c>
      <c r="J41" s="19">
        <v>0</v>
      </c>
      <c r="K41" s="8" t="s">
        <v>64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65</v>
      </c>
      <c r="B42" s="18">
        <v>47598</v>
      </c>
      <c r="C42" s="19">
        <v>0</v>
      </c>
      <c r="D42" s="8" t="s">
        <v>66</v>
      </c>
      <c r="E42" s="20">
        <v>0</v>
      </c>
      <c r="F42" s="20">
        <v>2</v>
      </c>
      <c r="G42" s="8" t="s">
        <v>54</v>
      </c>
      <c r="H42" s="20">
        <v>2</v>
      </c>
      <c r="I42" s="8" t="s">
        <v>67</v>
      </c>
      <c r="J42" s="19">
        <v>0</v>
      </c>
      <c r="K42" s="8" t="s">
        <v>68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/>
    <row r="44" spans="1:14" ht="12.75" customHeight="1" x14ac:dyDescent="0.2">
      <c r="B44" s="8" t="s">
        <v>16</v>
      </c>
      <c r="C44" s="8" t="s">
        <v>19</v>
      </c>
      <c r="E44" s="8" t="s">
        <v>19</v>
      </c>
      <c r="F44" s="8" t="s">
        <v>19</v>
      </c>
      <c r="G44" s="8" t="s">
        <v>21</v>
      </c>
      <c r="H44" s="8" t="s">
        <v>19</v>
      </c>
      <c r="J44" s="8" t="s">
        <v>19</v>
      </c>
    </row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007-24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70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69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007-24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70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69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007-24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70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69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007-24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70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BUILD N9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69</v>
      </c>
      <c r="B22" s="38">
        <f>'Build Plan w Hours'!E10</f>
        <v>6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007-24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70</v>
      </c>
    </row>
    <row r="26" spans="1:9" ht="21.75" customHeight="1" x14ac:dyDescent="0.25">
      <c r="A26" s="29" t="s">
        <v>13</v>
      </c>
      <c r="B26" s="31" t="str">
        <f>'Build Plan w Hours'!C11</f>
        <v>.210</v>
      </c>
      <c r="C26" s="40" t="str">
        <f>'Build Plan w Hours'!D11</f>
        <v>Roll insulation rings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69</v>
      </c>
      <c r="B28" s="38">
        <f>'Build Plan w Hours'!E11</f>
        <v>3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007-24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70</v>
      </c>
    </row>
    <row r="32" spans="1:9" ht="21.75" customHeight="1" x14ac:dyDescent="0.25">
      <c r="A32" s="29" t="s">
        <v>13</v>
      </c>
      <c r="B32" s="31" t="str">
        <f>'Build Plan w Hours'!C12</f>
        <v>.252</v>
      </c>
      <c r="C32" s="40" t="str">
        <f>'Build Plan w Hours'!D12</f>
        <v>Fabricate miscellaneous parts_x000D_
INSULATION RING SUPPORTS, NOZZLE BRACING,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69</v>
      </c>
      <c r="B34" s="38">
        <f>'Build Plan w Hours'!E12</f>
        <v>8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007-24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70</v>
      </c>
    </row>
    <row r="38" spans="1:9" ht="21.75" customHeight="1" x14ac:dyDescent="0.25">
      <c r="A38" s="29" t="s">
        <v>13</v>
      </c>
      <c r="B38" s="31" t="str">
        <f>'Build Plan w Hours'!C13</f>
        <v>.OI1</v>
      </c>
      <c r="C38" s="40" t="str">
        <f>'Build Plan w Hours'!D13</f>
        <v>ASME Hold Point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69</v>
      </c>
      <c r="B40" s="38">
        <f>'Build Plan w Hours'!E13</f>
        <v>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007-24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70</v>
      </c>
    </row>
    <row r="44" spans="1:9" ht="21.75" customHeight="1" x14ac:dyDescent="0.25">
      <c r="A44" s="29" t="s">
        <v>13</v>
      </c>
      <c r="B44" s="31" t="str">
        <f>'Build Plan w Hours'!C14</f>
        <v>.QC5</v>
      </c>
      <c r="C44" s="40" t="str">
        <f>'Build Plan w Hours'!D14</f>
        <v>QC Inspection - Internal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69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007-24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70</v>
      </c>
    </row>
    <row r="50" spans="1:9" ht="21.75" customHeight="1" x14ac:dyDescent="0.25">
      <c r="A50" s="29" t="s">
        <v>13</v>
      </c>
      <c r="B50" s="31" t="str">
        <f>'Build Plan w Hours'!C15</f>
        <v>.715</v>
      </c>
      <c r="C50" s="40" t="str">
        <f>'Build Plan w Hours'!D15</f>
        <v>Install insulation/vacuum rings - tack_x000D_
REMOVE &amp; REPAIR DAMAGED INSULATION RINGS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69</v>
      </c>
      <c r="B52" s="38">
        <f>'Build Plan w Hours'!E15</f>
        <v>20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007-24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70</v>
      </c>
    </row>
    <row r="56" spans="1:9" ht="21.75" customHeight="1" x14ac:dyDescent="0.25">
      <c r="A56" s="29" t="s">
        <v>13</v>
      </c>
      <c r="B56" s="31" t="str">
        <f>'Build Plan w Hours'!C16</f>
        <v>.725</v>
      </c>
      <c r="C56" s="40" t="str">
        <f>'Build Plan w Hours'!D16</f>
        <v>Set nozzles in shell - tack_x000D_
REMOVE DAMAGED N9 &amp; SET NEW N9 IN PLACE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69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007-24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70</v>
      </c>
    </row>
    <row r="62" spans="1:9" ht="21.75" customHeight="1" x14ac:dyDescent="0.25">
      <c r="A62" s="29" t="s">
        <v>13</v>
      </c>
      <c r="B62" s="31" t="str">
        <f>'Build Plan w Hours'!C17</f>
        <v>.726</v>
      </c>
      <c r="C62" s="40" t="str">
        <f>'Build Plan w Hours'!D17</f>
        <v>Weld shell nozzles, manways,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69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007-24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70</v>
      </c>
    </row>
    <row r="68" spans="1:9" ht="21.75" customHeight="1" x14ac:dyDescent="0.25">
      <c r="A68" s="29" t="s">
        <v>13</v>
      </c>
      <c r="B68" s="31" t="str">
        <f>'Build Plan w Hours'!C18</f>
        <v>.770</v>
      </c>
      <c r="C68" s="40" t="str">
        <f>'Build Plan w Hours'!D18</f>
        <v>Inspect tank, make repairs, get QC inspector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69</v>
      </c>
      <c r="B70" s="38">
        <f>'Build Plan w Hours'!E18</f>
        <v>1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007-24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70</v>
      </c>
    </row>
    <row r="74" spans="1:9" ht="21.75" customHeight="1" x14ac:dyDescent="0.25">
      <c r="A74" s="29" t="s">
        <v>13</v>
      </c>
      <c r="B74" s="31" t="str">
        <f>'Build Plan w Hours'!C19</f>
        <v>.QC6</v>
      </c>
      <c r="C74" s="40" t="str">
        <f>'Build Plan w Hours'!D19</f>
        <v>QC Inspection - Fabrication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69</v>
      </c>
      <c r="B76" s="38">
        <f>'Build Plan w Hours'!E19</f>
        <v>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007-24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70</v>
      </c>
    </row>
    <row r="80" spans="1:9" ht="21.75" customHeight="1" x14ac:dyDescent="0.25">
      <c r="A80" s="29" t="s">
        <v>13</v>
      </c>
      <c r="B80" s="31" t="str">
        <f>'Build Plan w Hours'!C20</f>
        <v>.OI4</v>
      </c>
      <c r="C80" s="40" t="str">
        <f>'Build Plan w Hours'!D20</f>
        <v>Customer Inspection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69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007-24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70</v>
      </c>
    </row>
    <row r="86" spans="1:9" ht="21.75" customHeight="1" x14ac:dyDescent="0.25">
      <c r="A86" s="29" t="s">
        <v>13</v>
      </c>
      <c r="B86" s="31" t="str">
        <f>'Build Plan w Hours'!C21</f>
        <v>.OI2</v>
      </c>
      <c r="C86" s="40" t="str">
        <f>'Build Plan w Hours'!D21</f>
        <v>ASME Inspection Internal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69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007-24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70</v>
      </c>
    </row>
    <row r="92" spans="1:9" ht="21.75" customHeight="1" x14ac:dyDescent="0.25">
      <c r="A92" s="29" t="s">
        <v>13</v>
      </c>
      <c r="B92" s="31" t="str">
        <f>'Build Plan w Hours'!C22</f>
        <v>.855</v>
      </c>
      <c r="C92" s="40" t="str">
        <f>'Build Plan w Hours'!D22</f>
        <v>Remove nozzles_x000D_
MAKE MISC. REPAIRS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69</v>
      </c>
      <c r="B94" s="38">
        <f>'Build Plan w Hours'!E22</f>
        <v>10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007-24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70</v>
      </c>
    </row>
    <row r="98" spans="1:9" ht="21.75" customHeight="1" x14ac:dyDescent="0.25">
      <c r="A98" s="29" t="s">
        <v>13</v>
      </c>
      <c r="B98" s="31" t="str">
        <f>'Build Plan w Hours'!C23</f>
        <v>.801</v>
      </c>
      <c r="C98" s="40" t="str">
        <f>'Build Plan w Hours'!D23</f>
        <v>Move to shop test area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69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007-24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70</v>
      </c>
    </row>
    <row r="104" spans="1:9" ht="21.75" customHeight="1" x14ac:dyDescent="0.25">
      <c r="A104" s="29" t="s">
        <v>13</v>
      </c>
      <c r="B104" s="31" t="str">
        <f>'Build Plan w Hours'!C24</f>
        <v>.910</v>
      </c>
      <c r="C104" s="40" t="str">
        <f>'Build Plan w Hours'!D24</f>
        <v>Test tank_x000D_
***CHECK WITH QC FOR TEST PRESSURE***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69</v>
      </c>
      <c r="B106" s="38">
        <f>'Build Plan w Hours'!E24</f>
        <v>10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007-24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70</v>
      </c>
    </row>
    <row r="110" spans="1:9" ht="21.75" customHeight="1" x14ac:dyDescent="0.25">
      <c r="A110" s="29" t="s">
        <v>13</v>
      </c>
      <c r="B110" s="31" t="str">
        <f>'Build Plan w Hours'!C25</f>
        <v>.QC7</v>
      </c>
      <c r="C110" s="40" t="str">
        <f>'Build Plan w Hours'!D25</f>
        <v>QC Inspection - Test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69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007-24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70</v>
      </c>
    </row>
    <row r="116" spans="1:9" ht="21.75" customHeight="1" x14ac:dyDescent="0.25">
      <c r="A116" s="29" t="s">
        <v>13</v>
      </c>
      <c r="B116" s="31" t="str">
        <f>'Build Plan w Hours'!C26</f>
        <v>.OI3</v>
      </c>
      <c r="C116" s="40" t="str">
        <f>'Build Plan w Hours'!D26</f>
        <v>ASME Inspection Test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69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007-24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70</v>
      </c>
    </row>
    <row r="122" spans="1:9" ht="21.75" customHeight="1" x14ac:dyDescent="0.25">
      <c r="A122" s="29" t="s">
        <v>13</v>
      </c>
      <c r="B122" s="31" t="str">
        <f>'Build Plan w Hours'!C27</f>
        <v>.802</v>
      </c>
      <c r="C122" s="40" t="str">
        <f>'Build Plan w Hours'!D27</f>
        <v>Move to paint area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69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007-24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70</v>
      </c>
    </row>
    <row r="128" spans="1:9" ht="21.75" customHeight="1" x14ac:dyDescent="0.25">
      <c r="A128" s="29" t="s">
        <v>13</v>
      </c>
      <c r="B128" s="31" t="str">
        <f>'Build Plan w Hours'!C28</f>
        <v>.QC9</v>
      </c>
      <c r="C128" s="40" t="str">
        <f>'Build Plan w Hours'!D28</f>
        <v>QC Inspection - Sandblast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69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007-24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70</v>
      </c>
    </row>
    <row r="134" spans="1:9" ht="21.75" customHeight="1" x14ac:dyDescent="0.25">
      <c r="A134" s="29" t="s">
        <v>13</v>
      </c>
      <c r="B134" s="31" t="str">
        <f>'Build Plan w Hours'!C29</f>
        <v>.QC90</v>
      </c>
      <c r="C134" s="40" t="str">
        <f>'Build Plan w Hours'!D29</f>
        <v>QC Inspection - Paint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69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007-24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70</v>
      </c>
    </row>
    <row r="140" spans="1:9" ht="21.75" customHeight="1" x14ac:dyDescent="0.25">
      <c r="A140" s="29" t="s">
        <v>13</v>
      </c>
      <c r="B140" s="31" t="str">
        <f>'Build Plan w Hours'!C30</f>
        <v>.940</v>
      </c>
      <c r="C140" s="40" t="str">
        <f>'Build Plan w Hours'!D30</f>
        <v>Prepare tank for shipment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69</v>
      </c>
      <c r="B142" s="38">
        <f>'Build Plan w Hours'!E30</f>
        <v>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007-24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70</v>
      </c>
    </row>
    <row r="146" spans="1:9" ht="21.75" customHeight="1" x14ac:dyDescent="0.25">
      <c r="A146" s="29" t="s">
        <v>13</v>
      </c>
      <c r="B146" s="31" t="str">
        <f>'Build Plan w Hours'!C31</f>
        <v>.QC95</v>
      </c>
      <c r="C146" s="40" t="str">
        <f>'Build Plan w Hours'!D31</f>
        <v>QC Inspection - Final &amp; Loose Items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69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007-24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70</v>
      </c>
    </row>
    <row r="152" spans="1:9" ht="21.75" customHeight="1" x14ac:dyDescent="0.25">
      <c r="A152" s="29" t="s">
        <v>13</v>
      </c>
      <c r="B152" s="31" t="str">
        <f>'Build Plan w Hours'!C32</f>
        <v>.960</v>
      </c>
      <c r="C152" s="40" t="str">
        <f>'Build Plan w Hours'!D32</f>
        <v>Load on truck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69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007-24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70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69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007-24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70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69</v>
      </c>
      <c r="B166" s="38" t="str">
        <f>'Build Plan w Hours'!E34</f>
        <v/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007-24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70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69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007-24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70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69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007-24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70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69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007-24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70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69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007-24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70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69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007-24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70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69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007-24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70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69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007-24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70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69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007-24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70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69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007-24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70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69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007-24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70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69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007-24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70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69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007-24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70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69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007-24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70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69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007-24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70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69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007-24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70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69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007-24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70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69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007-24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70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69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007-24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70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69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007-24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70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69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007-24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70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69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007-24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70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69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007-24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70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69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007-24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70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69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007-24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70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69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007-24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70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69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007-24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70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69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007-24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70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69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007-24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70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69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007-24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70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69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007-24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70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69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007-24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70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69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007-24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70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69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007-24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70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69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007-24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70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69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007-24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70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69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007-24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70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69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007-24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70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69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007-24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70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69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007-24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70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69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007-24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70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69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007-24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70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69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007-24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70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69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007-24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70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69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007-24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70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69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007-24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70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69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007-24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70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69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007-24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70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69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007-24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70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69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007-24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70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69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007-24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70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69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007-24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70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69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007-24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70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007-24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70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007-24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70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007-24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70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BUILD N9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007-24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70</v>
      </c>
    </row>
    <row r="26" spans="1:9" ht="21.75" customHeight="1" x14ac:dyDescent="0.25">
      <c r="A26" s="29" t="s">
        <v>13</v>
      </c>
      <c r="B26" s="31" t="str">
        <f>'Build Plan w Hours'!C11</f>
        <v>.210</v>
      </c>
      <c r="C26" s="40" t="str">
        <f>'Build Plan w Hours'!D11</f>
        <v>Roll insulation rings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007-24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70</v>
      </c>
    </row>
    <row r="32" spans="1:9" ht="21.75" customHeight="1" x14ac:dyDescent="0.25">
      <c r="A32" s="29" t="s">
        <v>13</v>
      </c>
      <c r="B32" s="31" t="str">
        <f>'Build Plan w Hours'!C12</f>
        <v>.252</v>
      </c>
      <c r="C32" s="40" t="str">
        <f>'Build Plan w Hours'!D12</f>
        <v>Fabricate miscellaneous parts_x000D_
INSULATION RING SUPPORTS, NOZZLE BRACING,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007-24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70</v>
      </c>
    </row>
    <row r="38" spans="1:9" ht="21.75" customHeight="1" x14ac:dyDescent="0.25">
      <c r="A38" s="29" t="s">
        <v>13</v>
      </c>
      <c r="B38" s="31" t="str">
        <f>'Build Plan w Hours'!C13</f>
        <v>.OI1</v>
      </c>
      <c r="C38" s="40" t="str">
        <f>'Build Plan w Hours'!D13</f>
        <v>ASME Hold Point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007-24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70</v>
      </c>
    </row>
    <row r="44" spans="1:9" ht="21.75" customHeight="1" x14ac:dyDescent="0.25">
      <c r="A44" s="29" t="s">
        <v>13</v>
      </c>
      <c r="B44" s="31" t="str">
        <f>'Build Plan w Hours'!C14</f>
        <v>.QC5</v>
      </c>
      <c r="C44" s="40" t="str">
        <f>'Build Plan w Hours'!D14</f>
        <v>QC Inspection - Internal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007-24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70</v>
      </c>
    </row>
    <row r="50" spans="1:9" ht="21.75" customHeight="1" x14ac:dyDescent="0.25">
      <c r="A50" s="29" t="s">
        <v>13</v>
      </c>
      <c r="B50" s="31" t="str">
        <f>'Build Plan w Hours'!C15</f>
        <v>.715</v>
      </c>
      <c r="C50" s="40" t="str">
        <f>'Build Plan w Hours'!D15</f>
        <v>Install insulation/vacuum rings - tack_x000D_
REMOVE &amp; REPAIR DAMAGED INSULATION RINGS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007-24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70</v>
      </c>
    </row>
    <row r="56" spans="1:9" ht="21.75" customHeight="1" x14ac:dyDescent="0.25">
      <c r="A56" s="29" t="s">
        <v>13</v>
      </c>
      <c r="B56" s="31" t="str">
        <f>'Build Plan w Hours'!C16</f>
        <v>.725</v>
      </c>
      <c r="C56" s="40" t="str">
        <f>'Build Plan w Hours'!D16</f>
        <v>Set nozzles in shell - tack_x000D_
REMOVE DAMAGED N9 &amp; SET NEW N9 IN PLACE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007-24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70</v>
      </c>
    </row>
    <row r="62" spans="1:9" ht="21.75" customHeight="1" x14ac:dyDescent="0.25">
      <c r="A62" s="29" t="s">
        <v>13</v>
      </c>
      <c r="B62" s="31" t="str">
        <f>'Build Plan w Hours'!C17</f>
        <v>.726</v>
      </c>
      <c r="C62" s="40" t="str">
        <f>'Build Plan w Hours'!D17</f>
        <v>Weld shell nozzles, manways,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007-24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70</v>
      </c>
    </row>
    <row r="68" spans="1:9" ht="21.75" customHeight="1" x14ac:dyDescent="0.25">
      <c r="A68" s="29" t="s">
        <v>13</v>
      </c>
      <c r="B68" s="31" t="str">
        <f>'Build Plan w Hours'!C18</f>
        <v>.770</v>
      </c>
      <c r="C68" s="40" t="str">
        <f>'Build Plan w Hours'!D18</f>
        <v>Inspect tank, make repairs, get QC inspector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007-24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70</v>
      </c>
    </row>
    <row r="74" spans="1:9" ht="21.75" customHeight="1" x14ac:dyDescent="0.25">
      <c r="A74" s="29" t="s">
        <v>13</v>
      </c>
      <c r="B74" s="31" t="str">
        <f>'Build Plan w Hours'!C19</f>
        <v>.QC6</v>
      </c>
      <c r="C74" s="40" t="str">
        <f>'Build Plan w Hours'!D19</f>
        <v>QC Inspection - Fabrication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007-24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70</v>
      </c>
    </row>
    <row r="80" spans="1:9" ht="21.75" customHeight="1" x14ac:dyDescent="0.25">
      <c r="A80" s="29" t="s">
        <v>13</v>
      </c>
      <c r="B80" s="31" t="str">
        <f>'Build Plan w Hours'!C20</f>
        <v>.OI4</v>
      </c>
      <c r="C80" s="40" t="str">
        <f>'Build Plan w Hours'!D20</f>
        <v>Customer Inspection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007-24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70</v>
      </c>
    </row>
    <row r="86" spans="1:9" ht="21.75" customHeight="1" x14ac:dyDescent="0.25">
      <c r="A86" s="29" t="s">
        <v>13</v>
      </c>
      <c r="B86" s="31" t="str">
        <f>'Build Plan w Hours'!C21</f>
        <v>.OI2</v>
      </c>
      <c r="C86" s="40" t="str">
        <f>'Build Plan w Hours'!D21</f>
        <v>ASME Inspection Internal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007-24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70</v>
      </c>
    </row>
    <row r="92" spans="1:9" ht="21.75" customHeight="1" x14ac:dyDescent="0.25">
      <c r="A92" s="29" t="s">
        <v>13</v>
      </c>
      <c r="B92" s="31" t="str">
        <f>'Build Plan w Hours'!C22</f>
        <v>.855</v>
      </c>
      <c r="C92" s="40" t="str">
        <f>'Build Plan w Hours'!D22</f>
        <v>Remove nozzles_x000D_
MAKE MISC. REPAIRS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007-24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70</v>
      </c>
    </row>
    <row r="98" spans="1:9" ht="21.75" customHeight="1" x14ac:dyDescent="0.25">
      <c r="A98" s="29" t="s">
        <v>13</v>
      </c>
      <c r="B98" s="31" t="str">
        <f>'Build Plan w Hours'!C23</f>
        <v>.801</v>
      </c>
      <c r="C98" s="40" t="str">
        <f>'Build Plan w Hours'!D23</f>
        <v>Move to shop test area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007-24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70</v>
      </c>
    </row>
    <row r="104" spans="1:9" ht="21.75" customHeight="1" x14ac:dyDescent="0.25">
      <c r="A104" s="29" t="s">
        <v>13</v>
      </c>
      <c r="B104" s="31" t="str">
        <f>'Build Plan w Hours'!C24</f>
        <v>.910</v>
      </c>
      <c r="C104" s="40" t="str">
        <f>'Build Plan w Hours'!D24</f>
        <v>Test tank_x000D_
***CHECK WITH QC FOR TEST PRESSURE***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007-24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70</v>
      </c>
    </row>
    <row r="110" spans="1:9" ht="21.75" customHeight="1" x14ac:dyDescent="0.25">
      <c r="A110" s="29" t="s">
        <v>13</v>
      </c>
      <c r="B110" s="31" t="str">
        <f>'Build Plan w Hours'!C25</f>
        <v>.QC7</v>
      </c>
      <c r="C110" s="40" t="str">
        <f>'Build Plan w Hours'!D25</f>
        <v>QC Inspection - Test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007-24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70</v>
      </c>
    </row>
    <row r="116" spans="1:9" ht="21.75" customHeight="1" x14ac:dyDescent="0.25">
      <c r="A116" s="29" t="s">
        <v>13</v>
      </c>
      <c r="B116" s="31" t="str">
        <f>'Build Plan w Hours'!C26</f>
        <v>.OI3</v>
      </c>
      <c r="C116" s="40" t="str">
        <f>'Build Plan w Hours'!D26</f>
        <v>ASME Inspection Test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007-24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70</v>
      </c>
    </row>
    <row r="122" spans="1:9" ht="21.75" customHeight="1" x14ac:dyDescent="0.25">
      <c r="A122" s="29" t="s">
        <v>13</v>
      </c>
      <c r="B122" s="31" t="str">
        <f>'Build Plan w Hours'!C27</f>
        <v>.802</v>
      </c>
      <c r="C122" s="40" t="str">
        <f>'Build Plan w Hours'!D27</f>
        <v>Move to paint area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007-24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70</v>
      </c>
    </row>
    <row r="128" spans="1:9" ht="21.75" customHeight="1" x14ac:dyDescent="0.25">
      <c r="A128" s="29" t="s">
        <v>13</v>
      </c>
      <c r="B128" s="31" t="str">
        <f>'Build Plan w Hours'!C28</f>
        <v>.QC9</v>
      </c>
      <c r="C128" s="40" t="str">
        <f>'Build Plan w Hours'!D28</f>
        <v>QC Inspection - Sandblast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007-24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70</v>
      </c>
    </row>
    <row r="134" spans="1:9" ht="21.75" customHeight="1" x14ac:dyDescent="0.25">
      <c r="A134" s="29" t="s">
        <v>13</v>
      </c>
      <c r="B134" s="31" t="str">
        <f>'Build Plan w Hours'!C29</f>
        <v>.QC90</v>
      </c>
      <c r="C134" s="40" t="str">
        <f>'Build Plan w Hours'!D29</f>
        <v>QC Inspection - Paint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007-24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70</v>
      </c>
    </row>
    <row r="140" spans="1:9" ht="21.75" customHeight="1" x14ac:dyDescent="0.25">
      <c r="A140" s="29" t="s">
        <v>13</v>
      </c>
      <c r="B140" s="31" t="str">
        <f>'Build Plan w Hours'!C30</f>
        <v>.940</v>
      </c>
      <c r="C140" s="40" t="str">
        <f>'Build Plan w Hours'!D30</f>
        <v>Prepare tank for shipment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007-24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70</v>
      </c>
    </row>
    <row r="146" spans="1:9" ht="21.75" customHeight="1" x14ac:dyDescent="0.25">
      <c r="A146" s="29" t="s">
        <v>13</v>
      </c>
      <c r="B146" s="31" t="str">
        <f>'Build Plan w Hours'!C31</f>
        <v>.QC95</v>
      </c>
      <c r="C146" s="40" t="str">
        <f>'Build Plan w Hours'!D31</f>
        <v>QC Inspection - Final &amp; Loose Items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007-24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70</v>
      </c>
    </row>
    <row r="152" spans="1:9" ht="21.75" customHeight="1" x14ac:dyDescent="0.25">
      <c r="A152" s="29" t="s">
        <v>13</v>
      </c>
      <c r="B152" s="31" t="str">
        <f>'Build Plan w Hours'!C32</f>
        <v>.960</v>
      </c>
      <c r="C152" s="40" t="str">
        <f>'Build Plan w Hours'!D32</f>
        <v>Load on truck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007-24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70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007-24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70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007-24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70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007-24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70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007-24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70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007-24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70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007-24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70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007-24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70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007-24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70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007-24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70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007-24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70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007-24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70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007-24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70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007-24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70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007-24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70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007-24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70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007-24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70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007-24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70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007-24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70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007-24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70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007-24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70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007-24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70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007-24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70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007-24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70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007-24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70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007-24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70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007-24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70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007-24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70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007-24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70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007-24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70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007-24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70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007-24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70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007-24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70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007-24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70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007-24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70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007-24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70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007-24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70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007-24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70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007-24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70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007-24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70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007-24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70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007-24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70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007-24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70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007-24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70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007-24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70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007-24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70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007-24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70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007-24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70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007-24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70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007-24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70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007-24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70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007-24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70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007-24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70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007-24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70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007-24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70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007-24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70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2024-03-19T20:54:32Z</cp:lastPrinted>
  <dcterms:created xsi:type="dcterms:W3CDTF">2016-06-28T20:53:17Z</dcterms:created>
  <dcterms:modified xsi:type="dcterms:W3CDTF">2024-03-19T20:55:03Z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