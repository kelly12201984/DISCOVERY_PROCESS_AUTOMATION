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7-25 - Milliken - T-3505\"/>
    </mc:Choice>
  </mc:AlternateContent>
  <xr:revisionPtr revIDLastSave="0" documentId="8_{5BEC2B96-464A-4FE9-A27D-E95FE89EA5D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<sst xmlns="http://schemas.openxmlformats.org/spreadsheetml/2006/main" count="1610" uniqueCount="172">
  <si>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</si>
  <si>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</si>
  <si>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</si>
  <si>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</si>
  <si>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</si>
  <si>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</si>
  <si>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</si>
  <si>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</si>
  <si>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</si>
  <si>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</si>
  <si>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</si>
  <si>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</si>
  <si>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</si>
  <si>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</si>
  <si>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</si>
  <si>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</si>
  <si>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</si>
  <si>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</si>
  <si>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</si>
  <si>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</si>
  <si>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</si>
  <si>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</si>
  <si>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</si>
  <si>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</si>
  <si>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</si>
  <si>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</si>
  <si>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</si>
  <si>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</si>
  <si>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</si>
  <si>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</si>
  <si>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</si>
  <si>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</si>
  <si>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</si>
  <si>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</si>
  <si>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</si>
  <si>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</si>
  <si>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</si>
  <si>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</si>
  <si>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</si>
  <si>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</si>
  <si>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</si>
  <si>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</si>
  <si>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</si>
  <si>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</si>
  <si>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</si>
  <si>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</si>
  <si>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</si>
  <si>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</si>
  <si>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</si>
  <si>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</si>
  <si>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</si>
  <si>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</si>
  <si>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</si>
  <si>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</si>
  <si>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</si>
  <si>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</si>
  <si>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</si>
  <si>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</si>
  <si>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</si>
  <si>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</si>
  <si>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</si>
  <si>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</si>
  <si>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</si>
  <si>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</si>
  <si>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</si>
  <si>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</si>
  <si>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</si>
  <si>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</si>
  <si>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</si>
  <si>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</si>
  <si>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</si>
  <si>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</si>
  <si>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</si>
  <si>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</si>
  <si>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</si>
  <si>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</si>
  <si>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</si>
  <si>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</si>
  <si>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</si>
  <si>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</si>
  <si>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</si>
  <si>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</si>
  <si>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</si>
  <si>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</si>
  <si>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</si>
  <si>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</si>
  <si>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</si>
  <si>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</si>
  <si>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</si>
  <si>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</si>
  <si>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</si>
  <si>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</si>
  <si>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</si>
  <si>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</si>
  <si>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</si>
  <si>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</si>
  <si>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</si>
  <si>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</si>
  <si>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</si>
  <si>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</si>
  <si>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</si>
  <si>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</si>
  <si>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</si>
  <si>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</si>
  <si>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</si>
  <si>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</si>
  <si>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</si>
  <si>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</si>
  <si>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</si>
  <si>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</si>
  <si>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</si>
  <si>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</si>
  <si>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</si>
  <si>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</si>
  <si>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</si>
  <si>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</si>
  <si>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</si>
  <si>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</si>
  <si>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</si>
  <si>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</si>
  <si>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</si>
  <si>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</si>
  <si>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</si>
  <si>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</si>
  <si>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</si>
  <si>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</si>
  <si>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</si>
  <si>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</si>
  <si>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</si>
  <si>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</si>
  <si>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</si>
  <si>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</si>
  <si>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</si>
  <si>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</si>
  <si>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</si>
  <si>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</si>
  <si>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L/O Bottom, B&amp;C Holes</t>
  </si>
  <si>
    <t>.455</t>
  </si>
  <si>
    <t>T-3505</t>
  </si>
  <si>
    <t>6701676868</t>
  </si>
  <si>
    <t>9353</t>
  </si>
  <si>
    <t>Build nozzles and weld</t>
  </si>
  <si>
    <t>Build supports: legs, lugs, saddles_x000D_
INCL (4) LEG EXTENSIONS</t>
  </si>
  <si>
    <t>Make lift lugs, ground lugs, etc.</t>
  </si>
  <si>
    <t>Wrap Top &amp; Bottom Heads</t>
  </si>
  <si>
    <t>.300</t>
  </si>
  <si>
    <t>Wrap top and bottom heads</t>
  </si>
  <si>
    <t>Shells: bring in plate, square, trim and clean_x000D_
PREP (1) DOUBLE SHELL</t>
  </si>
  <si>
    <t>Roll shells, tack and weld inside seams_x000D_
ROLL (1) DOUBLE SHELL; WELD L/S WITH COBOT</t>
  </si>
  <si>
    <t>Lay out top head, burn and clean holes_x000D_
CUT HOLES ON CNC TABLE</t>
  </si>
  <si>
    <t>Set  nozzles, lift lugs, etc. in top head - tack</t>
  </si>
  <si>
    <t>Weld out top head nozzles, etc. _x000D_
INCL (2) LIFT LUGS</t>
  </si>
  <si>
    <t>Lay out bottom head, burn and clean holes_x000D_
CUT HOLE ON CNC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</si>
  <si>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</si>
  <si>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</si>
  <si>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</si>
  <si>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</si>
  <si>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</si>
  <si>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INCL GROUND LUG</t>
  </si>
  <si>
    <t>ASME Hold Point</t>
  </si>
  <si>
    <t>.OI1</t>
  </si>
  <si>
    <t>Fit bottom head to shell_x000D_
AND WELD INSIDE &amp; OUTSIDE</t>
  </si>
  <si>
    <t>Fit top head to shell - tack_x000D_
AND MAKE FULL PEN WELD FROM OUTSIDE</t>
  </si>
  <si>
    <t>Install supports - legs, lugs, anchors, saddles, skirt_x000D_
AND WELD COMPLETE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</si>
  <si>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</si>
  <si>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</si>
  <si>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</si>
  <si>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</si>
  <si>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</si>
  <si>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</si>
  <si>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</si>
  <si>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097-25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</si>
</sst>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T-3505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INCL (4) LEG EXTENSIONS</v>
      </c>
      <c r="E11" s="13">
        <f>'Sheet2-PASTE HERE!'!F21</f>
        <v>10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.300</v>
      </c>
      <c r="D13" s="22" t="str">
        <f>'Sheet2-PASTE HERE!'!K23</f>
        <v>Wrap top and bottom heads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clean_x000D_
PREP (1) DOUBLE SHELL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(1) DOUBLE SHELL; WELD L/S WITH COBOT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.355</v>
      </c>
      <c r="D18" s="22" t="str">
        <f>'Sheet2-PASTE HERE!'!K28</f>
        <v>Lay out top head, burn and clean holes_x000D_
CUT HOLES ON CNC TABLE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.365</v>
      </c>
      <c r="D19" s="22" t="str">
        <f>'Sheet2-PASTE HERE!'!K29</f>
        <v>Set  nozzles, lift lugs, etc. in top head - tack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.366</v>
      </c>
      <c r="D20" s="22" t="str">
        <f>'Sheet2-PASTE HERE!'!K30</f>
        <v>Weld out top head nozzles, etc. _x000D_
INCL (2) LIFT LUGS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.455</v>
      </c>
      <c r="D22" s="22" t="str">
        <f>'Sheet2-PASTE HERE!'!K32</f>
        <v>Lay out bottom head, burn and clean holes_x000D_
CUT HOLE ON CNC TABLE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.465</v>
      </c>
      <c r="D23" s="22" t="str">
        <f>'Sheet2-PASTE HERE!'!K33</f>
        <v>Set  nozzles in bottom head - tack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.466</v>
      </c>
      <c r="D24" s="22" t="str">
        <f>'Sheet2-PASTE HERE!'!K34</f>
        <v>Weld nozzles in bottom head; weld complete_x000D_
INCL GROUND LUG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.OI1</v>
      </c>
      <c r="D25" s="22" t="str">
        <f>'Sheet2-PASTE HERE!'!K35</f>
        <v>ASME Hold Point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1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AND WELD INSIDE &amp; OUTSIDE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.640</v>
      </c>
      <c r="D28" s="22" t="str">
        <f>'Sheet2-PASTE HERE!'!K38</f>
        <v>Fit top head to shell - tack_x000D_
AND MAKE FULL PEN WELD FROM OUTSIDE</v>
      </c>
      <c r="E28" s="13">
        <f>'Sheet2-PASTE HERE!'!F38</f>
        <v>4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.800</v>
      </c>
      <c r="D29" s="22" t="str">
        <f>'Sheet2-PASTE HERE!'!K39</f>
        <v>Move tank to detail rolls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14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.765</v>
      </c>
      <c r="D31" s="22" t="str">
        <f>'Sheet2-PASTE HERE!'!K41</f>
        <v>Install name tag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.770</v>
      </c>
      <c r="D32" s="22" t="str">
        <f>'Sheet2-PASTE HERE!'!K42</f>
        <v>Inspect tank, make repairs, get QC inspector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.QC6</v>
      </c>
      <c r="D33" s="22" t="str">
        <f>'Sheet2-PASTE HERE!'!K43</f>
        <v>QC Inspection - Fabrication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.OI2</v>
      </c>
      <c r="D34" s="22" t="str">
        <f>'Sheet2-PASTE HERE!'!K44</f>
        <v>ASME Inspection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1</v>
      </c>
    </row>
    <row r="35" spans="1:12" ht="26.25" customHeight="1" x14ac:dyDescent="0.2">
      <c r="A35" s="10" t="str">
        <f>'Sheet2-PASTE HERE!'!A45</f>
        <v>MOVE TANK</v>
      </c>
      <c r="B35" s="11"/>
      <c r="C35" s="17" t="str">
        <f>'Sheet2-PASTE HERE!'!I45</f>
        <v>.801</v>
      </c>
      <c r="D35" s="22" t="str">
        <f>'Sheet2-PASTE HERE!'!K45</f>
        <v>Move to shop test area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.910</v>
      </c>
      <c r="D36" s="22" t="str">
        <f>'Sheet2-PASTE HERE!'!K46</f>
        <v>Test tank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.OI3</v>
      </c>
      <c r="D38" s="22" t="str">
        <f>'Sheet2-PASTE HERE!'!K48</f>
        <v>ASME Inspection Test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5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.940</v>
      </c>
      <c r="D41" s="22" t="str">
        <f>'Sheet2-PASTE HERE!'!K51</f>
        <v>Prepare tank for shipment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T-3505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INCL (4) LEG EXTENSIONS</v>
      </c>
      <c r="E11" s="13">
        <f>'Sheet2-PASTE HERE!'!F21</f>
        <v>10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.300</v>
      </c>
      <c r="D13" s="22" t="str">
        <f>'Sheet2-PASTE HERE!'!K23</f>
        <v>Wrap top and bottom heads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clean_x000D_
PREP (1) DOUBLE SHELL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(1) DOUBLE SHELL; WELD L/S WITH COBOT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.355</v>
      </c>
      <c r="D18" s="22" t="str">
        <f>'Sheet2-PASTE HERE!'!K28</f>
        <v>Lay out top head, burn and clean holes_x000D_
CUT HOLES ON CNC TABLE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.365</v>
      </c>
      <c r="D19" s="22" t="str">
        <f>'Sheet2-PASTE HERE!'!K29</f>
        <v>Set  nozzles, lift lugs, etc. in top head - tack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.366</v>
      </c>
      <c r="D20" s="22" t="str">
        <f>'Sheet2-PASTE HERE!'!K30</f>
        <v>Weld out top head nozzles, etc. _x000D_
INCL (2) LIFT LUGS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.455</v>
      </c>
      <c r="D22" s="22" t="str">
        <f>'Sheet2-PASTE HERE!'!K32</f>
        <v>Lay out bottom head, burn and clean holes_x000D_
CUT HOLE ON CNC TABLE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.465</v>
      </c>
      <c r="D23" s="22" t="str">
        <f>'Sheet2-PASTE HERE!'!K33</f>
        <v>Set  nozzles in bottom head - tack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.466</v>
      </c>
      <c r="D24" s="22" t="str">
        <f>'Sheet2-PASTE HERE!'!K34</f>
        <v>Weld nozzles in bottom head; weld complete_x000D_
INCL GROUND LUG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.OI1</v>
      </c>
      <c r="D25" s="22" t="str">
        <f>'Sheet2-PASTE HERE!'!K35</f>
        <v>ASME Hold Point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1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AND WELD INSIDE &amp; OUTSIDE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.640</v>
      </c>
      <c r="D28" s="22" t="str">
        <f>'Sheet2-PASTE HERE!'!K38</f>
        <v>Fit top head to shell - tack_x000D_
AND MAKE FULL PEN WELD FROM OUTSIDE</v>
      </c>
      <c r="E28" s="13">
        <f>'Sheet2-PASTE HERE!'!F38</f>
        <v>4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.800</v>
      </c>
      <c r="D29" s="22" t="str">
        <f>'Sheet2-PASTE HERE!'!K39</f>
        <v>Move tank to detail rolls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14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.765</v>
      </c>
      <c r="D31" s="22" t="str">
        <f>'Sheet2-PASTE HERE!'!K41</f>
        <v>Install name tag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.770</v>
      </c>
      <c r="D32" s="22" t="str">
        <f>'Sheet2-PASTE HERE!'!K42</f>
        <v>Inspect tank, make repairs, get QC inspector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.QC6</v>
      </c>
      <c r="D33" s="22" t="str">
        <f>'Sheet2-PASTE HERE!'!K43</f>
        <v>QC Inspection - Fabrication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.OI2</v>
      </c>
      <c r="D34" s="22" t="str">
        <f>'Sheet2-PASTE HERE!'!K44</f>
        <v>ASME Inspection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1</v>
      </c>
    </row>
    <row r="35" spans="1:12" ht="26.25" customHeight="1" x14ac:dyDescent="0.2">
      <c r="A35" s="10" t="str">
        <f>'Sheet2-PASTE HERE!'!A45</f>
        <v>MOVE TANK</v>
      </c>
      <c r="B35" s="11"/>
      <c r="C35" s="17" t="str">
        <f>'Sheet2-PASTE HERE!'!I45</f>
        <v>.801</v>
      </c>
      <c r="D35" s="22" t="str">
        <f>'Sheet2-PASTE HERE!'!K45</f>
        <v>Move to shop test area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.910</v>
      </c>
      <c r="D36" s="22" t="str">
        <f>'Sheet2-PASTE HERE!'!K46</f>
        <v>Test tank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.OI3</v>
      </c>
      <c r="D38" s="22" t="str">
        <f>'Sheet2-PASTE HERE!'!K48</f>
        <v>ASME Inspection Test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5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.940</v>
      </c>
      <c r="D41" s="22" t="str">
        <f>'Sheet2-PASTE HERE!'!K51</f>
        <v>Prepare tank for shipment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138</v>
      </c>
      <c r="C1" s="8" t="s">
        <v>17</v>
      </c>
      <c r="D1" s="8" t="s">
        <v>139</v>
      </c>
      <c r="E1" s="8" t="s">
        <v>18</v>
      </c>
      <c r="F1" s="8" t="s">
        <v>140</v>
      </c>
      <c r="G1" s="8" t="s">
        <v>138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45922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97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55275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55276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55277</v>
      </c>
      <c r="C17" s="19">
        <v>0</v>
      </c>
      <c r="D17" s="8" t="s">
        <v>57</v>
      </c>
      <c r="E17" s="20">
        <v>0</v>
      </c>
      <c r="F17" s="20">
        <v>4</v>
      </c>
      <c r="G17" s="8" t="s">
        <v>54</v>
      </c>
      <c r="H17" s="20">
        <v>4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55278</v>
      </c>
      <c r="C18" s="19">
        <v>0</v>
      </c>
      <c r="D18" s="8" t="s">
        <v>79</v>
      </c>
      <c r="E18" s="20">
        <v>0</v>
      </c>
      <c r="F18" s="20">
        <v>8</v>
      </c>
      <c r="G18" s="8" t="s">
        <v>54</v>
      </c>
      <c r="H18" s="20">
        <v>8</v>
      </c>
      <c r="I18" s="8" t="s">
        <v>80</v>
      </c>
      <c r="J18" s="19">
        <v>0</v>
      </c>
      <c r="K18" s="8" t="s">
        <v>141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55279</v>
      </c>
      <c r="C19" s="19">
        <v>0</v>
      </c>
      <c r="D19" s="8" t="s">
        <v>133</v>
      </c>
      <c r="E19" s="20">
        <v>0</v>
      </c>
      <c r="F19" s="20">
        <v>8</v>
      </c>
      <c r="G19" s="8" t="s">
        <v>54</v>
      </c>
      <c r="H19" s="20">
        <v>8</v>
      </c>
      <c r="I19" s="8" t="s">
        <v>59</v>
      </c>
      <c r="J19" s="19">
        <v>0</v>
      </c>
      <c r="K19" s="8" t="s">
        <v>81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55280</v>
      </c>
      <c r="C20" s="19">
        <v>0</v>
      </c>
      <c r="D20" s="8" t="s">
        <v>134</v>
      </c>
      <c r="E20" s="20">
        <v>0</v>
      </c>
      <c r="F20" s="20">
        <v>4</v>
      </c>
      <c r="G20" s="8" t="s">
        <v>54</v>
      </c>
      <c r="H20" s="20">
        <v>4</v>
      </c>
      <c r="I20" s="8" t="s">
        <v>135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55281</v>
      </c>
      <c r="C21" s="19">
        <v>0</v>
      </c>
      <c r="D21" s="8" t="s">
        <v>60</v>
      </c>
      <c r="E21" s="20">
        <v>0</v>
      </c>
      <c r="F21" s="20">
        <v>10</v>
      </c>
      <c r="G21" s="8" t="s">
        <v>54</v>
      </c>
      <c r="H21" s="20">
        <v>10</v>
      </c>
      <c r="I21" s="8" t="s">
        <v>61</v>
      </c>
      <c r="J21" s="19">
        <v>0</v>
      </c>
      <c r="K21" s="8" t="s">
        <v>142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55282</v>
      </c>
      <c r="C22" s="19">
        <v>0</v>
      </c>
      <c r="D22" s="8" t="s">
        <v>82</v>
      </c>
      <c r="E22" s="20">
        <v>0</v>
      </c>
      <c r="F22" s="20">
        <v>1</v>
      </c>
      <c r="G22" s="8" t="s">
        <v>54</v>
      </c>
      <c r="H22" s="20">
        <v>1</v>
      </c>
      <c r="I22" s="8" t="s">
        <v>83</v>
      </c>
      <c r="J22" s="19">
        <v>0</v>
      </c>
      <c r="K22" s="8" t="s">
        <v>143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55283</v>
      </c>
      <c r="C23" s="19">
        <v>0</v>
      </c>
      <c r="D23" s="8" t="s">
        <v>144</v>
      </c>
      <c r="E23" s="20">
        <v>0</v>
      </c>
      <c r="F23" s="20">
        <v>1</v>
      </c>
      <c r="G23" s="8" t="s">
        <v>54</v>
      </c>
      <c r="H23" s="20">
        <v>1</v>
      </c>
      <c r="I23" s="8" t="s">
        <v>145</v>
      </c>
      <c r="J23" s="19">
        <v>0</v>
      </c>
      <c r="K23" s="8" t="s">
        <v>146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55284</v>
      </c>
      <c r="C24" s="19">
        <v>0</v>
      </c>
      <c r="D24" s="8" t="s">
        <v>84</v>
      </c>
      <c r="E24" s="20">
        <v>0</v>
      </c>
      <c r="F24" s="20">
        <v>0</v>
      </c>
      <c r="G24" s="8" t="s">
        <v>54</v>
      </c>
      <c r="H24" s="20">
        <v>0</v>
      </c>
      <c r="I24" s="8" t="s">
        <v>85</v>
      </c>
      <c r="J24" s="19">
        <v>0</v>
      </c>
      <c r="K24" s="8" t="s">
        <v>84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55285</v>
      </c>
      <c r="C25" s="19">
        <v>0</v>
      </c>
      <c r="D25" s="8" t="s">
        <v>86</v>
      </c>
      <c r="E25" s="20">
        <v>0</v>
      </c>
      <c r="F25" s="20">
        <v>4</v>
      </c>
      <c r="G25" s="8" t="s">
        <v>54</v>
      </c>
      <c r="H25" s="20">
        <v>4</v>
      </c>
      <c r="I25" s="8" t="s">
        <v>87</v>
      </c>
      <c r="J25" s="19">
        <v>0</v>
      </c>
      <c r="K25" s="8" t="s">
        <v>147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55286</v>
      </c>
      <c r="C26" s="19">
        <v>0</v>
      </c>
      <c r="D26" s="8" t="s">
        <v>88</v>
      </c>
      <c r="E26" s="20">
        <v>0</v>
      </c>
      <c r="F26" s="20">
        <v>4</v>
      </c>
      <c r="G26" s="8" t="s">
        <v>54</v>
      </c>
      <c r="H26" s="20">
        <v>4</v>
      </c>
      <c r="I26" s="8" t="s">
        <v>89</v>
      </c>
      <c r="J26" s="19">
        <v>0</v>
      </c>
      <c r="K26" s="8" t="s">
        <v>148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55287</v>
      </c>
      <c r="C27" s="19">
        <v>0</v>
      </c>
      <c r="D27" s="8" t="s">
        <v>90</v>
      </c>
      <c r="E27" s="20">
        <v>0</v>
      </c>
      <c r="F27" s="20">
        <v>0</v>
      </c>
      <c r="G27" s="8" t="s">
        <v>54</v>
      </c>
      <c r="H27" s="20">
        <v>0</v>
      </c>
      <c r="I27" s="8" t="s">
        <v>91</v>
      </c>
      <c r="J27" s="19">
        <v>0</v>
      </c>
      <c r="K27" s="8" t="s">
        <v>92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55288</v>
      </c>
      <c r="C28" s="19">
        <v>0</v>
      </c>
      <c r="D28" s="8" t="s">
        <v>93</v>
      </c>
      <c r="E28" s="20">
        <v>0</v>
      </c>
      <c r="F28" s="20">
        <v>3</v>
      </c>
      <c r="G28" s="8" t="s">
        <v>54</v>
      </c>
      <c r="H28" s="20">
        <v>3</v>
      </c>
      <c r="I28" s="8" t="s">
        <v>94</v>
      </c>
      <c r="J28" s="19">
        <v>0</v>
      </c>
      <c r="K28" s="8" t="s">
        <v>149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55289</v>
      </c>
      <c r="C29" s="19">
        <v>0</v>
      </c>
      <c r="D29" s="8" t="s">
        <v>95</v>
      </c>
      <c r="E29" s="20">
        <v>0</v>
      </c>
      <c r="F29" s="20">
        <v>3</v>
      </c>
      <c r="G29" s="8" t="s">
        <v>54</v>
      </c>
      <c r="H29" s="20">
        <v>3</v>
      </c>
      <c r="I29" s="8" t="s">
        <v>96</v>
      </c>
      <c r="J29" s="19">
        <v>0</v>
      </c>
      <c r="K29" s="8" t="s">
        <v>150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55290</v>
      </c>
      <c r="C30" s="19">
        <v>0</v>
      </c>
      <c r="D30" s="8" t="s">
        <v>97</v>
      </c>
      <c r="E30" s="20">
        <v>0</v>
      </c>
      <c r="F30" s="20">
        <v>6</v>
      </c>
      <c r="G30" s="8" t="s">
        <v>54</v>
      </c>
      <c r="H30" s="20">
        <v>6</v>
      </c>
      <c r="I30" s="8" t="s">
        <v>98</v>
      </c>
      <c r="J30" s="19">
        <v>0</v>
      </c>
      <c r="K30" s="8" t="s">
        <v>151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55291</v>
      </c>
      <c r="C31" s="19">
        <v>0</v>
      </c>
      <c r="D31" s="8" t="s">
        <v>90</v>
      </c>
      <c r="E31" s="20">
        <v>0</v>
      </c>
      <c r="F31" s="20">
        <v>0</v>
      </c>
      <c r="G31" s="8" t="s">
        <v>54</v>
      </c>
      <c r="H31" s="20">
        <v>0</v>
      </c>
      <c r="I31" s="8" t="s">
        <v>91</v>
      </c>
      <c r="J31" s="19">
        <v>0</v>
      </c>
      <c r="K31" s="8" t="s">
        <v>92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55292</v>
      </c>
      <c r="C32" s="19">
        <v>0</v>
      </c>
      <c r="D32" s="8" t="s">
        <v>136</v>
      </c>
      <c r="E32" s="20">
        <v>0</v>
      </c>
      <c r="F32" s="20">
        <v>1</v>
      </c>
      <c r="G32" s="8" t="s">
        <v>54</v>
      </c>
      <c r="H32" s="20">
        <v>1</v>
      </c>
      <c r="I32" s="8" t="s">
        <v>137</v>
      </c>
      <c r="J32" s="19">
        <v>0</v>
      </c>
      <c r="K32" s="8" t="s">
        <v>152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55293</v>
      </c>
      <c r="C33" s="19">
        <v>0</v>
      </c>
      <c r="D33" s="8" t="s">
        <v>153</v>
      </c>
      <c r="E33" s="20">
        <v>0</v>
      </c>
      <c r="F33" s="20">
        <v>1</v>
      </c>
      <c r="G33" s="8" t="s">
        <v>54</v>
      </c>
      <c r="H33" s="20">
        <v>1</v>
      </c>
      <c r="I33" s="8" t="s">
        <v>154</v>
      </c>
      <c r="J33" s="19">
        <v>0</v>
      </c>
      <c r="K33" s="8" t="s">
        <v>155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55294</v>
      </c>
      <c r="C34" s="19">
        <v>0</v>
      </c>
      <c r="D34" s="8" t="s">
        <v>156</v>
      </c>
      <c r="E34" s="20">
        <v>0</v>
      </c>
      <c r="F34" s="20">
        <v>1</v>
      </c>
      <c r="G34" s="8" t="s">
        <v>54</v>
      </c>
      <c r="H34" s="20">
        <v>1</v>
      </c>
      <c r="I34" s="8" t="s">
        <v>157</v>
      </c>
      <c r="J34" s="19">
        <v>0</v>
      </c>
      <c r="K34" s="8" t="s">
        <v>158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55295</v>
      </c>
      <c r="C35" s="19">
        <v>0</v>
      </c>
      <c r="D35" s="8" t="s">
        <v>159</v>
      </c>
      <c r="E35" s="20">
        <v>0</v>
      </c>
      <c r="F35" s="20">
        <v>0</v>
      </c>
      <c r="G35" s="8" t="s">
        <v>54</v>
      </c>
      <c r="H35" s="20">
        <v>0</v>
      </c>
      <c r="I35" s="8" t="s">
        <v>160</v>
      </c>
      <c r="J35" s="19">
        <v>0</v>
      </c>
      <c r="K35" s="8" t="s">
        <v>159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72</v>
      </c>
      <c r="B36" s="18">
        <v>55296</v>
      </c>
      <c r="C36" s="19">
        <v>0</v>
      </c>
      <c r="D36" s="8" t="s">
        <v>99</v>
      </c>
      <c r="E36" s="20">
        <v>0</v>
      </c>
      <c r="F36" s="20">
        <v>4</v>
      </c>
      <c r="G36" s="8" t="s">
        <v>54</v>
      </c>
      <c r="H36" s="20">
        <v>4</v>
      </c>
      <c r="I36" s="8" t="s">
        <v>100</v>
      </c>
      <c r="J36" s="19">
        <v>0</v>
      </c>
      <c r="K36" s="8" t="s">
        <v>161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55297</v>
      </c>
      <c r="C37" s="19">
        <v>0</v>
      </c>
      <c r="D37" s="8" t="s">
        <v>101</v>
      </c>
      <c r="E37" s="20">
        <v>0</v>
      </c>
      <c r="F37" s="20">
        <v>0</v>
      </c>
      <c r="G37" s="8" t="s">
        <v>54</v>
      </c>
      <c r="H37" s="20">
        <v>0</v>
      </c>
      <c r="I37" s="8" t="s">
        <v>102</v>
      </c>
      <c r="J37" s="19">
        <v>0</v>
      </c>
      <c r="K37" s="8" t="s">
        <v>101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72</v>
      </c>
      <c r="B38" s="18">
        <v>55298</v>
      </c>
      <c r="C38" s="19">
        <v>0</v>
      </c>
      <c r="D38" s="8" t="s">
        <v>103</v>
      </c>
      <c r="E38" s="20">
        <v>0</v>
      </c>
      <c r="F38" s="20">
        <v>4</v>
      </c>
      <c r="G38" s="8" t="s">
        <v>54</v>
      </c>
      <c r="H38" s="20">
        <v>4</v>
      </c>
      <c r="I38" s="8" t="s">
        <v>104</v>
      </c>
      <c r="J38" s="19">
        <v>0</v>
      </c>
      <c r="K38" s="8" t="s">
        <v>162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105</v>
      </c>
      <c r="B39" s="18">
        <v>55299</v>
      </c>
      <c r="C39" s="19">
        <v>0</v>
      </c>
      <c r="D39" s="8" t="s">
        <v>106</v>
      </c>
      <c r="E39" s="20">
        <v>0</v>
      </c>
      <c r="F39" s="20">
        <v>1</v>
      </c>
      <c r="G39" s="8" t="s">
        <v>54</v>
      </c>
      <c r="H39" s="20">
        <v>1</v>
      </c>
      <c r="I39" s="8" t="s">
        <v>107</v>
      </c>
      <c r="J39" s="19">
        <v>0</v>
      </c>
      <c r="K39" s="8" t="s">
        <v>108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72</v>
      </c>
      <c r="B40" s="18">
        <v>55300</v>
      </c>
      <c r="C40" s="19">
        <v>0</v>
      </c>
      <c r="D40" s="8" t="s">
        <v>109</v>
      </c>
      <c r="E40" s="20">
        <v>0</v>
      </c>
      <c r="F40" s="20">
        <v>14</v>
      </c>
      <c r="G40" s="8" t="s">
        <v>54</v>
      </c>
      <c r="H40" s="20">
        <v>14</v>
      </c>
      <c r="I40" s="8" t="s">
        <v>110</v>
      </c>
      <c r="J40" s="19">
        <v>0</v>
      </c>
      <c r="K40" s="8" t="s">
        <v>163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62</v>
      </c>
      <c r="B41" s="18">
        <v>55301</v>
      </c>
      <c r="C41" s="19">
        <v>0</v>
      </c>
      <c r="D41" s="8" t="s">
        <v>111</v>
      </c>
      <c r="E41" s="20">
        <v>0</v>
      </c>
      <c r="F41" s="20">
        <v>1</v>
      </c>
      <c r="G41" s="8" t="s">
        <v>54</v>
      </c>
      <c r="H41" s="20">
        <v>1</v>
      </c>
      <c r="I41" s="8" t="s">
        <v>112</v>
      </c>
      <c r="J41" s="19">
        <v>0</v>
      </c>
      <c r="K41" s="8" t="s">
        <v>113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55302</v>
      </c>
      <c r="C42" s="19">
        <v>0</v>
      </c>
      <c r="D42" s="8" t="s">
        <v>114</v>
      </c>
      <c r="E42" s="20">
        <v>0</v>
      </c>
      <c r="F42" s="20">
        <v>1</v>
      </c>
      <c r="G42" s="8" t="s">
        <v>54</v>
      </c>
      <c r="H42" s="20">
        <v>1</v>
      </c>
      <c r="I42" s="8" t="s">
        <v>115</v>
      </c>
      <c r="J42" s="19">
        <v>0</v>
      </c>
      <c r="K42" s="8" t="s">
        <v>116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55303</v>
      </c>
      <c r="C43" s="19">
        <v>0</v>
      </c>
      <c r="D43" s="8" t="s">
        <v>117</v>
      </c>
      <c r="E43" s="20">
        <v>0</v>
      </c>
      <c r="F43" s="20">
        <v>0</v>
      </c>
      <c r="G43" s="8" t="s">
        <v>54</v>
      </c>
      <c r="H43" s="20">
        <v>0</v>
      </c>
      <c r="I43" s="8" t="s">
        <v>118</v>
      </c>
      <c r="J43" s="19">
        <v>0</v>
      </c>
      <c r="K43" s="8" t="s">
        <v>119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55304</v>
      </c>
      <c r="C44" s="19">
        <v>0</v>
      </c>
      <c r="D44" s="8" t="s">
        <v>164</v>
      </c>
      <c r="E44" s="20">
        <v>0</v>
      </c>
      <c r="F44" s="20">
        <v>0</v>
      </c>
      <c r="G44" s="8" t="s">
        <v>54</v>
      </c>
      <c r="H44" s="20">
        <v>0</v>
      </c>
      <c r="I44" s="8" t="s">
        <v>165</v>
      </c>
      <c r="J44" s="19">
        <v>0</v>
      </c>
      <c r="K44" s="8" t="s">
        <v>164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105</v>
      </c>
      <c r="B45" s="18">
        <v>55305</v>
      </c>
      <c r="C45" s="19">
        <v>0</v>
      </c>
      <c r="D45" s="8" t="s">
        <v>120</v>
      </c>
      <c r="E45" s="20">
        <v>0</v>
      </c>
      <c r="F45" s="20">
        <v>1</v>
      </c>
      <c r="G45" s="8" t="s">
        <v>54</v>
      </c>
      <c r="H45" s="20">
        <v>1</v>
      </c>
      <c r="I45" s="8" t="s">
        <v>121</v>
      </c>
      <c r="J45" s="19">
        <v>0</v>
      </c>
      <c r="K45" s="8" t="s">
        <v>122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62</v>
      </c>
      <c r="B46" s="18">
        <v>55306</v>
      </c>
      <c r="C46" s="19">
        <v>0</v>
      </c>
      <c r="D46" s="8" t="s">
        <v>123</v>
      </c>
      <c r="E46" s="20">
        <v>0</v>
      </c>
      <c r="F46" s="20">
        <v>5</v>
      </c>
      <c r="G46" s="8" t="s">
        <v>54</v>
      </c>
      <c r="H46" s="20">
        <v>5</v>
      </c>
      <c r="I46" s="8" t="s">
        <v>124</v>
      </c>
      <c r="J46" s="19">
        <v>0</v>
      </c>
      <c r="K46" s="8" t="s">
        <v>125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55307</v>
      </c>
      <c r="C47" s="19">
        <v>0</v>
      </c>
      <c r="D47" s="8" t="s">
        <v>126</v>
      </c>
      <c r="E47" s="20">
        <v>0</v>
      </c>
      <c r="F47" s="20">
        <v>0</v>
      </c>
      <c r="G47" s="8" t="s">
        <v>54</v>
      </c>
      <c r="H47" s="20">
        <v>0</v>
      </c>
      <c r="I47" s="8" t="s">
        <v>127</v>
      </c>
      <c r="J47" s="19">
        <v>0</v>
      </c>
      <c r="K47" s="8" t="s">
        <v>126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55308</v>
      </c>
      <c r="C48" s="19">
        <v>0</v>
      </c>
      <c r="D48" s="8" t="s">
        <v>166</v>
      </c>
      <c r="E48" s="20">
        <v>0</v>
      </c>
      <c r="F48" s="20">
        <v>0</v>
      </c>
      <c r="G48" s="8" t="s">
        <v>54</v>
      </c>
      <c r="H48" s="20">
        <v>0</v>
      </c>
      <c r="I48" s="8" t="s">
        <v>167</v>
      </c>
      <c r="J48" s="19">
        <v>0</v>
      </c>
      <c r="K48" s="8" t="s">
        <v>166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62</v>
      </c>
      <c r="B49" s="18">
        <v>55309</v>
      </c>
      <c r="C49" s="19">
        <v>0</v>
      </c>
      <c r="D49" s="8" t="s">
        <v>128</v>
      </c>
      <c r="E49" s="20">
        <v>0</v>
      </c>
      <c r="F49" s="20">
        <v>5</v>
      </c>
      <c r="G49" s="8" t="s">
        <v>54</v>
      </c>
      <c r="H49" s="20">
        <v>5</v>
      </c>
      <c r="I49" s="8" t="s">
        <v>129</v>
      </c>
      <c r="J49" s="19">
        <v>0</v>
      </c>
      <c r="K49" s="8" t="s">
        <v>130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55310</v>
      </c>
      <c r="C50" s="19">
        <v>0</v>
      </c>
      <c r="D50" s="8" t="s">
        <v>131</v>
      </c>
      <c r="E50" s="20">
        <v>0</v>
      </c>
      <c r="F50" s="20">
        <v>0</v>
      </c>
      <c r="G50" s="8" t="s">
        <v>54</v>
      </c>
      <c r="H50" s="20">
        <v>0</v>
      </c>
      <c r="I50" s="8" t="s">
        <v>132</v>
      </c>
      <c r="J50" s="19">
        <v>0</v>
      </c>
      <c r="K50" s="8" t="s">
        <v>131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62</v>
      </c>
      <c r="B51" s="18">
        <v>55311</v>
      </c>
      <c r="C51" s="19">
        <v>0</v>
      </c>
      <c r="D51" s="8" t="s">
        <v>168</v>
      </c>
      <c r="E51" s="20">
        <v>0</v>
      </c>
      <c r="F51" s="20">
        <v>1</v>
      </c>
      <c r="G51" s="8" t="s">
        <v>54</v>
      </c>
      <c r="H51" s="20">
        <v>1</v>
      </c>
      <c r="I51" s="8" t="s">
        <v>169</v>
      </c>
      <c r="J51" s="19">
        <v>0</v>
      </c>
      <c r="K51" s="8" t="s">
        <v>170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55312</v>
      </c>
      <c r="C52" s="19">
        <v>0</v>
      </c>
      <c r="D52" s="8" t="s">
        <v>63</v>
      </c>
      <c r="E52" s="20">
        <v>0</v>
      </c>
      <c r="F52" s="20">
        <v>0</v>
      </c>
      <c r="G52" s="8" t="s">
        <v>54</v>
      </c>
      <c r="H52" s="20">
        <v>0</v>
      </c>
      <c r="I52" s="8" t="s">
        <v>64</v>
      </c>
      <c r="J52" s="19">
        <v>0</v>
      </c>
      <c r="K52" s="8" t="s">
        <v>65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66</v>
      </c>
      <c r="B53" s="18">
        <v>55313</v>
      </c>
      <c r="C53" s="19">
        <v>0</v>
      </c>
      <c r="D53" s="8" t="s">
        <v>67</v>
      </c>
      <c r="E53" s="20">
        <v>0</v>
      </c>
      <c r="F53" s="20">
        <v>1</v>
      </c>
      <c r="G53" s="8" t="s">
        <v>54</v>
      </c>
      <c r="H53" s="20">
        <v>1</v>
      </c>
      <c r="I53" s="8" t="s">
        <v>68</v>
      </c>
      <c r="J53" s="19">
        <v>0</v>
      </c>
      <c r="K53" s="8" t="s">
        <v>69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/>
    <row r="55" spans="1:14" ht="12.75" customHeight="1" x14ac:dyDescent="0.2">
      <c r="B55" s="8" t="s">
        <v>16</v>
      </c>
      <c r="C55" s="8" t="s">
        <v>138</v>
      </c>
      <c r="E55" s="8" t="s">
        <v>19</v>
      </c>
      <c r="F55" s="8" t="s">
        <v>19</v>
      </c>
      <c r="G55" s="8" t="s">
        <v>21</v>
      </c>
      <c r="H55" s="8" t="s">
        <v>19</v>
      </c>
      <c r="J55" s="8" t="s">
        <v>19</v>
      </c>
    </row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INCL (4) LEG EXTENSIONS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10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.300</v>
      </c>
      <c r="C38" s="40" t="str">
        <f>'Build Plan w Hours'!D13</f>
        <v>Wrap top and bottom heads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clean_x000D_
PREP (1) DOUBLE SHELL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(1) DOUBLE SHELL; WELD L/S WITH COBOT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.355</v>
      </c>
      <c r="C68" s="40" t="str">
        <f>'Build Plan w Hours'!D18</f>
        <v>Lay out top head, burn and clean holes_x000D_
CUT HOLES ON CNC TABLE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.365</v>
      </c>
      <c r="C74" s="40" t="str">
        <f>'Build Plan w Hours'!D19</f>
        <v>Set  nozzles, lift lugs, etc. in top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.366</v>
      </c>
      <c r="C80" s="40" t="str">
        <f>'Build Plan w Hours'!D20</f>
        <v>Weld out top head nozzles, etc. _x000D_
INCL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.455</v>
      </c>
      <c r="C92" s="40" t="str">
        <f>'Build Plan w Hours'!D22</f>
        <v>Lay out bottom head, burn and clean holes_x000D_
CUT HOLE ON CNC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.465</v>
      </c>
      <c r="C98" s="40" t="str">
        <f>'Build Plan w Hours'!D23</f>
        <v>Set  nozzles in bottom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.466</v>
      </c>
      <c r="C104" s="40" t="str">
        <f>'Build Plan w Hours'!D24</f>
        <v>Weld nozzles in bottom head; weld complete_x000D_
INCL GROUND LUG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.OI1</v>
      </c>
      <c r="C110" s="40" t="str">
        <f>'Build Plan w Hours'!D25</f>
        <v>ASME Hold Point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AND WELD INSIDE &amp; OUTSIDE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.640</v>
      </c>
      <c r="C128" s="40" t="str">
        <f>'Build Plan w Hours'!D28</f>
        <v>Fit top head to shell - tack_x000D_
AND MAKE FULL PEN WELD FROM OUTSIDE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4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.800</v>
      </c>
      <c r="C134" s="40" t="str">
        <f>'Build Plan w Hours'!D29</f>
        <v>Move tank to detail rolls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14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.765</v>
      </c>
      <c r="C146" s="40" t="str">
        <f>'Build Plan w Hours'!D31</f>
        <v>Install name tag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.770</v>
      </c>
      <c r="C152" s="40" t="str">
        <f>'Build Plan w Hours'!D32</f>
        <v>Inspect tank, make repairs, get QC inspector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.QC6</v>
      </c>
      <c r="C158" s="40" t="str">
        <f>'Build Plan w Hours'!D33</f>
        <v>QC Inspection - Fabrication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.OI2</v>
      </c>
      <c r="C164" s="40" t="str">
        <f>'Build Plan w Hours'!D34</f>
        <v>ASME Inspection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.801</v>
      </c>
      <c r="C170" s="40" t="str">
        <f>'Build Plan w Hours'!D35</f>
        <v>Move to shop test area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.910</v>
      </c>
      <c r="C176" s="40" t="str">
        <f>'Build Plan w Hours'!D36</f>
        <v>Test tank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.OI3</v>
      </c>
      <c r="C188" s="40" t="str">
        <f>'Build Plan w Hours'!D38</f>
        <v>ASME Inspection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5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.940</v>
      </c>
      <c r="C206" s="40" t="str">
        <f>'Build Plan w Hours'!D41</f>
        <v>Prepare tank for shipment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 t="str">
        <f>'Build Plan w Hours'!E45</f>
        <v/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INCL (4) LEG EXTENSIONS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.300</v>
      </c>
      <c r="C38" s="40" t="str">
        <f>'Build Plan w Hours'!D13</f>
        <v>Wrap top and bottom heads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clean_x000D_
PREP (1) DOUBLE SHELL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(1) DOUBLE SHELL; WELD L/S WITH COBOT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.355</v>
      </c>
      <c r="C68" s="40" t="str">
        <f>'Build Plan w Hours'!D18</f>
        <v>Lay out top head, burn and clean holes_x000D_
CUT HOLES ON CNC TABLE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.365</v>
      </c>
      <c r="C74" s="40" t="str">
        <f>'Build Plan w Hours'!D19</f>
        <v>Set  nozzles, lift lugs, etc. in top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.366</v>
      </c>
      <c r="C80" s="40" t="str">
        <f>'Build Plan w Hours'!D20</f>
        <v>Weld out top head nozzles, etc. _x000D_
INCL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.455</v>
      </c>
      <c r="C92" s="40" t="str">
        <f>'Build Plan w Hours'!D22</f>
        <v>Lay out bottom head, burn and clean holes_x000D_
CUT HOLE ON CNC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.465</v>
      </c>
      <c r="C98" s="40" t="str">
        <f>'Build Plan w Hours'!D23</f>
        <v>Set  nozzles in bottom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.466</v>
      </c>
      <c r="C104" s="40" t="str">
        <f>'Build Plan w Hours'!D24</f>
        <v>Weld nozzles in bottom head; weld complete_x000D_
INCL GROUND LUG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.OI1</v>
      </c>
      <c r="C110" s="40" t="str">
        <f>'Build Plan w Hours'!D25</f>
        <v>ASME Hold Point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AND WELD INSIDE &amp; OUTSIDE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.640</v>
      </c>
      <c r="C128" s="40" t="str">
        <f>'Build Plan w Hours'!D28</f>
        <v>Fit top head to shell - tack_x000D_
AND MAKE FULL PEN WELD FROM OUTSIDE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.800</v>
      </c>
      <c r="C134" s="40" t="str">
        <f>'Build Plan w Hours'!D29</f>
        <v>Move tank to detail rolls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.765</v>
      </c>
      <c r="C146" s="40" t="str">
        <f>'Build Plan w Hours'!D31</f>
        <v>Install name tag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.770</v>
      </c>
      <c r="C152" s="40" t="str">
        <f>'Build Plan w Hours'!D32</f>
        <v>Inspect tank, make repairs, get QC inspector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.QC6</v>
      </c>
      <c r="C158" s="40" t="str">
        <f>'Build Plan w Hours'!D33</f>
        <v>QC Inspection - Fabrication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.OI2</v>
      </c>
      <c r="C164" s="40" t="str">
        <f>'Build Plan w Hours'!D34</f>
        <v>ASME Inspection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.801</v>
      </c>
      <c r="C170" s="40" t="str">
        <f>'Build Plan w Hours'!D35</f>
        <v>Move to shop test area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.910</v>
      </c>
      <c r="C176" s="40" t="str">
        <f>'Build Plan w Hours'!D36</f>
        <v>Test tank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.OI3</v>
      </c>
      <c r="C188" s="40" t="str">
        <f>'Build Plan w Hours'!D38</f>
        <v>ASME Inspection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.940</v>
      </c>
      <c r="C206" s="40" t="str">
        <f>'Build Plan w Hours'!D41</f>
        <v>Prepare tank for shipment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2025-12-01T21:35:23Z</cp:lastPrinted>
  <dcterms:created xsi:type="dcterms:W3CDTF">2016-06-28T20:53:17Z</dcterms:created>
  <dcterms:modified xsi:type="dcterms:W3CDTF">2025-12-01T21:38:31Z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