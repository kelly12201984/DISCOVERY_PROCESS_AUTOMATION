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53-25 - ANDRITZ - RAYONIER, VAPOR DUCTING\"/>
    </mc:Choice>
  </mc:AlternateContent>
  <xr:revisionPtr revIDLastSave="0" documentId="8_{68F7697F-06F3-4B07-9C84-1EBA2B0B124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Hours'!$A$1:$H$38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<sst xmlns="http://schemas.openxmlformats.org/spreadsheetml/2006/main" count="1570" uniqueCount="156">
  <si>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</si>
  <si>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</si>
  <si>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</si>
  <si>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</si>
  <si>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</si>
  <si>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</si>
  <si>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</si>
  <si>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</si>
  <si>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</si>
  <si>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</si>
  <si>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</si>
  <si>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</si>
  <si>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</si>
  <si>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</si>
  <si>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</si>
  <si>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</si>
  <si>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</si>
  <si>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</si>
  <si>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</si>
  <si>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</si>
  <si>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</si>
  <si>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</si>
  <si>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</si>
  <si>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</si>
  <si>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</si>
  <si>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</si>
  <si>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</si>
  <si>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</si>
  <si>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</si>
  <si>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</si>
  <si>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</si>
  <si>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</si>
  <si>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</si>
  <si>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</si>
  <si>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</si>
  <si>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</si>
  <si>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</si>
  <si>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</si>
  <si>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</si>
  <si>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</si>
  <si>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</si>
  <si>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</si>
  <si>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</si>
  <si>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</si>
  <si>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</si>
  <si>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</si>
  <si>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</si>
  <si>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</si>
  <si>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</si>
  <si>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</si>
  <si>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</si>
  <si>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</si>
  <si>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</si>
  <si>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</si>
  <si>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</si>
  <si>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</si>
  <si>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</si>
  <si>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</si>
  <si>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</si>
  <si>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</si>
  <si>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</si>
  <si>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</si>
  <si>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</si>
  <si>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</si>
  <si>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</si>
  <si>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</si>
  <si>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</si>
  <si>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</si>
  <si>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</si>
  <si>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</si>
  <si>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</si>
  <si>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</si>
  <si>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</si>
  <si>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</si>
  <si>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</si>
  <si>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</si>
  <si>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Burn and clean parts:  lugs, supports, repads, base ring, etc. (CHECK!)</t>
  </si>
  <si>
    <t>UT Shells</t>
  </si>
  <si>
    <t>.QC3</t>
  </si>
  <si>
    <t>BI, SQ, T&amp;C Shells</t>
  </si>
  <si>
    <t>.305</t>
  </si>
  <si>
    <t>Roll Shell, Tack-Weld I/S</t>
  </si>
  <si>
    <t>.315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</si>
  <si>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</si>
  <si>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</si>
  <si>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</si>
  <si>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</si>
  <si>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</si>
  <si>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</si>
  <si>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</si>
  <si>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</si>
  <si>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MOVE TANK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</si>
  <si>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</si>
  <si>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</si>
  <si>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</si>
  <si>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</si>
  <si>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</si>
  <si>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</si>
  <si>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</si>
  <si>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</si>
  <si>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</si>
  <si>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</si>
  <si>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</si>
  <si>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</si>
  <si>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</si>
  <si>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</si>
  <si>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</si>
  <si>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</si>
  <si>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</si>
  <si>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</si>
  <si>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</si>
  <si>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</si>
  <si>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</si>
  <si>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</si>
  <si>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</si>
  <si>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Fab Miscellaneous Parts</t>
  </si>
  <si>
    <t>.252</t>
  </si>
  <si>
    <t>Cut Parts on Burn Table</t>
  </si>
  <si>
    <t>Clean &amp; Prep Parts</t>
  </si>
  <si>
    <t>.156</t>
  </si>
  <si>
    <t>Misc Fabrication</t>
  </si>
  <si>
    <t>.261</t>
  </si>
  <si>
    <t>Tack shell courses together</t>
  </si>
  <si>
    <t>Weld inside round seams</t>
  </si>
  <si>
    <t>Weld all Outside Seams</t>
  </si>
  <si>
    <t>.645</t>
  </si>
  <si>
    <t>Weld all outside seams</t>
  </si>
  <si>
    <t>VAPOR DUCTING 300122163</t>
  </si>
  <si>
    <t>4504651360</t>
  </si>
  <si>
    <t>9220.2</t>
  </si>
  <si>
    <t>Cut nozzle pipe and clean_x000D_
N1</t>
  </si>
  <si>
    <t>Build Repads for Nozzles</t>
  </si>
  <si>
    <t>.107</t>
  </si>
  <si>
    <t>Build Repads for Nozzles, drill and tap holes_x000D_
N1 &amp; OUTLET ELBOW</t>
  </si>
  <si>
    <t>Fabricate miscellaneous parts_x000D_
PINCH AND ROLL ELBOW SECTIONS</t>
  </si>
  <si>
    <t>Miscellaneous Fabrication - Braces, Mounting Plates, Cone Outlet Necks_x000D_
FIT AND WELD ELBOW SECTIONS</t>
  </si>
  <si>
    <t>Shells: bring in plate, square, trim and clean_x000D_
(3) SINGLE SHELL SECTIONS</t>
  </si>
  <si>
    <t>Roll shells, tack and weld inside seams_x000D_
(3) SINGLE SHELL SECTIONS</t>
  </si>
  <si>
    <t>ASME Hold Point</t>
  </si>
  <si>
    <t>.OI1</t>
  </si>
  <si>
    <t>Lay out shell, burn and clean holes_x000D_
FOR N1</t>
  </si>
  <si>
    <t>Set nozzles in shell - tack_x000D_
INCLUDING ALL 3O" FLANGES</t>
  </si>
  <si>
    <t>Weld shell nozzles, manways, etc._x000D_
INCLUDING ALL 30" FLANGES</t>
  </si>
  <si>
    <t>UT Components</t>
  </si>
  <si>
    <t>.QC51</t>
  </si>
  <si>
    <t>Customer Inspection</t>
  </si>
  <si>
    <t>.OI4</t>
  </si>
  <si>
    <t>ASME Inspection Internal</t>
  </si>
  <si>
    <t>.OI2</t>
  </si>
  <si>
    <t>ASME Inspection Test</t>
  </si>
  <si>
    <t>.OI3</t>
  </si>
  <si>
    <t>QC Inspection - Sandblast</t>
  </si>
  <si>
    <t>.QC9</t>
  </si>
  <si>
    <t>QC Inspection - Paint</t>
  </si>
  <si>
    <t>.QC90</t>
  </si>
  <si>
    <t>053-25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</si>
</sst>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38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155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VAPOR DUCTING 300122163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N1</v>
      </c>
      <c r="E7" s="13">
        <f>'Sheet2-PASTE HERE!'!F17</f>
        <v>1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.107</v>
      </c>
      <c r="D8" s="22" t="str">
        <f>'Sheet2-PASTE HERE!'!K18</f>
        <v>Build Repads for Nozzles, drill and tap holes_x000D_
N1 &amp; OUTLET ELBOW</v>
      </c>
      <c r="E8" s="13">
        <f>'Sheet2-PASTE HERE!'!F18</f>
        <v>2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.155</v>
      </c>
      <c r="D9" s="22" t="str">
        <f>'Sheet2-PASTE HERE!'!K19</f>
        <v>Burn and clean parts:  lugs, supports, repads, base ring, etc. (CHECK!)</v>
      </c>
      <c r="E9" s="13">
        <f>'Sheet2-PASTE HERE!'!F19</f>
        <v>8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.156</v>
      </c>
      <c r="D10" s="22">
        <f>'Sheet2-PASTE HERE!'!K20</f>
        <v>0</v>
      </c>
      <c r="E10" s="13">
        <f>'Sheet2-PASTE HERE!'!F20</f>
        <v>4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.252</v>
      </c>
      <c r="D11" s="22" t="str">
        <f>'Sheet2-PASTE HERE!'!K21</f>
        <v>Fabricate miscellaneous parts_x000D_
PINCH AND ROLL ELBOW SECTIONS</v>
      </c>
      <c r="E11" s="13">
        <f>'Sheet2-PASTE HERE!'!F21</f>
        <v>12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.261</v>
      </c>
      <c r="D12" s="22" t="str">
        <f>'Sheet2-PASTE HERE!'!K22</f>
        <v>Miscellaneous Fabrication - Braces, Mounting Plates, Cone Outlet Necks_x000D_
FIT AND WELD ELBOW SECTIONS</v>
      </c>
      <c r="E12" s="13">
        <f>'Sheet2-PASTE HERE!'!F22</f>
        <v>16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INSPECTION</v>
      </c>
      <c r="B13" s="11"/>
      <c r="C13" s="17" t="str">
        <f>'Sheet2-PASTE HERE!'!I23</f>
        <v>.QC3</v>
      </c>
      <c r="D13" s="22" t="str">
        <f>'Sheet2-PASTE HERE!'!K23</f>
        <v>UT Shells</v>
      </c>
      <c r="E13" s="13">
        <f>'Sheet2-PASTE HERE!'!F23</f>
        <v>0</v>
      </c>
      <c r="F13" s="12"/>
      <c r="G13" s="12"/>
      <c r="H13" s="12"/>
      <c r="K13">
        <f t="shared" si="0"/>
        <v>1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.305</v>
      </c>
      <c r="D14" s="22" t="str">
        <f>'Sheet2-PASTE HERE!'!K24</f>
        <v>Shells: bring in plate, square, trim and clean_x000D_
(3) SINGLE SHELL SECTIONS</v>
      </c>
      <c r="E14" s="13">
        <f>'Sheet2-PASTE HERE!'!F24</f>
        <v>6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.315</v>
      </c>
      <c r="D15" s="22" t="str">
        <f>'Sheet2-PASTE HERE!'!K25</f>
        <v>Roll shells, tack and weld inside seams_x000D_
(3) SINGLE SHELL SECTIONS</v>
      </c>
      <c r="E15" s="13">
        <f>'Sheet2-PASTE HERE!'!F25</f>
        <v>12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INSPECTION</v>
      </c>
      <c r="B16" s="11"/>
      <c r="C16" s="17" t="str">
        <f>'Sheet2-PASTE HERE!'!I26</f>
        <v>.OI1</v>
      </c>
      <c r="D16" s="22" t="str">
        <f>'Sheet2-PASTE HERE!'!K26</f>
        <v>ASME Hold Point</v>
      </c>
      <c r="E16" s="13">
        <f>'Sheet2-PASTE HERE!'!F26</f>
        <v>0</v>
      </c>
      <c r="F16" s="12"/>
      <c r="G16" s="12"/>
      <c r="H16" s="12"/>
      <c r="K16">
        <f t="shared" si="0"/>
        <v>1</v>
      </c>
      <c r="L16">
        <f t="shared" si="1"/>
        <v>1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.605</v>
      </c>
      <c r="D17" s="22" t="str">
        <f>'Sheet2-PASTE HERE!'!K27</f>
        <v>Tack shell courses together</v>
      </c>
      <c r="E17" s="13">
        <f>'Sheet2-PASTE HERE!'!F27</f>
        <v>6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.610</v>
      </c>
      <c r="D18" s="22" t="str">
        <f>'Sheet2-PASTE HERE!'!K28</f>
        <v>Weld inside round seams</v>
      </c>
      <c r="E18" s="13">
        <f>'Sheet2-PASTE HERE!'!F28</f>
        <v>3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.620</v>
      </c>
      <c r="D19" s="22" t="str">
        <f>'Sheet2-PASTE HERE!'!K29</f>
        <v>Lay out shell, burn and clean holes_x000D_
FOR N1</v>
      </c>
      <c r="E19" s="13">
        <f>'Sheet2-PASTE HERE!'!F29</f>
        <v>1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.QC5</v>
      </c>
      <c r="D20" s="22" t="str">
        <f>'Sheet2-PASTE HERE!'!K30</f>
        <v>QC Inspection - Internal</v>
      </c>
      <c r="E20" s="13">
        <f>'Sheet2-PASTE HERE!'!F30</f>
        <v>0</v>
      </c>
      <c r="F20" s="12"/>
      <c r="G20" s="12"/>
      <c r="H20" s="12"/>
      <c r="K20">
        <f t="shared" si="2"/>
        <v>1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.645</v>
      </c>
      <c r="D21" s="22" t="str">
        <f>'Sheet2-PASTE HERE!'!K31</f>
        <v>Weld all outside seams</v>
      </c>
      <c r="E21" s="13">
        <f>'Sheet2-PASTE HERE!'!F31</f>
        <v>3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.725</v>
      </c>
      <c r="D22" s="22" t="str">
        <f>'Sheet2-PASTE HERE!'!K32</f>
        <v>Set nozzles in shell - tack_x000D_
INCLUDING ALL 3O" FLANGES</v>
      </c>
      <c r="E22" s="13">
        <f>'Sheet2-PASTE HERE!'!F32</f>
        <v>12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.726</v>
      </c>
      <c r="D23" s="22" t="str">
        <f>'Sheet2-PASTE HERE!'!K33</f>
        <v>Weld shell nozzles, manways, etc._x000D_
INCLUDING ALL 30" FLANGES</v>
      </c>
      <c r="E23" s="13">
        <f>'Sheet2-PASTE HERE!'!F33</f>
        <v>18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.QC51</v>
      </c>
      <c r="D24" s="22" t="str">
        <f>'Sheet2-PASTE HERE!'!K34</f>
        <v>UT Components</v>
      </c>
      <c r="E24" s="13">
        <f>'Sheet2-PASTE HERE!'!F34</f>
        <v>0</v>
      </c>
      <c r="F24" s="12"/>
      <c r="G24" s="12"/>
      <c r="H24" s="12"/>
      <c r="K24">
        <f t="shared" si="2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FINISHING</v>
      </c>
      <c r="B25" s="11"/>
      <c r="C25" s="17" t="str">
        <f>'Sheet2-PASTE HERE!'!I35</f>
        <v>.765</v>
      </c>
      <c r="D25" s="22" t="str">
        <f>'Sheet2-PASTE HERE!'!K35</f>
        <v>Install name tag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.QC6</v>
      </c>
      <c r="D26" s="22" t="str">
        <f>'Sheet2-PASTE HERE!'!K36</f>
        <v>QC Inspection - Fabrication</v>
      </c>
      <c r="E26" s="13">
        <f>'Sheet2-PASTE HERE!'!F36</f>
        <v>0</v>
      </c>
      <c r="F26" s="12"/>
      <c r="G26" s="12"/>
      <c r="H26" s="12"/>
      <c r="K26">
        <f t="shared" si="2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.OI4</v>
      </c>
      <c r="D27" s="22" t="str">
        <f>'Sheet2-PASTE HERE!'!K37</f>
        <v>Customer Inspection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1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.OI2</v>
      </c>
      <c r="D28" s="22" t="str">
        <f>'Sheet2-PASTE HERE!'!K38</f>
        <v>ASME Inspection Internal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1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.801</v>
      </c>
      <c r="D29" s="22" t="str">
        <f>'Sheet2-PASTE HERE!'!K39</f>
        <v>Move to shop test area</v>
      </c>
      <c r="E29" s="13">
        <f>'Sheet2-PASTE HERE!'!F39</f>
        <v>2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FINISHING</v>
      </c>
      <c r="B30" s="11"/>
      <c r="C30" s="17" t="str">
        <f>'Sheet2-PASTE HERE!'!I40</f>
        <v>.910</v>
      </c>
      <c r="D30" s="22" t="str">
        <f>'Sheet2-PASTE HERE!'!K40</f>
        <v>Test tank</v>
      </c>
      <c r="E30" s="13">
        <f>'Sheet2-PASTE HERE!'!F40</f>
        <v>4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.QC7</v>
      </c>
      <c r="D31" s="22" t="str">
        <f>'Sheet2-PASTE HERE!'!K41</f>
        <v>QC Inspection - Test</v>
      </c>
      <c r="E31" s="13">
        <f>'Sheet2-PASTE HERE!'!F41</f>
        <v>0</v>
      </c>
      <c r="F31" s="12"/>
      <c r="G31" s="12"/>
      <c r="H31" s="12"/>
      <c r="K31">
        <f t="shared" si="2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.OI3</v>
      </c>
      <c r="D32" s="22" t="str">
        <f>'Sheet2-PASTE HERE!'!K42</f>
        <v>ASME Inspection Test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1</v>
      </c>
    </row>
    <row r="33" spans="1:12" ht="26.25" customHeight="1" x14ac:dyDescent="0.2">
      <c r="A33" s="10" t="str">
        <f>'Sheet2-PASTE HERE!'!A43</f>
        <v>FINISHING</v>
      </c>
      <c r="B33" s="11"/>
      <c r="C33" s="17" t="str">
        <f>'Sheet2-PASTE HERE!'!I43</f>
        <v>.920</v>
      </c>
      <c r="D33" s="22" t="str">
        <f>'Sheet2-PASTE HERE!'!K43</f>
        <v>Clean tank complete</v>
      </c>
      <c r="E33" s="13">
        <f>'Sheet2-PASTE HERE!'!F43</f>
        <v>8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.QC8</v>
      </c>
      <c r="D34" s="22" t="str">
        <f>'Sheet2-PASTE HERE!'!K44</f>
        <v>QC Inspection - Clean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.QC9</v>
      </c>
      <c r="D35" s="22" t="str">
        <f>'Sheet2-PASTE HERE!'!K45</f>
        <v>QC Inspection - Sandblast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.QC90</v>
      </c>
      <c r="D36" s="22" t="str">
        <f>'Sheet2-PASTE HERE!'!K46</f>
        <v>QC Inspection - Paint</v>
      </c>
      <c r="E36" s="13">
        <f>'Sheet2-PASTE HERE!'!F46</f>
        <v>0</v>
      </c>
      <c r="F36" s="12"/>
      <c r="G36" s="12"/>
      <c r="H36" s="12"/>
      <c r="K36">
        <f t="shared" si="2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.QC95</v>
      </c>
      <c r="D37" s="22" t="str">
        <f>'Sheet2-PASTE HERE!'!K47</f>
        <v>QC Inspection - Final &amp; Loose Items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SHIPPING</v>
      </c>
      <c r="B38" s="11"/>
      <c r="C38" s="17" t="str">
        <f>'Sheet2-PASTE HERE!'!I48</f>
        <v>.960</v>
      </c>
      <c r="D38" s="22" t="str">
        <f>'Sheet2-PASTE HERE!'!K48</f>
        <v>Load on truck</v>
      </c>
      <c r="E38" s="13">
        <f>'Sheet2-PASTE HERE!'!F48</f>
        <v>1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 t="str">
        <f>'Sheet2-PASTE HERE!'!F50</f>
        <v/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155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VAPOR DUCTING 300122163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N1</v>
      </c>
      <c r="E7" s="13">
        <f>'Sheet2-PASTE HERE!'!F17</f>
        <v>1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.107</v>
      </c>
      <c r="D8" s="22" t="str">
        <f>'Sheet2-PASTE HERE!'!K18</f>
        <v>Build Repads for Nozzles, drill and tap holes_x000D_
N1 &amp; OUTLET ELBOW</v>
      </c>
      <c r="E8" s="13">
        <f>'Sheet2-PASTE HERE!'!F18</f>
        <v>2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.155</v>
      </c>
      <c r="D9" s="22" t="str">
        <f>'Sheet2-PASTE HERE!'!K19</f>
        <v>Burn and clean parts:  lugs, supports, repads, base ring, etc. (CHECK!)</v>
      </c>
      <c r="E9" s="13">
        <f>'Sheet2-PASTE HERE!'!F19</f>
        <v>8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.156</v>
      </c>
      <c r="D10" s="22">
        <f>'Sheet2-PASTE HERE!'!K20</f>
        <v>0</v>
      </c>
      <c r="E10" s="13">
        <f>'Sheet2-PASTE HERE!'!F20</f>
        <v>4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.252</v>
      </c>
      <c r="D11" s="22" t="str">
        <f>'Sheet2-PASTE HERE!'!K21</f>
        <v>Fabricate miscellaneous parts_x000D_
PINCH AND ROLL ELBOW SECTIONS</v>
      </c>
      <c r="E11" s="13">
        <f>'Sheet2-PASTE HERE!'!F21</f>
        <v>12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.261</v>
      </c>
      <c r="D12" s="22" t="str">
        <f>'Sheet2-PASTE HERE!'!K22</f>
        <v>Miscellaneous Fabrication - Braces, Mounting Plates, Cone Outlet Necks_x000D_
FIT AND WELD ELBOW SECTIONS</v>
      </c>
      <c r="E12" s="13">
        <f>'Sheet2-PASTE HERE!'!F22</f>
        <v>16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INSPECTION</v>
      </c>
      <c r="B13" s="11"/>
      <c r="C13" s="17" t="str">
        <f>'Sheet2-PASTE HERE!'!I23</f>
        <v>.QC3</v>
      </c>
      <c r="D13" s="22" t="str">
        <f>'Sheet2-PASTE HERE!'!K23</f>
        <v>UT Shells</v>
      </c>
      <c r="E13" s="13">
        <f>'Sheet2-PASTE HERE!'!F23</f>
        <v>0</v>
      </c>
      <c r="F13" s="12"/>
      <c r="G13" s="12"/>
      <c r="H13" s="12"/>
      <c r="K13">
        <f t="shared" si="0"/>
        <v>1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.305</v>
      </c>
      <c r="D14" s="22" t="str">
        <f>'Sheet2-PASTE HERE!'!K24</f>
        <v>Shells: bring in plate, square, trim and clean_x000D_
(3) SINGLE SHELL SECTIONS</v>
      </c>
      <c r="E14" s="13">
        <f>'Sheet2-PASTE HERE!'!F24</f>
        <v>6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.315</v>
      </c>
      <c r="D15" s="22" t="str">
        <f>'Sheet2-PASTE HERE!'!K25</f>
        <v>Roll shells, tack and weld inside seams_x000D_
(3) SINGLE SHELL SECTIONS</v>
      </c>
      <c r="E15" s="13">
        <f>'Sheet2-PASTE HERE!'!F25</f>
        <v>12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INSPECTION</v>
      </c>
      <c r="B16" s="11"/>
      <c r="C16" s="17" t="str">
        <f>'Sheet2-PASTE HERE!'!I26</f>
        <v>.OI1</v>
      </c>
      <c r="D16" s="22" t="str">
        <f>'Sheet2-PASTE HERE!'!K26</f>
        <v>ASME Hold Point</v>
      </c>
      <c r="E16" s="13">
        <f>'Sheet2-PASTE HERE!'!F26</f>
        <v>0</v>
      </c>
      <c r="F16" s="12"/>
      <c r="G16" s="12"/>
      <c r="H16" s="12"/>
      <c r="K16">
        <f t="shared" si="0"/>
        <v>1</v>
      </c>
      <c r="L16">
        <f t="shared" si="1"/>
        <v>1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.605</v>
      </c>
      <c r="D17" s="22" t="str">
        <f>'Sheet2-PASTE HERE!'!K27</f>
        <v>Tack shell courses together</v>
      </c>
      <c r="E17" s="13">
        <f>'Sheet2-PASTE HERE!'!F27</f>
        <v>6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.610</v>
      </c>
      <c r="D18" s="22" t="str">
        <f>'Sheet2-PASTE HERE!'!K28</f>
        <v>Weld inside round seams</v>
      </c>
      <c r="E18" s="13">
        <f>'Sheet2-PASTE HERE!'!F28</f>
        <v>3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.620</v>
      </c>
      <c r="D19" s="22" t="str">
        <f>'Sheet2-PASTE HERE!'!K29</f>
        <v>Lay out shell, burn and clean holes_x000D_
FOR N1</v>
      </c>
      <c r="E19" s="13">
        <f>'Sheet2-PASTE HERE!'!F29</f>
        <v>1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.QC5</v>
      </c>
      <c r="D20" s="22" t="str">
        <f>'Sheet2-PASTE HERE!'!K30</f>
        <v>QC Inspection - Internal</v>
      </c>
      <c r="E20" s="13">
        <f>'Sheet2-PASTE HERE!'!F30</f>
        <v>0</v>
      </c>
      <c r="F20" s="12"/>
      <c r="G20" s="12"/>
      <c r="H20" s="12"/>
      <c r="K20">
        <f t="shared" si="0"/>
        <v>1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.645</v>
      </c>
      <c r="D21" s="22" t="str">
        <f>'Sheet2-PASTE HERE!'!K31</f>
        <v>Weld all outside seams</v>
      </c>
      <c r="E21" s="13">
        <f>'Sheet2-PASTE HERE!'!F31</f>
        <v>3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.725</v>
      </c>
      <c r="D22" s="22" t="str">
        <f>'Sheet2-PASTE HERE!'!K32</f>
        <v>Set nozzles in shell - tack_x000D_
INCLUDING ALL 3O" FLANGES</v>
      </c>
      <c r="E22" s="13">
        <f>'Sheet2-PASTE HERE!'!F32</f>
        <v>12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.726</v>
      </c>
      <c r="D23" s="22" t="str">
        <f>'Sheet2-PASTE HERE!'!K33</f>
        <v>Weld shell nozzles, manways, etc._x000D_
INCLUDING ALL 30" FLANGES</v>
      </c>
      <c r="E23" s="13">
        <f>'Sheet2-PASTE HERE!'!F33</f>
        <v>18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.QC51</v>
      </c>
      <c r="D24" s="22" t="str">
        <f>'Sheet2-PASTE HERE!'!K34</f>
        <v>UT Components</v>
      </c>
      <c r="E24" s="13">
        <f>'Sheet2-PASTE HERE!'!F34</f>
        <v>0</v>
      </c>
      <c r="F24" s="12"/>
      <c r="G24" s="12"/>
      <c r="H24" s="12"/>
      <c r="K24">
        <f t="shared" si="0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FINISHING</v>
      </c>
      <c r="B25" s="11"/>
      <c r="C25" s="17" t="str">
        <f>'Sheet2-PASTE HERE!'!I35</f>
        <v>.765</v>
      </c>
      <c r="D25" s="22" t="str">
        <f>'Sheet2-PASTE HERE!'!K35</f>
        <v>Install name tag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.QC6</v>
      </c>
      <c r="D26" s="22" t="str">
        <f>'Sheet2-PASTE HERE!'!K36</f>
        <v>QC Inspection - Fabrication</v>
      </c>
      <c r="E26" s="13">
        <f>'Sheet2-PASTE HERE!'!F36</f>
        <v>0</v>
      </c>
      <c r="F26" s="12"/>
      <c r="G26" s="12"/>
      <c r="H26" s="12"/>
      <c r="K26">
        <f t="shared" si="0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.OI4</v>
      </c>
      <c r="D27" s="22" t="str">
        <f>'Sheet2-PASTE HERE!'!K37</f>
        <v>Customer Inspection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1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.OI2</v>
      </c>
      <c r="D28" s="22" t="str">
        <f>'Sheet2-PASTE HERE!'!K38</f>
        <v>ASME Inspection Internal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1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.801</v>
      </c>
      <c r="D29" s="22" t="str">
        <f>'Sheet2-PASTE HERE!'!K39</f>
        <v>Move to shop test area</v>
      </c>
      <c r="E29" s="13">
        <f>'Sheet2-PASTE HERE!'!F39</f>
        <v>2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FINISHING</v>
      </c>
      <c r="B30" s="11"/>
      <c r="C30" s="17" t="str">
        <f>'Sheet2-PASTE HERE!'!I40</f>
        <v>.910</v>
      </c>
      <c r="D30" s="22" t="str">
        <f>'Sheet2-PASTE HERE!'!K40</f>
        <v>Test tank</v>
      </c>
      <c r="E30" s="13">
        <f>'Sheet2-PASTE HERE!'!F40</f>
        <v>4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.QC7</v>
      </c>
      <c r="D31" s="22" t="str">
        <f>'Sheet2-PASTE HERE!'!K41</f>
        <v>QC Inspection - Test</v>
      </c>
      <c r="E31" s="13">
        <f>'Sheet2-PASTE HERE!'!F41</f>
        <v>0</v>
      </c>
      <c r="F31" s="12"/>
      <c r="G31" s="12"/>
      <c r="H31" s="12"/>
      <c r="K31">
        <f t="shared" si="0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.OI3</v>
      </c>
      <c r="D32" s="22" t="str">
        <f>'Sheet2-PASTE HERE!'!K42</f>
        <v>ASME Inspection Test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1</v>
      </c>
    </row>
    <row r="33" spans="1:12" ht="26.25" customHeight="1" x14ac:dyDescent="0.2">
      <c r="A33" s="10" t="str">
        <f>'Sheet2-PASTE HERE!'!A43</f>
        <v>FINISHING</v>
      </c>
      <c r="B33" s="11"/>
      <c r="C33" s="17" t="str">
        <f>'Sheet2-PASTE HERE!'!I43</f>
        <v>.920</v>
      </c>
      <c r="D33" s="22" t="str">
        <f>'Sheet2-PASTE HERE!'!K43</f>
        <v>Clean tank complete</v>
      </c>
      <c r="E33" s="13">
        <f>'Sheet2-PASTE HERE!'!F43</f>
        <v>8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.QC8</v>
      </c>
      <c r="D34" s="22" t="str">
        <f>'Sheet2-PASTE HERE!'!K44</f>
        <v>QC Inspection - Clean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.QC9</v>
      </c>
      <c r="D35" s="22" t="str">
        <f>'Sheet2-PASTE HERE!'!K45</f>
        <v>QC Inspection - Sandblast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.QC90</v>
      </c>
      <c r="D36" s="22" t="str">
        <f>'Sheet2-PASTE HERE!'!K46</f>
        <v>QC Inspection - Paint</v>
      </c>
      <c r="E36" s="13">
        <f>'Sheet2-PASTE HERE!'!F46</f>
        <v>0</v>
      </c>
      <c r="F36" s="12"/>
      <c r="G36" s="12"/>
      <c r="H36" s="12"/>
      <c r="K36">
        <f t="shared" si="0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.QC95</v>
      </c>
      <c r="D37" s="22" t="str">
        <f>'Sheet2-PASTE HERE!'!K47</f>
        <v>QC Inspection - Final &amp; Loose Items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SHIPPING</v>
      </c>
      <c r="B38" s="11"/>
      <c r="C38" s="17" t="str">
        <f>'Sheet2-PASTE HERE!'!I48</f>
        <v>.960</v>
      </c>
      <c r="D38" s="22" t="str">
        <f>'Sheet2-PASTE HERE!'!K48</f>
        <v>Load on truck</v>
      </c>
      <c r="E38" s="13">
        <f>'Sheet2-PASTE HERE!'!F48</f>
        <v>1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 t="str">
        <f>'Sheet2-PASTE HERE!'!F50</f>
        <v/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127</v>
      </c>
      <c r="C1" s="8" t="s">
        <v>17</v>
      </c>
      <c r="D1" s="8" t="s">
        <v>128</v>
      </c>
      <c r="E1" s="8" t="s">
        <v>18</v>
      </c>
      <c r="F1" s="8" t="s">
        <v>129</v>
      </c>
      <c r="G1" s="8" t="s">
        <v>127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45810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120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53851</v>
      </c>
      <c r="C15" s="19">
        <v>0</v>
      </c>
      <c r="D15" s="8" t="s">
        <v>71</v>
      </c>
      <c r="E15" s="20">
        <v>0</v>
      </c>
      <c r="F15" s="20">
        <v>0</v>
      </c>
      <c r="G15" s="8" t="s">
        <v>54</v>
      </c>
      <c r="H15" s="20">
        <v>0</v>
      </c>
      <c r="I15" s="8" t="s">
        <v>72</v>
      </c>
      <c r="J15" s="19">
        <v>0</v>
      </c>
      <c r="K15" s="8" t="s">
        <v>71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53852</v>
      </c>
      <c r="C16" s="19">
        <v>0</v>
      </c>
      <c r="D16" s="8" t="s">
        <v>73</v>
      </c>
      <c r="E16" s="20">
        <v>0</v>
      </c>
      <c r="F16" s="20">
        <v>0</v>
      </c>
      <c r="G16" s="8" t="s">
        <v>54</v>
      </c>
      <c r="H16" s="20">
        <v>0</v>
      </c>
      <c r="I16" s="8" t="s">
        <v>74</v>
      </c>
      <c r="J16" s="19">
        <v>0</v>
      </c>
      <c r="K16" s="8" t="s">
        <v>75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53853</v>
      </c>
      <c r="C17" s="19">
        <v>0</v>
      </c>
      <c r="D17" s="8" t="s">
        <v>57</v>
      </c>
      <c r="E17" s="20">
        <v>0</v>
      </c>
      <c r="F17" s="20">
        <v>1</v>
      </c>
      <c r="G17" s="8" t="s">
        <v>54</v>
      </c>
      <c r="H17" s="20">
        <v>1</v>
      </c>
      <c r="I17" s="8" t="s">
        <v>58</v>
      </c>
      <c r="J17" s="19">
        <v>0</v>
      </c>
      <c r="K17" s="8" t="s">
        <v>130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53854</v>
      </c>
      <c r="C18" s="19">
        <v>0</v>
      </c>
      <c r="D18" s="8" t="s">
        <v>131</v>
      </c>
      <c r="E18" s="20">
        <v>0</v>
      </c>
      <c r="F18" s="20">
        <v>2</v>
      </c>
      <c r="G18" s="8" t="s">
        <v>54</v>
      </c>
      <c r="H18" s="20">
        <v>2</v>
      </c>
      <c r="I18" s="8" t="s">
        <v>132</v>
      </c>
      <c r="J18" s="19">
        <v>0</v>
      </c>
      <c r="K18" s="8" t="s">
        <v>133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53855</v>
      </c>
      <c r="C19" s="19">
        <v>0</v>
      </c>
      <c r="D19" s="8" t="s">
        <v>117</v>
      </c>
      <c r="E19" s="20">
        <v>0</v>
      </c>
      <c r="F19" s="20">
        <v>8</v>
      </c>
      <c r="G19" s="8" t="s">
        <v>54</v>
      </c>
      <c r="H19" s="20">
        <v>8</v>
      </c>
      <c r="I19" s="8" t="s">
        <v>59</v>
      </c>
      <c r="J19" s="19">
        <v>0</v>
      </c>
      <c r="K19" s="8" t="s">
        <v>76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53856</v>
      </c>
      <c r="C20" s="19">
        <v>0</v>
      </c>
      <c r="D20" s="8" t="s">
        <v>118</v>
      </c>
      <c r="E20" s="20">
        <v>0</v>
      </c>
      <c r="F20" s="20">
        <v>4</v>
      </c>
      <c r="G20" s="8" t="s">
        <v>54</v>
      </c>
      <c r="H20" s="20">
        <v>4</v>
      </c>
      <c r="I20" s="8" t="s">
        <v>119</v>
      </c>
      <c r="J20" s="19">
        <v>0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53857</v>
      </c>
      <c r="C21" s="19">
        <v>0</v>
      </c>
      <c r="D21" s="8" t="s">
        <v>115</v>
      </c>
      <c r="E21" s="20">
        <v>0</v>
      </c>
      <c r="F21" s="20">
        <v>12</v>
      </c>
      <c r="G21" s="8" t="s">
        <v>54</v>
      </c>
      <c r="H21" s="20">
        <v>12</v>
      </c>
      <c r="I21" s="8" t="s">
        <v>116</v>
      </c>
      <c r="J21" s="19">
        <v>0</v>
      </c>
      <c r="K21" s="8" t="s">
        <v>134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53858</v>
      </c>
      <c r="C22" s="19">
        <v>0</v>
      </c>
      <c r="D22" s="8" t="s">
        <v>120</v>
      </c>
      <c r="E22" s="20">
        <v>0</v>
      </c>
      <c r="F22" s="20">
        <v>16</v>
      </c>
      <c r="G22" s="8" t="s">
        <v>54</v>
      </c>
      <c r="H22" s="20">
        <v>16</v>
      </c>
      <c r="I22" s="8" t="s">
        <v>121</v>
      </c>
      <c r="J22" s="19">
        <v>0</v>
      </c>
      <c r="K22" s="8" t="s">
        <v>135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53</v>
      </c>
      <c r="B23" s="18">
        <v>53859</v>
      </c>
      <c r="C23" s="19">
        <v>0</v>
      </c>
      <c r="D23" s="8" t="s">
        <v>77</v>
      </c>
      <c r="E23" s="20">
        <v>0</v>
      </c>
      <c r="F23" s="20">
        <v>0</v>
      </c>
      <c r="G23" s="8" t="s">
        <v>54</v>
      </c>
      <c r="H23" s="20">
        <v>0</v>
      </c>
      <c r="I23" s="8" t="s">
        <v>78</v>
      </c>
      <c r="J23" s="19">
        <v>0</v>
      </c>
      <c r="K23" s="8" t="s">
        <v>77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53860</v>
      </c>
      <c r="C24" s="19">
        <v>0</v>
      </c>
      <c r="D24" s="8" t="s">
        <v>79</v>
      </c>
      <c r="E24" s="20">
        <v>0</v>
      </c>
      <c r="F24" s="20">
        <v>6</v>
      </c>
      <c r="G24" s="8" t="s">
        <v>54</v>
      </c>
      <c r="H24" s="20">
        <v>6</v>
      </c>
      <c r="I24" s="8" t="s">
        <v>80</v>
      </c>
      <c r="J24" s="19">
        <v>0</v>
      </c>
      <c r="K24" s="8" t="s">
        <v>136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53861</v>
      </c>
      <c r="C25" s="19">
        <v>0</v>
      </c>
      <c r="D25" s="8" t="s">
        <v>81</v>
      </c>
      <c r="E25" s="20">
        <v>0</v>
      </c>
      <c r="F25" s="20">
        <v>12</v>
      </c>
      <c r="G25" s="8" t="s">
        <v>54</v>
      </c>
      <c r="H25" s="20">
        <v>12</v>
      </c>
      <c r="I25" s="8" t="s">
        <v>82</v>
      </c>
      <c r="J25" s="19">
        <v>0</v>
      </c>
      <c r="K25" s="8" t="s">
        <v>137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53</v>
      </c>
      <c r="B26" s="18">
        <v>53862</v>
      </c>
      <c r="C26" s="19">
        <v>0</v>
      </c>
      <c r="D26" s="8" t="s">
        <v>138</v>
      </c>
      <c r="E26" s="20">
        <v>0</v>
      </c>
      <c r="F26" s="20">
        <v>0</v>
      </c>
      <c r="G26" s="8" t="s">
        <v>54</v>
      </c>
      <c r="H26" s="20">
        <v>0</v>
      </c>
      <c r="I26" s="8" t="s">
        <v>139</v>
      </c>
      <c r="J26" s="19">
        <v>0</v>
      </c>
      <c r="K26" s="8" t="s">
        <v>138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70</v>
      </c>
      <c r="B27" s="18">
        <v>53863</v>
      </c>
      <c r="C27" s="19">
        <v>0</v>
      </c>
      <c r="D27" s="8" t="s">
        <v>83</v>
      </c>
      <c r="E27" s="20">
        <v>0</v>
      </c>
      <c r="F27" s="20">
        <v>6</v>
      </c>
      <c r="G27" s="8" t="s">
        <v>54</v>
      </c>
      <c r="H27" s="20">
        <v>6</v>
      </c>
      <c r="I27" s="8" t="s">
        <v>84</v>
      </c>
      <c r="J27" s="19">
        <v>0</v>
      </c>
      <c r="K27" s="8" t="s">
        <v>122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70</v>
      </c>
      <c r="B28" s="18">
        <v>53864</v>
      </c>
      <c r="C28" s="19">
        <v>0</v>
      </c>
      <c r="D28" s="8" t="s">
        <v>85</v>
      </c>
      <c r="E28" s="20">
        <v>0</v>
      </c>
      <c r="F28" s="20">
        <v>3</v>
      </c>
      <c r="G28" s="8" t="s">
        <v>54</v>
      </c>
      <c r="H28" s="20">
        <v>3</v>
      </c>
      <c r="I28" s="8" t="s">
        <v>86</v>
      </c>
      <c r="J28" s="19">
        <v>0</v>
      </c>
      <c r="K28" s="8" t="s">
        <v>123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70</v>
      </c>
      <c r="B29" s="18">
        <v>53865</v>
      </c>
      <c r="C29" s="19">
        <v>0</v>
      </c>
      <c r="D29" s="8" t="s">
        <v>87</v>
      </c>
      <c r="E29" s="20">
        <v>0</v>
      </c>
      <c r="F29" s="20">
        <v>1</v>
      </c>
      <c r="G29" s="8" t="s">
        <v>54</v>
      </c>
      <c r="H29" s="20">
        <v>1</v>
      </c>
      <c r="I29" s="8" t="s">
        <v>88</v>
      </c>
      <c r="J29" s="19">
        <v>0</v>
      </c>
      <c r="K29" s="8" t="s">
        <v>140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53</v>
      </c>
      <c r="B30" s="18">
        <v>53866</v>
      </c>
      <c r="C30" s="19">
        <v>0</v>
      </c>
      <c r="D30" s="8" t="s">
        <v>89</v>
      </c>
      <c r="E30" s="20">
        <v>0</v>
      </c>
      <c r="F30" s="20">
        <v>0</v>
      </c>
      <c r="G30" s="8" t="s">
        <v>54</v>
      </c>
      <c r="H30" s="20">
        <v>0</v>
      </c>
      <c r="I30" s="8" t="s">
        <v>90</v>
      </c>
      <c r="J30" s="19">
        <v>0</v>
      </c>
      <c r="K30" s="8" t="s">
        <v>89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70</v>
      </c>
      <c r="B31" s="18">
        <v>53867</v>
      </c>
      <c r="C31" s="19">
        <v>0</v>
      </c>
      <c r="D31" s="8" t="s">
        <v>124</v>
      </c>
      <c r="E31" s="20">
        <v>0</v>
      </c>
      <c r="F31" s="20">
        <v>3</v>
      </c>
      <c r="G31" s="8" t="s">
        <v>54</v>
      </c>
      <c r="H31" s="20">
        <v>3</v>
      </c>
      <c r="I31" s="8" t="s">
        <v>125</v>
      </c>
      <c r="J31" s="19">
        <v>0</v>
      </c>
      <c r="K31" s="8" t="s">
        <v>126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70</v>
      </c>
      <c r="B32" s="18">
        <v>53868</v>
      </c>
      <c r="C32" s="19">
        <v>0</v>
      </c>
      <c r="D32" s="8" t="s">
        <v>92</v>
      </c>
      <c r="E32" s="20">
        <v>0</v>
      </c>
      <c r="F32" s="20">
        <v>12</v>
      </c>
      <c r="G32" s="8" t="s">
        <v>54</v>
      </c>
      <c r="H32" s="20">
        <v>12</v>
      </c>
      <c r="I32" s="8" t="s">
        <v>93</v>
      </c>
      <c r="J32" s="19">
        <v>0</v>
      </c>
      <c r="K32" s="8" t="s">
        <v>141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70</v>
      </c>
      <c r="B33" s="18">
        <v>53869</v>
      </c>
      <c r="C33" s="19">
        <v>0</v>
      </c>
      <c r="D33" s="8" t="s">
        <v>94</v>
      </c>
      <c r="E33" s="20">
        <v>0</v>
      </c>
      <c r="F33" s="20">
        <v>18</v>
      </c>
      <c r="G33" s="8" t="s">
        <v>54</v>
      </c>
      <c r="H33" s="20">
        <v>18</v>
      </c>
      <c r="I33" s="8" t="s">
        <v>95</v>
      </c>
      <c r="J33" s="19">
        <v>0</v>
      </c>
      <c r="K33" s="8" t="s">
        <v>142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53</v>
      </c>
      <c r="B34" s="18">
        <v>53870</v>
      </c>
      <c r="C34" s="19">
        <v>0</v>
      </c>
      <c r="D34" s="8" t="s">
        <v>143</v>
      </c>
      <c r="E34" s="20">
        <v>0</v>
      </c>
      <c r="F34" s="20">
        <v>0</v>
      </c>
      <c r="G34" s="8" t="s">
        <v>54</v>
      </c>
      <c r="H34" s="20">
        <v>0</v>
      </c>
      <c r="I34" s="8" t="s">
        <v>144</v>
      </c>
      <c r="J34" s="19">
        <v>0</v>
      </c>
      <c r="K34" s="8" t="s">
        <v>143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60</v>
      </c>
      <c r="B35" s="18">
        <v>53871</v>
      </c>
      <c r="C35" s="19">
        <v>0</v>
      </c>
      <c r="D35" s="8" t="s">
        <v>96</v>
      </c>
      <c r="E35" s="20">
        <v>0</v>
      </c>
      <c r="F35" s="20">
        <v>1</v>
      </c>
      <c r="G35" s="8" t="s">
        <v>54</v>
      </c>
      <c r="H35" s="20">
        <v>1</v>
      </c>
      <c r="I35" s="8" t="s">
        <v>97</v>
      </c>
      <c r="J35" s="19">
        <v>0</v>
      </c>
      <c r="K35" s="8" t="s">
        <v>98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53</v>
      </c>
      <c r="B36" s="18">
        <v>53872</v>
      </c>
      <c r="C36" s="19">
        <v>0</v>
      </c>
      <c r="D36" s="8" t="s">
        <v>99</v>
      </c>
      <c r="E36" s="20">
        <v>0</v>
      </c>
      <c r="F36" s="20">
        <v>0</v>
      </c>
      <c r="G36" s="8" t="s">
        <v>54</v>
      </c>
      <c r="H36" s="20">
        <v>0</v>
      </c>
      <c r="I36" s="8" t="s">
        <v>100</v>
      </c>
      <c r="J36" s="19">
        <v>0</v>
      </c>
      <c r="K36" s="8" t="s">
        <v>101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53873</v>
      </c>
      <c r="C37" s="19">
        <v>0</v>
      </c>
      <c r="D37" s="8" t="s">
        <v>145</v>
      </c>
      <c r="E37" s="20">
        <v>0</v>
      </c>
      <c r="F37" s="20">
        <v>0</v>
      </c>
      <c r="G37" s="8" t="s">
        <v>54</v>
      </c>
      <c r="H37" s="20">
        <v>0</v>
      </c>
      <c r="I37" s="8" t="s">
        <v>146</v>
      </c>
      <c r="J37" s="19">
        <v>0</v>
      </c>
      <c r="K37" s="8" t="s">
        <v>145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53</v>
      </c>
      <c r="B38" s="18">
        <v>53874</v>
      </c>
      <c r="C38" s="19">
        <v>0</v>
      </c>
      <c r="D38" s="8" t="s">
        <v>147</v>
      </c>
      <c r="E38" s="20">
        <v>0</v>
      </c>
      <c r="F38" s="20">
        <v>0</v>
      </c>
      <c r="G38" s="8" t="s">
        <v>54</v>
      </c>
      <c r="H38" s="20">
        <v>0</v>
      </c>
      <c r="I38" s="8" t="s">
        <v>148</v>
      </c>
      <c r="J38" s="19">
        <v>0</v>
      </c>
      <c r="K38" s="8" t="s">
        <v>147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91</v>
      </c>
      <c r="B39" s="18">
        <v>53875</v>
      </c>
      <c r="C39" s="19">
        <v>0</v>
      </c>
      <c r="D39" s="8" t="s">
        <v>102</v>
      </c>
      <c r="E39" s="20">
        <v>0</v>
      </c>
      <c r="F39" s="20">
        <v>2</v>
      </c>
      <c r="G39" s="8" t="s">
        <v>54</v>
      </c>
      <c r="H39" s="20">
        <v>2</v>
      </c>
      <c r="I39" s="8" t="s">
        <v>103</v>
      </c>
      <c r="J39" s="19">
        <v>0</v>
      </c>
      <c r="K39" s="8" t="s">
        <v>104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60</v>
      </c>
      <c r="B40" s="18">
        <v>53876</v>
      </c>
      <c r="C40" s="19">
        <v>0</v>
      </c>
      <c r="D40" s="8" t="s">
        <v>105</v>
      </c>
      <c r="E40" s="20">
        <v>0</v>
      </c>
      <c r="F40" s="20">
        <v>4</v>
      </c>
      <c r="G40" s="8" t="s">
        <v>54</v>
      </c>
      <c r="H40" s="20">
        <v>4</v>
      </c>
      <c r="I40" s="8" t="s">
        <v>106</v>
      </c>
      <c r="J40" s="19">
        <v>0</v>
      </c>
      <c r="K40" s="8" t="s">
        <v>107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53</v>
      </c>
      <c r="B41" s="18">
        <v>53877</v>
      </c>
      <c r="C41" s="19">
        <v>0</v>
      </c>
      <c r="D41" s="8" t="s">
        <v>108</v>
      </c>
      <c r="E41" s="20">
        <v>0</v>
      </c>
      <c r="F41" s="20">
        <v>0</v>
      </c>
      <c r="G41" s="8" t="s">
        <v>54</v>
      </c>
      <c r="H41" s="20">
        <v>0</v>
      </c>
      <c r="I41" s="8" t="s">
        <v>109</v>
      </c>
      <c r="J41" s="19">
        <v>0</v>
      </c>
      <c r="K41" s="8" t="s">
        <v>108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53878</v>
      </c>
      <c r="C42" s="19">
        <v>0</v>
      </c>
      <c r="D42" s="8" t="s">
        <v>149</v>
      </c>
      <c r="E42" s="20">
        <v>0</v>
      </c>
      <c r="F42" s="20">
        <v>0</v>
      </c>
      <c r="G42" s="8" t="s">
        <v>54</v>
      </c>
      <c r="H42" s="20">
        <v>0</v>
      </c>
      <c r="I42" s="8" t="s">
        <v>150</v>
      </c>
      <c r="J42" s="19">
        <v>0</v>
      </c>
      <c r="K42" s="8" t="s">
        <v>149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60</v>
      </c>
      <c r="B43" s="18">
        <v>53879</v>
      </c>
      <c r="C43" s="19">
        <v>0</v>
      </c>
      <c r="D43" s="8" t="s">
        <v>110</v>
      </c>
      <c r="E43" s="20">
        <v>0</v>
      </c>
      <c r="F43" s="20">
        <v>8</v>
      </c>
      <c r="G43" s="8" t="s">
        <v>54</v>
      </c>
      <c r="H43" s="20">
        <v>8</v>
      </c>
      <c r="I43" s="8" t="s">
        <v>111</v>
      </c>
      <c r="J43" s="19">
        <v>0</v>
      </c>
      <c r="K43" s="8" t="s">
        <v>112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53880</v>
      </c>
      <c r="C44" s="19">
        <v>0</v>
      </c>
      <c r="D44" s="8" t="s">
        <v>113</v>
      </c>
      <c r="E44" s="20">
        <v>0</v>
      </c>
      <c r="F44" s="20">
        <v>0</v>
      </c>
      <c r="G44" s="8" t="s">
        <v>54</v>
      </c>
      <c r="H44" s="20">
        <v>0</v>
      </c>
      <c r="I44" s="8" t="s">
        <v>114</v>
      </c>
      <c r="J44" s="19">
        <v>0</v>
      </c>
      <c r="K44" s="8" t="s">
        <v>113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53881</v>
      </c>
      <c r="C45" s="19">
        <v>0</v>
      </c>
      <c r="D45" s="8" t="s">
        <v>151</v>
      </c>
      <c r="E45" s="20">
        <v>0</v>
      </c>
      <c r="F45" s="20">
        <v>0</v>
      </c>
      <c r="G45" s="8" t="s">
        <v>54</v>
      </c>
      <c r="H45" s="20">
        <v>0</v>
      </c>
      <c r="I45" s="8" t="s">
        <v>152</v>
      </c>
      <c r="J45" s="19">
        <v>0</v>
      </c>
      <c r="K45" s="8" t="s">
        <v>151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53</v>
      </c>
      <c r="B46" s="18">
        <v>53882</v>
      </c>
      <c r="C46" s="19">
        <v>0</v>
      </c>
      <c r="D46" s="8" t="s">
        <v>153</v>
      </c>
      <c r="E46" s="20">
        <v>0</v>
      </c>
      <c r="F46" s="20">
        <v>0</v>
      </c>
      <c r="G46" s="8" t="s">
        <v>54</v>
      </c>
      <c r="H46" s="20">
        <v>0</v>
      </c>
      <c r="I46" s="8" t="s">
        <v>154</v>
      </c>
      <c r="J46" s="19">
        <v>0</v>
      </c>
      <c r="K46" s="8" t="s">
        <v>153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53883</v>
      </c>
      <c r="C47" s="19">
        <v>0</v>
      </c>
      <c r="D47" s="8" t="s">
        <v>61</v>
      </c>
      <c r="E47" s="20">
        <v>0</v>
      </c>
      <c r="F47" s="20">
        <v>0</v>
      </c>
      <c r="G47" s="8" t="s">
        <v>54</v>
      </c>
      <c r="H47" s="20">
        <v>0</v>
      </c>
      <c r="I47" s="8" t="s">
        <v>62</v>
      </c>
      <c r="J47" s="19">
        <v>0</v>
      </c>
      <c r="K47" s="8" t="s">
        <v>63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64</v>
      </c>
      <c r="B48" s="18">
        <v>53884</v>
      </c>
      <c r="C48" s="19">
        <v>0</v>
      </c>
      <c r="D48" s="8" t="s">
        <v>65</v>
      </c>
      <c r="E48" s="20">
        <v>0</v>
      </c>
      <c r="F48" s="20">
        <v>1</v>
      </c>
      <c r="G48" s="8" t="s">
        <v>54</v>
      </c>
      <c r="H48" s="20">
        <v>1</v>
      </c>
      <c r="I48" s="8" t="s">
        <v>66</v>
      </c>
      <c r="J48" s="19">
        <v>0</v>
      </c>
      <c r="K48" s="8" t="s">
        <v>67</v>
      </c>
      <c r="L48" s="8" t="s">
        <v>55</v>
      </c>
      <c r="M48" s="8" t="s">
        <v>55</v>
      </c>
      <c r="N48" s="8" t="s">
        <v>55</v>
      </c>
    </row>
    <row r="49" spans="2:10" ht="12.75" customHeight="1" x14ac:dyDescent="0.2"/>
    <row r="50" spans="2:10" ht="12.75" customHeight="1" x14ac:dyDescent="0.2">
      <c r="B50" s="8" t="s">
        <v>16</v>
      </c>
      <c r="C50" s="8" t="s">
        <v>127</v>
      </c>
      <c r="E50" s="8" t="s">
        <v>19</v>
      </c>
      <c r="F50" s="8" t="s">
        <v>19</v>
      </c>
      <c r="G50" s="8" t="s">
        <v>21</v>
      </c>
      <c r="H50" s="8" t="s">
        <v>19</v>
      </c>
      <c r="J50" s="8" t="s">
        <v>19</v>
      </c>
    </row>
    <row r="51" spans="2:10" ht="12.75" customHeight="1" x14ac:dyDescent="0.2"/>
    <row r="52" spans="2:10" ht="12.75" customHeight="1" x14ac:dyDescent="0.2"/>
    <row r="53" spans="2:10" ht="12.75" customHeight="1" x14ac:dyDescent="0.2"/>
    <row r="54" spans="2:10" ht="12.75" customHeight="1" x14ac:dyDescent="0.2"/>
    <row r="55" spans="2:10" ht="12.75" customHeight="1" x14ac:dyDescent="0.2"/>
    <row r="56" spans="2:10" ht="12.75" customHeight="1" x14ac:dyDescent="0.2"/>
    <row r="57" spans="2:10" ht="12.75" customHeight="1" x14ac:dyDescent="0.2"/>
    <row r="58" spans="2:10" ht="12.75" customHeight="1" x14ac:dyDescent="0.2"/>
    <row r="59" spans="2:10" ht="12.75" customHeight="1" x14ac:dyDescent="0.2"/>
    <row r="60" spans="2:10" ht="12.75" customHeight="1" x14ac:dyDescent="0.2"/>
    <row r="61" spans="2:10" ht="12.75" customHeight="1" x14ac:dyDescent="0.2"/>
    <row r="62" spans="2:10" ht="12.75" customHeight="1" x14ac:dyDescent="0.2"/>
    <row r="63" spans="2:10" ht="12.75" customHeight="1" x14ac:dyDescent="0.2"/>
    <row r="64" spans="2:10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053-25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N1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1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053-25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.107</v>
      </c>
      <c r="C8" s="40" t="str">
        <f>'Build Plan w Hours'!D8</f>
        <v>Build Repads for Nozzles, drill and tap holes_x000D_
N1 &amp; OUTLET ELBOW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2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053-25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.155</v>
      </c>
      <c r="C14" s="40" t="str">
        <f>'Build Plan w Hours'!D9</f>
        <v>Burn and clean parts:  lugs, supports, repads, base ring, etc. (CHECK!)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8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053-25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.156</v>
      </c>
      <c r="C20" s="40">
        <f>'Build Plan w Hours'!D10</f>
        <v>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4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053-25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.252</v>
      </c>
      <c r="C26" s="40" t="str">
        <f>'Build Plan w Hours'!D11</f>
        <v>Fabricate miscellaneous parts_x000D_
PINCH AND ROLL ELBOW SECTIONS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12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053-25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.261</v>
      </c>
      <c r="C32" s="40" t="str">
        <f>'Build Plan w Hours'!D12</f>
        <v>Miscellaneous Fabrication - Braces, Mounting Plates, Cone Outlet Necks_x000D_
FIT AND WELD ELBOW SECTIONS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16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053-25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.QC3</v>
      </c>
      <c r="C38" s="40" t="str">
        <f>'Build Plan w Hours'!D13</f>
        <v>UT Shells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0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053-25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.305</v>
      </c>
      <c r="C44" s="40" t="str">
        <f>'Build Plan w Hours'!D14</f>
        <v>Shells: bring in plate, square, trim and clean_x000D_
(3) SINGLE SHELL SECTIONS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6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053-25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.315</v>
      </c>
      <c r="C50" s="40" t="str">
        <f>'Build Plan w Hours'!D15</f>
        <v>Roll shells, tack and weld inside seams_x000D_
(3) SINGLE SHELL SECTIONS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12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053-25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.OI1</v>
      </c>
      <c r="C56" s="40" t="str">
        <f>'Build Plan w Hours'!D16</f>
        <v>ASME Hold Point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053-25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.605</v>
      </c>
      <c r="C62" s="40" t="str">
        <f>'Build Plan w Hours'!D17</f>
        <v>Tack shell courses together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6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053-25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.610</v>
      </c>
      <c r="C68" s="40" t="str">
        <f>'Build Plan w Hours'!D18</f>
        <v>Weld inside round seams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3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053-25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.620</v>
      </c>
      <c r="C74" s="40" t="str">
        <f>'Build Plan w Hours'!D19</f>
        <v>Lay out shell, burn and clean holes_x000D_
FOR N1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1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053-25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.QC5</v>
      </c>
      <c r="C80" s="40" t="str">
        <f>'Build Plan w Hours'!D20</f>
        <v>QC Inspection - Internal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0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053-25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.645</v>
      </c>
      <c r="C86" s="40" t="str">
        <f>'Build Plan w Hours'!D21</f>
        <v>Weld all outside seams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3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053-25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.725</v>
      </c>
      <c r="C92" s="40" t="str">
        <f>'Build Plan w Hours'!D22</f>
        <v>Set nozzles in shell - tack_x000D_
INCLUDING ALL 3O" FLANGES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12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053-25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.726</v>
      </c>
      <c r="C98" s="40" t="str">
        <f>'Build Plan w Hours'!D23</f>
        <v>Weld shell nozzles, manways, etc._x000D_
INCLUDING ALL 30" FLANGES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18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053-25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.QC51</v>
      </c>
      <c r="C104" s="40" t="str">
        <f>'Build Plan w Hours'!D24</f>
        <v>UT Components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0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053-25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.765</v>
      </c>
      <c r="C110" s="40" t="str">
        <f>'Build Plan w Hours'!D25</f>
        <v>Install name tag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053-25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.QC6</v>
      </c>
      <c r="C116" s="40" t="str">
        <f>'Build Plan w Hours'!D26</f>
        <v>QC Inspection - Fabrication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0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053-25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.OI4</v>
      </c>
      <c r="C122" s="40" t="str">
        <f>'Build Plan w Hours'!D27</f>
        <v>Customer Inspection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053-25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.OI2</v>
      </c>
      <c r="C128" s="40" t="str">
        <f>'Build Plan w Hours'!D28</f>
        <v>ASME Inspection Internal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053-25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.801</v>
      </c>
      <c r="C134" s="40" t="str">
        <f>'Build Plan w Hours'!D29</f>
        <v>Move to shop test area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2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053-25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.910</v>
      </c>
      <c r="C140" s="40" t="str">
        <f>'Build Plan w Hours'!D30</f>
        <v>Test tank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4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053-25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.QC7</v>
      </c>
      <c r="C146" s="40" t="str">
        <f>'Build Plan w Hours'!D31</f>
        <v>QC Inspection - Test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053-25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.OI3</v>
      </c>
      <c r="C152" s="40" t="str">
        <f>'Build Plan w Hours'!D32</f>
        <v>ASME Inspection Test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053-25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.920</v>
      </c>
      <c r="C158" s="40" t="str">
        <f>'Build Plan w Hours'!D33</f>
        <v>Clean tank complete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8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053-25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.QC8</v>
      </c>
      <c r="C164" s="40" t="str">
        <f>'Build Plan w Hours'!D34</f>
        <v>QC Inspection - Clean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053-25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.QC9</v>
      </c>
      <c r="C170" s="40" t="str">
        <f>'Build Plan w Hours'!D35</f>
        <v>QC Inspection - Sandblast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053-25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.QC90</v>
      </c>
      <c r="C176" s="40" t="str">
        <f>'Build Plan w Hours'!D36</f>
        <v>QC Inspection - Paint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053-25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.QC95</v>
      </c>
      <c r="C182" s="40" t="str">
        <f>'Build Plan w Hours'!D37</f>
        <v>QC Inspection - Final &amp; Loose Items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053-25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.960</v>
      </c>
      <c r="C188" s="40" t="str">
        <f>'Build Plan w Hours'!D38</f>
        <v>Load on truck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>
        <f>'Build Plan w Hours'!E38</f>
        <v>1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053-25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053-25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 t="str">
        <f>'Build Plan w Hours'!E40</f>
        <v/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053-25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053-25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053-25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053-25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053-25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053-25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053-25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053-25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053-25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053-25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053-25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053-25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053-25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053-25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053-25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053-25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053-25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053-25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053-25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053-25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053-25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053-25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053-25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053-25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053-25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053-25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053-25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053-25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053-25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053-25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053-25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053-25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053-25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053-25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053-25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053-25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053-25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053-25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053-25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053-25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053-25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053-25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053-25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053-25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053-25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053-25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053-25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N1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053-25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.107</v>
      </c>
      <c r="C8" s="40" t="str">
        <f>'Build Plan w Hours'!D8</f>
        <v>Build Repads for Nozzles, drill and tap holes_x000D_
N1 &amp; OUTLET ELBOW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053-25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.155</v>
      </c>
      <c r="C14" s="40" t="str">
        <f>'Build Plan w Hours'!D9</f>
        <v>Burn and clean parts:  lugs, supports, repads, base ring, etc. (CHECK!)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053-25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.156</v>
      </c>
      <c r="C20" s="40">
        <f>'Build Plan w Hours'!D10</f>
        <v>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053-25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.252</v>
      </c>
      <c r="C26" s="40" t="str">
        <f>'Build Plan w Hours'!D11</f>
        <v>Fabricate miscellaneous parts_x000D_
PINCH AND ROLL ELBOW SECTIONS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053-25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.261</v>
      </c>
      <c r="C32" s="40" t="str">
        <f>'Build Plan w Hours'!D12</f>
        <v>Miscellaneous Fabrication - Braces, Mounting Plates, Cone Outlet Necks_x000D_
FIT AND WELD ELBOW SECTIONS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053-25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.QC3</v>
      </c>
      <c r="C38" s="40" t="str">
        <f>'Build Plan w Hours'!D13</f>
        <v>UT Shells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053-25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.305</v>
      </c>
      <c r="C44" s="40" t="str">
        <f>'Build Plan w Hours'!D14</f>
        <v>Shells: bring in plate, square, trim and clean_x000D_
(3) SINGLE SHELL SECTIONS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053-25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.315</v>
      </c>
      <c r="C50" s="40" t="str">
        <f>'Build Plan w Hours'!D15</f>
        <v>Roll shells, tack and weld inside seams_x000D_
(3) SINGLE SHELL SECTIONS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053-25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.OI1</v>
      </c>
      <c r="C56" s="40" t="str">
        <f>'Build Plan w Hours'!D16</f>
        <v>ASME Hold Point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053-25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.605</v>
      </c>
      <c r="C62" s="40" t="str">
        <f>'Build Plan w Hours'!D17</f>
        <v>Tack shell courses together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053-25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.610</v>
      </c>
      <c r="C68" s="40" t="str">
        <f>'Build Plan w Hours'!D18</f>
        <v>Weld inside round seams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053-25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.620</v>
      </c>
      <c r="C74" s="40" t="str">
        <f>'Build Plan w Hours'!D19</f>
        <v>Lay out shell, burn and clean holes_x000D_
FOR N1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053-25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.QC5</v>
      </c>
      <c r="C80" s="40" t="str">
        <f>'Build Plan w Hours'!D20</f>
        <v>QC Inspection - Internal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053-25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.645</v>
      </c>
      <c r="C86" s="40" t="str">
        <f>'Build Plan w Hours'!D21</f>
        <v>Weld all outside seams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053-25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.725</v>
      </c>
      <c r="C92" s="40" t="str">
        <f>'Build Plan w Hours'!D22</f>
        <v>Set nozzles in shell - tack_x000D_
INCLUDING ALL 3O" FLANGES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053-25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.726</v>
      </c>
      <c r="C98" s="40" t="str">
        <f>'Build Plan w Hours'!D23</f>
        <v>Weld shell nozzles, manways, etc._x000D_
INCLUDING ALL 30" FLANGES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053-25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.QC51</v>
      </c>
      <c r="C104" s="40" t="str">
        <f>'Build Plan w Hours'!D24</f>
        <v>UT Components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053-25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.765</v>
      </c>
      <c r="C110" s="40" t="str">
        <f>'Build Plan w Hours'!D25</f>
        <v>Install name tag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053-25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.QC6</v>
      </c>
      <c r="C116" s="40" t="str">
        <f>'Build Plan w Hours'!D26</f>
        <v>QC Inspection - Fabrication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053-25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.OI4</v>
      </c>
      <c r="C122" s="40" t="str">
        <f>'Build Plan w Hours'!D27</f>
        <v>Customer Inspection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053-25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.OI2</v>
      </c>
      <c r="C128" s="40" t="str">
        <f>'Build Plan w Hours'!D28</f>
        <v>ASME Inspection Internal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053-25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.801</v>
      </c>
      <c r="C134" s="40" t="str">
        <f>'Build Plan w Hours'!D29</f>
        <v>Move to shop test area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053-25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.910</v>
      </c>
      <c r="C140" s="40" t="str">
        <f>'Build Plan w Hours'!D30</f>
        <v>Test tank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053-25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.QC7</v>
      </c>
      <c r="C146" s="40" t="str">
        <f>'Build Plan w Hours'!D31</f>
        <v>QC Inspection - Test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053-25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.OI3</v>
      </c>
      <c r="C152" s="40" t="str">
        <f>'Build Plan w Hours'!D32</f>
        <v>ASME Inspection Test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053-25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.920</v>
      </c>
      <c r="C158" s="40" t="str">
        <f>'Build Plan w Hours'!D33</f>
        <v>Clean tank complete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053-25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.QC8</v>
      </c>
      <c r="C164" s="40" t="str">
        <f>'Build Plan w Hours'!D34</f>
        <v>QC Inspection - Clean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053-25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.QC9</v>
      </c>
      <c r="C170" s="40" t="str">
        <f>'Build Plan w Hours'!D35</f>
        <v>QC Inspection - Sandblast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053-25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.QC90</v>
      </c>
      <c r="C176" s="40" t="str">
        <f>'Build Plan w Hours'!D36</f>
        <v>QC Inspection - Paint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053-25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.QC95</v>
      </c>
      <c r="C182" s="40" t="str">
        <f>'Build Plan w Hours'!D37</f>
        <v>QC Inspection - Final &amp; Loose Items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053-25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.960</v>
      </c>
      <c r="C188" s="40" t="str">
        <f>'Build Plan w Hours'!D38</f>
        <v>Load on truck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053-25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053-25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053-25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053-25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053-25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053-25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053-25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053-25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053-25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053-25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053-25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053-25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053-25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053-25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053-25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053-25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053-25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053-25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053-25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053-25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053-25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053-25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053-25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053-25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053-25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053-25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053-25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053-25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053-25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053-25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053-25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053-25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053-25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053-25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053-25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053-25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053-25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053-25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053-25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053-25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053-25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053-25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053-25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053-25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053-25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053-25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053-25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053-25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053-25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053-25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2025-08-25T20:10:54Z</cp:lastPrinted>
  <dcterms:created xsi:type="dcterms:W3CDTF">2016-06-28T20:53:17Z</dcterms:created>
  <dcterms:modified xsi:type="dcterms:W3CDTF">2025-08-25T20:11:30Z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