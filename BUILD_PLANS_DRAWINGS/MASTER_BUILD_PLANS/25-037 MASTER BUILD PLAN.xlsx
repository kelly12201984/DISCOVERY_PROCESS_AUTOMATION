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7-25 - Irving Tissue - Dry Strength Bulk Tank\"/>
    </mc:Choice>
  </mc:AlternateContent>
  <xr:revisionPtr revIDLastSave="0" documentId="13_ncr:1_{604986DF-2319-49FA-B959-6B180B74F4A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<sst xmlns="http://schemas.openxmlformats.org/spreadsheetml/2006/main" count="1886" uniqueCount="277">
  <si>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</si>
  <si>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</si>
  <si>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</si>
  <si>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</si>
  <si>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</si>
  <si>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</si>
  <si>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</si>
  <si>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</si>
  <si>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</si>
  <si>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</si>
  <si>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</si>
  <si>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</si>
  <si>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</si>
  <si>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</si>
  <si>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</si>
  <si>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</si>
  <si>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</si>
  <si>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</si>
  <si>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</si>
  <si>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</si>
  <si>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</si>
  <si>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</si>
  <si>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</si>
  <si>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</si>
  <si>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</si>
  <si>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</si>
  <si>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</si>
  <si>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</si>
  <si>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</si>
  <si>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</si>
  <si>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</si>
  <si>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</si>
  <si>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</si>
  <si>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</si>
  <si>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</si>
  <si>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</si>
  <si>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</si>
  <si>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</si>
  <si>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</si>
  <si>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</si>
  <si>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</si>
  <si>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</si>
  <si>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</si>
  <si>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</si>
  <si>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</si>
  <si>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</si>
  <si>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</si>
  <si>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</si>
  <si>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</si>
  <si>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</si>
  <si>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</si>
  <si>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</si>
  <si>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</si>
  <si>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</si>
  <si>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</si>
  <si>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</si>
  <si>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</si>
  <si>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</si>
  <si>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</si>
  <si>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</si>
  <si>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</si>
  <si>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</si>
  <si>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</si>
  <si>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</si>
  <si>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</si>
  <si>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</si>
  <si>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</si>
  <si>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</si>
  <si>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</si>
  <si>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</si>
  <si>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</si>
  <si>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</si>
  <si>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</si>
  <si>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</si>
  <si>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</si>
  <si>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</si>
  <si>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</si>
  <si>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</si>
  <si>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</si>
  <si>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</si>
  <si>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</si>
  <si>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</si>
  <si>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</si>
  <si>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</si>
  <si>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</si>
  <si>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</si>
  <si>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</si>
  <si>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</si>
  <si>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</si>
  <si>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</si>
  <si>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</si>
  <si>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</si>
  <si>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</si>
  <si>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</si>
  <si>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</si>
  <si>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</si>
  <si>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</si>
  <si>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</si>
  <si>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</si>
  <si>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</si>
  <si>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</si>
  <si>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</si>
  <si>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</si>
  <si>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</si>
  <si>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</si>
  <si>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</si>
  <si>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</si>
  <si>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</si>
  <si>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</si>
  <si>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</si>
  <si>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</si>
  <si>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</si>
  <si>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</si>
  <si>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</si>
  <si>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</si>
  <si>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</si>
  <si>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</si>
  <si>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</si>
  <si>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</si>
  <si>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</si>
  <si>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</si>
  <si>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</si>
  <si>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</si>
  <si>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</si>
  <si>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</si>
  <si>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</si>
  <si>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</si>
  <si>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</si>
  <si>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</si>
  <si>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</si>
  <si>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</si>
  <si>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</si>
  <si>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</si>
  <si>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</si>
  <si>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</si>
  <si>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</si>
  <si>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</si>
  <si>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</si>
  <si>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</si>
  <si>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</si>
  <si>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</si>
  <si>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</si>
  <si>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</si>
  <si>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</si>
  <si>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</si>
  <si>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</si>
  <si>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</si>
  <si>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</si>
  <si>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</si>
  <si>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</si>
  <si>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</si>
  <si>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</si>
  <si>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</si>
  <si>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</si>
  <si>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</si>
  <si>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</si>
  <si>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</si>
  <si>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</si>
  <si>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</si>
  <si>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</si>
  <si>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</si>
  <si>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</si>
  <si>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</si>
  <si>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</si>
  <si>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</si>
  <si>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</si>
  <si>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</si>
  <si>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</si>
  <si>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</si>
  <si>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</si>
  <si>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</si>
  <si>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</si>
  <si>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</si>
  <si>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</si>
  <si>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</si>
  <si>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</si>
  <si>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</si>
  <si>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</si>
  <si>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</si>
  <si>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</si>
  <si>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</si>
  <si>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</si>
  <si>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</si>
  <si>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</si>
  <si>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</si>
  <si>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</si>
  <si>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</si>
  <si>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Make lift lugs, ground lugs, etc._x000D_
AND TIE-OFF LUGS</t>
  </si>
  <si>
    <t>Fabricate miscellaneous parts_x000D_
CABLE SUPPORT; CLIP FOR N2</t>
  </si>
  <si>
    <t>Drill/Punch holes</t>
  </si>
  <si>
    <t>.255</t>
  </si>
  <si>
    <t>Drill/punch holes_x000D_
PARTS FOR HATCH N3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</si>
  <si>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</si>
  <si>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</si>
  <si>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</si>
  <si>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</si>
  <si>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</si>
  <si>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</si>
  <si>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</si>
  <si>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</si>
  <si>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</si>
  <si>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</si>
  <si>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</si>
  <si>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</si>
  <si>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</si>
  <si>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</si>
  <si>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</si>
  <si>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</si>
  <si>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</si>
  <si>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</si>
  <si>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</si>
  <si>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</si>
  <si>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</si>
  <si>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</si>
  <si>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</si>
  <si>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</si>
  <si>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</si>
  <si>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</si>
  <si>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</si>
  <si>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</si>
  <si>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</si>
  <si>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</si>
  <si>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Set  nozzles, lift lugs, etc. in top head - tack_x000D_
INCL CABLE SUPPORT</t>
  </si>
  <si>
    <t>Weld out top head nozzles, etc. _x000D_
INCL CABLE SUPPORT</t>
  </si>
  <si>
    <t>Install and weld out repads - top head_x000D_
FOR CABLE SUPPORT</t>
  </si>
  <si>
    <t>Build bottom head/cone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</si>
  <si>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</si>
  <si>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</si>
  <si>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</si>
  <si>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</si>
  <si>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</si>
  <si>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Lay out shell, burn and clean holes_x000D_
CUT HOLES ON BURN TABLE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</si>
  <si>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</si>
  <si>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</si>
  <si>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</si>
  <si>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</si>
  <si>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</si>
  <si>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</si>
  <si>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</si>
  <si>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</si>
  <si>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</si>
  <si>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</si>
  <si>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</si>
  <si>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</si>
  <si>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Install dip pipe supports_x000D_
N2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</si>
  <si>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</si>
  <si>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</si>
  <si>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</si>
  <si>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</si>
  <si>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</si>
  <si>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</si>
  <si>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</si>
  <si>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</si>
  <si>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</si>
  <si>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</si>
  <si>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</si>
  <si>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</si>
  <si>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</si>
  <si>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</si>
  <si>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</si>
  <si>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</si>
  <si>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</si>
  <si>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</si>
  <si>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DRY STRENGTH BULK TANK</t>
  </si>
  <si>
    <t>13.000</t>
  </si>
  <si>
    <t>Build nozzles and weld</t>
  </si>
  <si>
    <t>Build hatch/door_x000D_
BUILD N3 INCL RAILS &amp; CROSS BRACING</t>
  </si>
  <si>
    <t>Roll repads: drill and tap _x000D_
FOR CABLE SUPPORT &amp; SHELL REPAD</t>
  </si>
  <si>
    <t>Shells: bring in plate, square, trim and clean_x000D_
SET UP (2) DOUBLE SHELLS ***NOTE BOTTOM HEAD SLOPE***</t>
  </si>
  <si>
    <t>Roll shells, tack and weld inside seams_x000D_
ROLL (2) DOUBLE SHELLS  ***WELD LONG SEAMS W COBOT***</t>
  </si>
  <si>
    <t>Lay out top head, burn and clean holes_x000D_
CUT HOLES ON BURN TABLE</t>
  </si>
  <si>
    <t>Fit bottom head to shell_x000D_
AND WELD INSIDE &amp; OUTSIDE  ***NOTE BOTTOM SLOPE***</t>
  </si>
  <si>
    <t>Set nozzles in shell - tack_x000D_
INCL HANDLE AND HOOK</t>
  </si>
  <si>
    <t>Weld shell nozzles, manways, etc._x000D_
INCL HANDLE AND HOOK</t>
  </si>
  <si>
    <t>UT Components</t>
  </si>
  <si>
    <t>.QC51</t>
  </si>
  <si>
    <t>037-25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</si>
</sst>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DRY STRENGTH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.262</v>
      </c>
      <c r="D25" s="22" t="str">
        <f>'Sheet2-PASTE HERE!'!K35</f>
        <v>Cut/make parts for ladder: rungs, rails, etc.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.265</v>
      </c>
      <c r="D26" s="22" t="str">
        <f>'Sheet2-PASTE HERE!'!K36</f>
        <v>Form and roll ladder hoops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.270</v>
      </c>
      <c r="D27" s="22" t="str">
        <f>'Sheet2-PASTE HERE!'!K37</f>
        <v>Build ladder - weld out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.272</v>
      </c>
      <c r="D28" s="22" t="str">
        <f>'Sheet2-PASTE HERE!'!K38</f>
        <v>Cut/Build parts for handrail</v>
      </c>
      <c r="E28" s="13">
        <f>'Sheet2-PASTE HERE!'!F38</f>
        <v>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7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SET UP (2) DOUBLE SHELLS ***NOTE BOTTOM HEAD SLOPE***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(2) DOUBLE SHELLS  ***WELD LONG SEAMS W COBOT***</v>
      </c>
      <c r="E37" s="13">
        <f>'Sheet2-PASTE HERE!'!F47</f>
        <v>7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9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holes_x000D_
CUT HOLES ON BURN TABLE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tack_x000D_
INCL CABLE SUPPORT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 _x000D_
INCL CABLE SUPPORT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.370</v>
      </c>
      <c r="D43" s="22" t="str">
        <f>'Sheet2-PASTE HERE!'!K53</f>
        <v>Install and weld out repads - top head_x000D_
FOR CABLE SUPPORT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  ***NOTE BOTTOM SLOPE***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3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4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CUT HOLES ON BURN TABLE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.630</v>
      </c>
      <c r="D53" s="22" t="str">
        <f>'Sheet2-PASTE HERE!'!K63</f>
        <v>Install internals - wear plates, rings, clips, etc._x000D_
HANDLE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</v>
      </c>
      <c r="E55" s="13">
        <f>'Sheet2-PASTE HERE!'!F65</f>
        <v>6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7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AND TIE-OFF LUGS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</v>
      </c>
      <c r="E59" s="13">
        <f>'Sheet2-PASTE HERE!'!F69</f>
        <v>4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.721</v>
      </c>
      <c r="D60" s="22" t="str">
        <f>'Sheet2-PASTE HERE!'!K70</f>
        <v>Weld insulation / vacuum rings, lugs, supports, etc.</v>
      </c>
      <c r="E60" s="13">
        <f>'Sheet2-PASTE HERE!'!F70</f>
        <v>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tack_x000D_
INCL HANDLE AND HOOK</v>
      </c>
      <c r="E61" s="13">
        <f>'Sheet2-PASTE HERE!'!F71</f>
        <v>12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HANDLE AND HOOK</v>
      </c>
      <c r="E62" s="13">
        <f>'Sheet2-PASTE HERE!'!F72</f>
        <v>22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.735</v>
      </c>
      <c r="D63" s="22" t="str">
        <f>'Sheet2-PASTE HERE!'!K73</f>
        <v>Install dip pipe supports_x000D_
N2</v>
      </c>
      <c r="E63" s="13">
        <f>'Sheet2-PASTE HERE!'!F73</f>
        <v>1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.750</v>
      </c>
      <c r="D64" s="22" t="str">
        <f>'Sheet2-PASTE HERE!'!K74</f>
        <v>Fit handrail - install and weld clips</v>
      </c>
      <c r="E64" s="13">
        <f>'Sheet2-PASTE HERE!'!F74</f>
        <v>2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.755</v>
      </c>
      <c r="D65" s="22" t="str">
        <f>'Sheet2-PASTE HERE!'!K75</f>
        <v>Fit ladder - install and weld clips</v>
      </c>
      <c r="E65" s="13">
        <f>'Sheet2-PASTE HERE!'!F75</f>
        <v>10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.760</v>
      </c>
      <c r="D66" s="22" t="str">
        <f>'Sheet2-PASTE HERE!'!K76</f>
        <v>Fit platform - install and weld clips, bracing, etc.</v>
      </c>
      <c r="E66" s="13">
        <f>'Sheet2-PASTE HERE!'!F76</f>
        <v>10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.QC51</v>
      </c>
      <c r="D67" s="22" t="str">
        <f>'Sheet2-PASTE HERE!'!K77</f>
        <v>UT Components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.765</v>
      </c>
      <c r="D68" s="22" t="str">
        <f>'Sheet2-PASTE HERE!'!K78</f>
        <v>Install name tag</v>
      </c>
      <c r="E68" s="13">
        <f>'Sheet2-PASTE HERE!'!F78</f>
        <v>1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.900</v>
      </c>
      <c r="D69" s="22" t="str">
        <f>'Sheet2-PASTE HERE!'!K79</f>
        <v>Dye pen test</v>
      </c>
      <c r="E69" s="13">
        <f>'Sheet2-PASTE HERE!'!F79</f>
        <v>6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FIT</v>
      </c>
      <c r="B70" s="11"/>
      <c r="C70" s="17" t="str">
        <f>'Sheet2-PASTE HERE!'!I80</f>
        <v>.770</v>
      </c>
      <c r="D70" s="22" t="str">
        <f>'Sheet2-PASTE HERE!'!K80</f>
        <v>Inspect tank, make repairs, get QC inspector</v>
      </c>
      <c r="E70" s="13">
        <f>'Sheet2-PASTE HERE!'!F80</f>
        <v>1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.QC6</v>
      </c>
      <c r="D71" s="22" t="str">
        <f>'Sheet2-PASTE HERE!'!K81</f>
        <v>QC Inspection - Fabrication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MOVE TANK</v>
      </c>
      <c r="B72" s="11"/>
      <c r="C72" s="17" t="str">
        <f>'Sheet2-PASTE HERE!'!I82</f>
        <v>.801</v>
      </c>
      <c r="D72" s="22" t="str">
        <f>'Sheet2-PASTE HERE!'!K82</f>
        <v>Move to shop test area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.910</v>
      </c>
      <c r="D73" s="22" t="str">
        <f>'Sheet2-PASTE HERE!'!K83</f>
        <v>Test tank</v>
      </c>
      <c r="E73" s="13">
        <f>'Sheet2-PASTE HERE!'!F83</f>
        <v>10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.QC7</v>
      </c>
      <c r="D74" s="22" t="str">
        <f>'Sheet2-PASTE HERE!'!K84</f>
        <v>QC Inspection - Test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.920</v>
      </c>
      <c r="D75" s="22" t="str">
        <f>'Sheet2-PASTE HERE!'!K85</f>
        <v>Clean tank complete</v>
      </c>
      <c r="E75" s="13">
        <f>'Sheet2-PASTE HERE!'!F85</f>
        <v>35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.QC8</v>
      </c>
      <c r="D76" s="22" t="str">
        <f>'Sheet2-PASTE HERE!'!K86</f>
        <v>QC Inspection - Clean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.QC95</v>
      </c>
      <c r="D77" s="22" t="str">
        <f>'Sheet2-PASTE HERE!'!K87</f>
        <v>QC Inspection - Final &amp; Loose Items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.970</v>
      </c>
      <c r="D78" s="22" t="str">
        <f>'Sheet2-PASTE HERE!'!K88</f>
        <v>Take parts to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.972</v>
      </c>
      <c r="D79" s="22" t="str">
        <f>'Sheet2-PASTE HERE!'!K89</f>
        <v>Pick up parts from galvanizers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DRY STRENGTH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.262</v>
      </c>
      <c r="D25" s="22" t="str">
        <f>'Sheet2-PASTE HERE!'!K35</f>
        <v>Cut/make parts for ladder: rungs, rails, etc.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.265</v>
      </c>
      <c r="D26" s="22" t="str">
        <f>'Sheet2-PASTE HERE!'!K36</f>
        <v>Form and roll ladder hoops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.270</v>
      </c>
      <c r="D27" s="22" t="str">
        <f>'Sheet2-PASTE HERE!'!K37</f>
        <v>Build ladder - weld out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.272</v>
      </c>
      <c r="D28" s="22" t="str">
        <f>'Sheet2-PASTE HERE!'!K38</f>
        <v>Cut/Build parts for handrail</v>
      </c>
      <c r="E28" s="13">
        <f>'Sheet2-PASTE HERE!'!F38</f>
        <v>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7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SET UP (2) DOUBLE SHELLS ***NOTE BOTTOM HEAD SLOPE***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(2) DOUBLE SHELLS  ***WELD LONG SEAMS W COBOT***</v>
      </c>
      <c r="E37" s="13">
        <f>'Sheet2-PASTE HERE!'!F47</f>
        <v>7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9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holes_x000D_
CUT HOLES ON BURN TABLE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tack_x000D_
INCL CABLE SUPPORT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 _x000D_
INCL CABLE SUPPORT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.370</v>
      </c>
      <c r="D43" s="22" t="str">
        <f>'Sheet2-PASTE HERE!'!K53</f>
        <v>Install and weld out repads - top head_x000D_
FOR CABLE SUPPORT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  ***NOTE BOTTOM SLOPE***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3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4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CUT HOLES ON BURN TABLE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.630</v>
      </c>
      <c r="D53" s="22" t="str">
        <f>'Sheet2-PASTE HERE!'!K63</f>
        <v>Install internals - wear plates, rings, clips, etc._x000D_
HANDLE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</v>
      </c>
      <c r="E55" s="13">
        <f>'Sheet2-PASTE HERE!'!F65</f>
        <v>6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7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AND TIE-OFF LUGS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</v>
      </c>
      <c r="E59" s="13">
        <f>'Sheet2-PASTE HERE!'!F69</f>
        <v>4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.721</v>
      </c>
      <c r="D60" s="22" t="str">
        <f>'Sheet2-PASTE HERE!'!K70</f>
        <v>Weld insulation / vacuum rings, lugs, supports, etc.</v>
      </c>
      <c r="E60" s="13">
        <f>'Sheet2-PASTE HERE!'!F70</f>
        <v>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tack_x000D_
INCL HANDLE AND HOOK</v>
      </c>
      <c r="E61" s="13">
        <f>'Sheet2-PASTE HERE!'!F71</f>
        <v>12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HANDLE AND HOOK</v>
      </c>
      <c r="E62" s="13">
        <f>'Sheet2-PASTE HERE!'!F72</f>
        <v>22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.735</v>
      </c>
      <c r="D63" s="22" t="str">
        <f>'Sheet2-PASTE HERE!'!K73</f>
        <v>Install dip pipe supports_x000D_
N2</v>
      </c>
      <c r="E63" s="13">
        <f>'Sheet2-PASTE HERE!'!F73</f>
        <v>1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.750</v>
      </c>
      <c r="D64" s="22" t="str">
        <f>'Sheet2-PASTE HERE!'!K74</f>
        <v>Fit handrail - install and weld clips</v>
      </c>
      <c r="E64" s="13">
        <f>'Sheet2-PASTE HERE!'!F74</f>
        <v>2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.755</v>
      </c>
      <c r="D65" s="22" t="str">
        <f>'Sheet2-PASTE HERE!'!K75</f>
        <v>Fit ladder - install and weld clips</v>
      </c>
      <c r="E65" s="13">
        <f>'Sheet2-PASTE HERE!'!F75</f>
        <v>10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.760</v>
      </c>
      <c r="D66" s="22" t="str">
        <f>'Sheet2-PASTE HERE!'!K76</f>
        <v>Fit platform - install and weld clips, bracing, etc.</v>
      </c>
      <c r="E66" s="13">
        <f>'Sheet2-PASTE HERE!'!F76</f>
        <v>10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.QC51</v>
      </c>
      <c r="D67" s="22" t="str">
        <f>'Sheet2-PASTE HERE!'!K77</f>
        <v>UT Components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.765</v>
      </c>
      <c r="D68" s="22" t="str">
        <f>'Sheet2-PASTE HERE!'!K78</f>
        <v>Install name tag</v>
      </c>
      <c r="E68" s="13">
        <f>'Sheet2-PASTE HERE!'!F78</f>
        <v>1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.900</v>
      </c>
      <c r="D69" s="22" t="str">
        <f>'Sheet2-PASTE HERE!'!K79</f>
        <v>Dye pen test</v>
      </c>
      <c r="E69" s="13">
        <f>'Sheet2-PASTE HERE!'!F79</f>
        <v>6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FIT</v>
      </c>
      <c r="B70" s="11"/>
      <c r="C70" s="17" t="str">
        <f>'Sheet2-PASTE HERE!'!I80</f>
        <v>.770</v>
      </c>
      <c r="D70" s="22" t="str">
        <f>'Sheet2-PASTE HERE!'!K80</f>
        <v>Inspect tank, make repairs, get QC inspector</v>
      </c>
      <c r="E70" s="13">
        <f>'Sheet2-PASTE HERE!'!F80</f>
        <v>1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.QC6</v>
      </c>
      <c r="D71" s="22" t="str">
        <f>'Sheet2-PASTE HERE!'!K81</f>
        <v>QC Inspection - Fabrication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MOVE TANK</v>
      </c>
      <c r="B72" s="11"/>
      <c r="C72" s="17" t="str">
        <f>'Sheet2-PASTE HERE!'!I82</f>
        <v>.801</v>
      </c>
      <c r="D72" s="22" t="str">
        <f>'Sheet2-PASTE HERE!'!K82</f>
        <v>Move to shop test area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.910</v>
      </c>
      <c r="D73" s="22" t="str">
        <f>'Sheet2-PASTE HERE!'!K83</f>
        <v>Test tank</v>
      </c>
      <c r="E73" s="13">
        <f>'Sheet2-PASTE HERE!'!F83</f>
        <v>10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.QC7</v>
      </c>
      <c r="D74" s="22" t="str">
        <f>'Sheet2-PASTE HERE!'!K84</f>
        <v>QC Inspection - Test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.920</v>
      </c>
      <c r="D75" s="22" t="str">
        <f>'Sheet2-PASTE HERE!'!K85</f>
        <v>Clean tank complete</v>
      </c>
      <c r="E75" s="13">
        <f>'Sheet2-PASTE HERE!'!F85</f>
        <v>35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.QC8</v>
      </c>
      <c r="D76" s="22" t="str">
        <f>'Sheet2-PASTE HERE!'!K86</f>
        <v>QC Inspection - Clean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.QC95</v>
      </c>
      <c r="D77" s="22" t="str">
        <f>'Sheet2-PASTE HERE!'!K87</f>
        <v>QC Inspection - Final &amp; Loose Items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.970</v>
      </c>
      <c r="D78" s="22" t="str">
        <f>'Sheet2-PASTE HERE!'!K88</f>
        <v>Take parts to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.972</v>
      </c>
      <c r="D79" s="22" t="str">
        <f>'Sheet2-PASTE HERE!'!K89</f>
        <v>Pick up parts from galvanizers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263</v>
      </c>
      <c r="C1" s="8" t="s">
        <v>17</v>
      </c>
      <c r="D1" s="8" t="s">
        <v>179</v>
      </c>
      <c r="E1" s="8" t="s">
        <v>18</v>
      </c>
      <c r="F1" s="8" t="s">
        <v>180</v>
      </c>
      <c r="G1" s="8" t="s">
        <v>263</v>
      </c>
      <c r="H1" s="8" t="s">
        <v>20</v>
      </c>
      <c r="I1" s="8" t="s">
        <v>264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347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52148</v>
      </c>
      <c r="C17" s="19">
        <v>0</v>
      </c>
      <c r="D17" s="8" t="s">
        <v>72</v>
      </c>
      <c r="E17" s="20">
        <v>0</v>
      </c>
      <c r="F17" s="20">
        <v>0</v>
      </c>
      <c r="G17" s="8" t="s">
        <v>54</v>
      </c>
      <c r="H17" s="20">
        <v>0</v>
      </c>
      <c r="I17" s="8" t="s">
        <v>73</v>
      </c>
      <c r="J17" s="19">
        <v>0</v>
      </c>
      <c r="K17" s="8" t="s">
        <v>72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52149</v>
      </c>
      <c r="C18" s="19">
        <v>0</v>
      </c>
      <c r="D18" s="8" t="s">
        <v>74</v>
      </c>
      <c r="E18" s="20">
        <v>0</v>
      </c>
      <c r="F18" s="20">
        <v>0</v>
      </c>
      <c r="G18" s="8" t="s">
        <v>54</v>
      </c>
      <c r="H18" s="20">
        <v>0</v>
      </c>
      <c r="I18" s="8" t="s">
        <v>75</v>
      </c>
      <c r="J18" s="19">
        <v>0</v>
      </c>
      <c r="K18" s="8" t="s">
        <v>76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52150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77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52151</v>
      </c>
      <c r="C20" s="19">
        <v>0</v>
      </c>
      <c r="D20" s="8" t="s">
        <v>78</v>
      </c>
      <c r="E20" s="20">
        <v>0</v>
      </c>
      <c r="F20" s="20">
        <v>11</v>
      </c>
      <c r="G20" s="8" t="s">
        <v>54</v>
      </c>
      <c r="H20" s="20">
        <v>11</v>
      </c>
      <c r="I20" s="8" t="s">
        <v>79</v>
      </c>
      <c r="J20" s="19">
        <v>0</v>
      </c>
      <c r="K20" s="8" t="s">
        <v>265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52152</v>
      </c>
      <c r="C21" s="19">
        <v>0</v>
      </c>
      <c r="D21" s="8" t="s">
        <v>80</v>
      </c>
      <c r="E21" s="20">
        <v>0</v>
      </c>
      <c r="F21" s="20">
        <v>1</v>
      </c>
      <c r="G21" s="8" t="s">
        <v>54</v>
      </c>
      <c r="H21" s="20">
        <v>1</v>
      </c>
      <c r="I21" s="8" t="s">
        <v>81</v>
      </c>
      <c r="J21" s="19">
        <v>0</v>
      </c>
      <c r="K21" s="8" t="s">
        <v>82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52153</v>
      </c>
      <c r="C22" s="19">
        <v>0</v>
      </c>
      <c r="D22" s="8" t="s">
        <v>83</v>
      </c>
      <c r="E22" s="20">
        <v>0</v>
      </c>
      <c r="F22" s="20">
        <v>1</v>
      </c>
      <c r="G22" s="8" t="s">
        <v>54</v>
      </c>
      <c r="H22" s="20">
        <v>1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52154</v>
      </c>
      <c r="C23" s="19">
        <v>0</v>
      </c>
      <c r="D23" s="8" t="s">
        <v>86</v>
      </c>
      <c r="E23" s="20">
        <v>0</v>
      </c>
      <c r="F23" s="20">
        <v>1</v>
      </c>
      <c r="G23" s="8" t="s">
        <v>54</v>
      </c>
      <c r="H23" s="20">
        <v>1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52155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52156</v>
      </c>
      <c r="C25" s="19">
        <v>0</v>
      </c>
      <c r="D25" s="8" t="s">
        <v>92</v>
      </c>
      <c r="E25" s="20">
        <v>0</v>
      </c>
      <c r="F25" s="20">
        <v>2</v>
      </c>
      <c r="G25" s="8" t="s">
        <v>54</v>
      </c>
      <c r="H25" s="20">
        <v>2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52157</v>
      </c>
      <c r="C26" s="19">
        <v>0</v>
      </c>
      <c r="D26" s="8" t="s">
        <v>181</v>
      </c>
      <c r="E26" s="20">
        <v>0</v>
      </c>
      <c r="F26" s="20">
        <v>16</v>
      </c>
      <c r="G26" s="8" t="s">
        <v>54</v>
      </c>
      <c r="H26" s="20">
        <v>16</v>
      </c>
      <c r="I26" s="8" t="s">
        <v>182</v>
      </c>
      <c r="J26" s="19">
        <v>0</v>
      </c>
      <c r="K26" s="8" t="s">
        <v>266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52158</v>
      </c>
      <c r="C27" s="19">
        <v>0</v>
      </c>
      <c r="D27" s="8" t="s">
        <v>183</v>
      </c>
      <c r="E27" s="20">
        <v>0</v>
      </c>
      <c r="F27" s="20">
        <v>22</v>
      </c>
      <c r="G27" s="8" t="s">
        <v>54</v>
      </c>
      <c r="H27" s="20">
        <v>22</v>
      </c>
      <c r="I27" s="8" t="s">
        <v>59</v>
      </c>
      <c r="J27" s="19">
        <v>0</v>
      </c>
      <c r="K27" s="8" t="s">
        <v>95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52159</v>
      </c>
      <c r="C28" s="19">
        <v>0</v>
      </c>
      <c r="D28" s="8" t="s">
        <v>184</v>
      </c>
      <c r="E28" s="20">
        <v>0</v>
      </c>
      <c r="F28" s="20">
        <v>12</v>
      </c>
      <c r="G28" s="8" t="s">
        <v>54</v>
      </c>
      <c r="H28" s="20">
        <v>12</v>
      </c>
      <c r="I28" s="8" t="s">
        <v>185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52160</v>
      </c>
      <c r="C29" s="19">
        <v>0</v>
      </c>
      <c r="D29" s="8" t="s">
        <v>60</v>
      </c>
      <c r="E29" s="20">
        <v>0</v>
      </c>
      <c r="F29" s="20">
        <v>4</v>
      </c>
      <c r="G29" s="8" t="s">
        <v>54</v>
      </c>
      <c r="H29" s="20">
        <v>4</v>
      </c>
      <c r="I29" s="8" t="s">
        <v>61</v>
      </c>
      <c r="J29" s="19">
        <v>0</v>
      </c>
      <c r="K29" s="8" t="s">
        <v>186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52161</v>
      </c>
      <c r="C30" s="19">
        <v>0</v>
      </c>
      <c r="D30" s="8" t="s">
        <v>96</v>
      </c>
      <c r="E30" s="20">
        <v>0</v>
      </c>
      <c r="F30" s="20">
        <v>2</v>
      </c>
      <c r="G30" s="8" t="s">
        <v>54</v>
      </c>
      <c r="H30" s="20">
        <v>2</v>
      </c>
      <c r="I30" s="8" t="s">
        <v>97</v>
      </c>
      <c r="J30" s="19">
        <v>0</v>
      </c>
      <c r="K30" s="8" t="s">
        <v>267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52162</v>
      </c>
      <c r="C31" s="19">
        <v>0</v>
      </c>
      <c r="D31" s="8" t="s">
        <v>98</v>
      </c>
      <c r="E31" s="20">
        <v>0</v>
      </c>
      <c r="F31" s="20">
        <v>2</v>
      </c>
      <c r="G31" s="8" t="s">
        <v>54</v>
      </c>
      <c r="H31" s="20">
        <v>2</v>
      </c>
      <c r="I31" s="8" t="s">
        <v>99</v>
      </c>
      <c r="J31" s="19">
        <v>0</v>
      </c>
      <c r="K31" s="8" t="s">
        <v>187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52163</v>
      </c>
      <c r="C32" s="19">
        <v>0</v>
      </c>
      <c r="D32" s="8" t="s">
        <v>159</v>
      </c>
      <c r="E32" s="20">
        <v>0</v>
      </c>
      <c r="F32" s="20">
        <v>3</v>
      </c>
      <c r="G32" s="8" t="s">
        <v>54</v>
      </c>
      <c r="H32" s="20">
        <v>3</v>
      </c>
      <c r="I32" s="8" t="s">
        <v>160</v>
      </c>
      <c r="J32" s="19">
        <v>0</v>
      </c>
      <c r="K32" s="8" t="s">
        <v>161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52164</v>
      </c>
      <c r="C33" s="19">
        <v>0</v>
      </c>
      <c r="D33" s="8" t="s">
        <v>162</v>
      </c>
      <c r="E33" s="20">
        <v>0</v>
      </c>
      <c r="F33" s="20">
        <v>2</v>
      </c>
      <c r="G33" s="8" t="s">
        <v>54</v>
      </c>
      <c r="H33" s="20">
        <v>2</v>
      </c>
      <c r="I33" s="8" t="s">
        <v>163</v>
      </c>
      <c r="J33" s="19">
        <v>0</v>
      </c>
      <c r="K33" s="8" t="s">
        <v>188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52165</v>
      </c>
      <c r="C34" s="19">
        <v>0</v>
      </c>
      <c r="D34" s="8" t="s">
        <v>189</v>
      </c>
      <c r="E34" s="20">
        <v>0</v>
      </c>
      <c r="F34" s="20">
        <v>1</v>
      </c>
      <c r="G34" s="8" t="s">
        <v>54</v>
      </c>
      <c r="H34" s="20">
        <v>1</v>
      </c>
      <c r="I34" s="8" t="s">
        <v>190</v>
      </c>
      <c r="J34" s="19">
        <v>0</v>
      </c>
      <c r="K34" s="8" t="s">
        <v>191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52166</v>
      </c>
      <c r="C35" s="19">
        <v>0</v>
      </c>
      <c r="D35" s="8" t="s">
        <v>192</v>
      </c>
      <c r="E35" s="20">
        <v>0</v>
      </c>
      <c r="F35" s="20">
        <v>3</v>
      </c>
      <c r="G35" s="8" t="s">
        <v>54</v>
      </c>
      <c r="H35" s="20">
        <v>3</v>
      </c>
      <c r="I35" s="8" t="s">
        <v>193</v>
      </c>
      <c r="J35" s="19">
        <v>0</v>
      </c>
      <c r="K35" s="8" t="s">
        <v>194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52167</v>
      </c>
      <c r="C36" s="19">
        <v>0</v>
      </c>
      <c r="D36" s="8" t="s">
        <v>195</v>
      </c>
      <c r="E36" s="20">
        <v>0</v>
      </c>
      <c r="F36" s="20">
        <v>2</v>
      </c>
      <c r="G36" s="8" t="s">
        <v>54</v>
      </c>
      <c r="H36" s="20">
        <v>2</v>
      </c>
      <c r="I36" s="8" t="s">
        <v>196</v>
      </c>
      <c r="J36" s="19">
        <v>0</v>
      </c>
      <c r="K36" s="8" t="s">
        <v>197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52168</v>
      </c>
      <c r="C37" s="19">
        <v>0</v>
      </c>
      <c r="D37" s="8" t="s">
        <v>198</v>
      </c>
      <c r="E37" s="20">
        <v>0</v>
      </c>
      <c r="F37" s="20">
        <v>8</v>
      </c>
      <c r="G37" s="8" t="s">
        <v>54</v>
      </c>
      <c r="H37" s="20">
        <v>8</v>
      </c>
      <c r="I37" s="8" t="s">
        <v>199</v>
      </c>
      <c r="J37" s="19">
        <v>0</v>
      </c>
      <c r="K37" s="8" t="s">
        <v>200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52169</v>
      </c>
      <c r="C38" s="19">
        <v>0</v>
      </c>
      <c r="D38" s="8" t="s">
        <v>201</v>
      </c>
      <c r="E38" s="20">
        <v>0</v>
      </c>
      <c r="F38" s="20">
        <v>4</v>
      </c>
      <c r="G38" s="8" t="s">
        <v>54</v>
      </c>
      <c r="H38" s="20">
        <v>4</v>
      </c>
      <c r="I38" s="8" t="s">
        <v>202</v>
      </c>
      <c r="J38" s="19">
        <v>0</v>
      </c>
      <c r="K38" s="8" t="s">
        <v>203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52170</v>
      </c>
      <c r="C39" s="19">
        <v>0</v>
      </c>
      <c r="D39" s="8" t="s">
        <v>204</v>
      </c>
      <c r="E39" s="20">
        <v>0</v>
      </c>
      <c r="F39" s="20">
        <v>6</v>
      </c>
      <c r="G39" s="8" t="s">
        <v>54</v>
      </c>
      <c r="H39" s="20">
        <v>6</v>
      </c>
      <c r="I39" s="8" t="s">
        <v>205</v>
      </c>
      <c r="J39" s="19">
        <v>0</v>
      </c>
      <c r="K39" s="8" t="s">
        <v>206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52171</v>
      </c>
      <c r="C40" s="19">
        <v>0</v>
      </c>
      <c r="D40" s="8" t="s">
        <v>207</v>
      </c>
      <c r="E40" s="20">
        <v>0</v>
      </c>
      <c r="F40" s="20">
        <v>3</v>
      </c>
      <c r="G40" s="8" t="s">
        <v>54</v>
      </c>
      <c r="H40" s="20">
        <v>3</v>
      </c>
      <c r="I40" s="8" t="s">
        <v>208</v>
      </c>
      <c r="J40" s="19">
        <v>0</v>
      </c>
      <c r="K40" s="8" t="s">
        <v>209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52172</v>
      </c>
      <c r="C41" s="19">
        <v>0</v>
      </c>
      <c r="D41" s="8" t="s">
        <v>210</v>
      </c>
      <c r="E41" s="20">
        <v>0</v>
      </c>
      <c r="F41" s="20">
        <v>2</v>
      </c>
      <c r="G41" s="8" t="s">
        <v>54</v>
      </c>
      <c r="H41" s="20">
        <v>2</v>
      </c>
      <c r="I41" s="8" t="s">
        <v>211</v>
      </c>
      <c r="J41" s="19">
        <v>0</v>
      </c>
      <c r="K41" s="8" t="s">
        <v>212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52173</v>
      </c>
      <c r="C42" s="19">
        <v>0</v>
      </c>
      <c r="D42" s="8" t="s">
        <v>213</v>
      </c>
      <c r="E42" s="20">
        <v>0</v>
      </c>
      <c r="F42" s="20">
        <v>7</v>
      </c>
      <c r="G42" s="8" t="s">
        <v>54</v>
      </c>
      <c r="H42" s="20">
        <v>7</v>
      </c>
      <c r="I42" s="8" t="s">
        <v>214</v>
      </c>
      <c r="J42" s="19">
        <v>0</v>
      </c>
      <c r="K42" s="8" t="s">
        <v>215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52174</v>
      </c>
      <c r="C43" s="19">
        <v>0</v>
      </c>
      <c r="D43" s="8" t="s">
        <v>216</v>
      </c>
      <c r="E43" s="20">
        <v>0</v>
      </c>
      <c r="F43" s="20">
        <v>2</v>
      </c>
      <c r="G43" s="8" t="s">
        <v>54</v>
      </c>
      <c r="H43" s="20">
        <v>2</v>
      </c>
      <c r="I43" s="8" t="s">
        <v>217</v>
      </c>
      <c r="J43" s="19">
        <v>0</v>
      </c>
      <c r="K43" s="8" t="s">
        <v>218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52175</v>
      </c>
      <c r="C44" s="19">
        <v>0</v>
      </c>
      <c r="D44" s="8" t="s">
        <v>219</v>
      </c>
      <c r="E44" s="20">
        <v>0</v>
      </c>
      <c r="F44" s="20">
        <v>0</v>
      </c>
      <c r="G44" s="8" t="s">
        <v>54</v>
      </c>
      <c r="H44" s="20">
        <v>0</v>
      </c>
      <c r="I44" s="8" t="s">
        <v>220</v>
      </c>
      <c r="J44" s="19">
        <v>0</v>
      </c>
      <c r="K44" s="8" t="s">
        <v>221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52176</v>
      </c>
      <c r="C45" s="19">
        <v>0</v>
      </c>
      <c r="D45" s="8" t="s">
        <v>100</v>
      </c>
      <c r="E45" s="20">
        <v>0</v>
      </c>
      <c r="F45" s="20">
        <v>0</v>
      </c>
      <c r="G45" s="8" t="s">
        <v>54</v>
      </c>
      <c r="H45" s="20">
        <v>0</v>
      </c>
      <c r="I45" s="8" t="s">
        <v>101</v>
      </c>
      <c r="J45" s="19">
        <v>0</v>
      </c>
      <c r="K45" s="8" t="s">
        <v>100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52177</v>
      </c>
      <c r="C46" s="19">
        <v>0</v>
      </c>
      <c r="D46" s="8" t="s">
        <v>102</v>
      </c>
      <c r="E46" s="20">
        <v>0</v>
      </c>
      <c r="F46" s="20">
        <v>12</v>
      </c>
      <c r="G46" s="8" t="s">
        <v>54</v>
      </c>
      <c r="H46" s="20">
        <v>12</v>
      </c>
      <c r="I46" s="8" t="s">
        <v>103</v>
      </c>
      <c r="J46" s="19">
        <v>0</v>
      </c>
      <c r="K46" s="8" t="s">
        <v>268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52178</v>
      </c>
      <c r="C47" s="19">
        <v>0</v>
      </c>
      <c r="D47" s="8" t="s">
        <v>104</v>
      </c>
      <c r="E47" s="20">
        <v>0</v>
      </c>
      <c r="F47" s="20">
        <v>7</v>
      </c>
      <c r="G47" s="8" t="s">
        <v>54</v>
      </c>
      <c r="H47" s="20">
        <v>7</v>
      </c>
      <c r="I47" s="8" t="s">
        <v>105</v>
      </c>
      <c r="J47" s="19">
        <v>0</v>
      </c>
      <c r="K47" s="8" t="s">
        <v>269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52179</v>
      </c>
      <c r="C48" s="19">
        <v>0</v>
      </c>
      <c r="D48" s="8" t="s">
        <v>164</v>
      </c>
      <c r="E48" s="20">
        <v>0</v>
      </c>
      <c r="F48" s="20">
        <v>9</v>
      </c>
      <c r="G48" s="8" t="s">
        <v>54</v>
      </c>
      <c r="H48" s="20">
        <v>9</v>
      </c>
      <c r="I48" s="8" t="s">
        <v>165</v>
      </c>
      <c r="J48" s="19">
        <v>0</v>
      </c>
      <c r="K48" s="8" t="s">
        <v>166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52180</v>
      </c>
      <c r="C49" s="19">
        <v>0</v>
      </c>
      <c r="D49" s="8" t="s">
        <v>106</v>
      </c>
      <c r="E49" s="20">
        <v>0</v>
      </c>
      <c r="F49" s="20">
        <v>0</v>
      </c>
      <c r="G49" s="8" t="s">
        <v>54</v>
      </c>
      <c r="H49" s="20">
        <v>0</v>
      </c>
      <c r="I49" s="8" t="s">
        <v>107</v>
      </c>
      <c r="J49" s="19">
        <v>0</v>
      </c>
      <c r="K49" s="8" t="s">
        <v>108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52181</v>
      </c>
      <c r="C50" s="19">
        <v>0</v>
      </c>
      <c r="D50" s="8" t="s">
        <v>109</v>
      </c>
      <c r="E50" s="20">
        <v>0</v>
      </c>
      <c r="F50" s="20">
        <v>1</v>
      </c>
      <c r="G50" s="8" t="s">
        <v>54</v>
      </c>
      <c r="H50" s="20">
        <v>1</v>
      </c>
      <c r="I50" s="8" t="s">
        <v>110</v>
      </c>
      <c r="J50" s="19">
        <v>0</v>
      </c>
      <c r="K50" s="8" t="s">
        <v>270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52182</v>
      </c>
      <c r="C51" s="19">
        <v>0</v>
      </c>
      <c r="D51" s="8" t="s">
        <v>111</v>
      </c>
      <c r="E51" s="20">
        <v>0</v>
      </c>
      <c r="F51" s="20">
        <v>6</v>
      </c>
      <c r="G51" s="8" t="s">
        <v>54</v>
      </c>
      <c r="H51" s="20">
        <v>6</v>
      </c>
      <c r="I51" s="8" t="s">
        <v>112</v>
      </c>
      <c r="J51" s="19">
        <v>0</v>
      </c>
      <c r="K51" s="8" t="s">
        <v>222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52183</v>
      </c>
      <c r="C52" s="19">
        <v>0</v>
      </c>
      <c r="D52" s="8" t="s">
        <v>113</v>
      </c>
      <c r="E52" s="20">
        <v>0</v>
      </c>
      <c r="F52" s="20">
        <v>8</v>
      </c>
      <c r="G52" s="8" t="s">
        <v>54</v>
      </c>
      <c r="H52" s="20">
        <v>8</v>
      </c>
      <c r="I52" s="8" t="s">
        <v>114</v>
      </c>
      <c r="J52" s="19">
        <v>0</v>
      </c>
      <c r="K52" s="8" t="s">
        <v>223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52184</v>
      </c>
      <c r="C53" s="19">
        <v>0</v>
      </c>
      <c r="D53" s="8" t="s">
        <v>167</v>
      </c>
      <c r="E53" s="20">
        <v>0</v>
      </c>
      <c r="F53" s="20">
        <v>2</v>
      </c>
      <c r="G53" s="8" t="s">
        <v>54</v>
      </c>
      <c r="H53" s="20">
        <v>2</v>
      </c>
      <c r="I53" s="8" t="s">
        <v>168</v>
      </c>
      <c r="J53" s="19">
        <v>0</v>
      </c>
      <c r="K53" s="8" t="s">
        <v>224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52185</v>
      </c>
      <c r="C54" s="19">
        <v>0</v>
      </c>
      <c r="D54" s="8" t="s">
        <v>169</v>
      </c>
      <c r="E54" s="20">
        <v>0</v>
      </c>
      <c r="F54" s="20">
        <v>6</v>
      </c>
      <c r="G54" s="8" t="s">
        <v>54</v>
      </c>
      <c r="H54" s="20">
        <v>6</v>
      </c>
      <c r="I54" s="8" t="s">
        <v>170</v>
      </c>
      <c r="J54" s="19">
        <v>0</v>
      </c>
      <c r="K54" s="8" t="s">
        <v>225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52186</v>
      </c>
      <c r="C55" s="19">
        <v>0</v>
      </c>
      <c r="D55" s="8" t="s">
        <v>106</v>
      </c>
      <c r="E55" s="20">
        <v>0</v>
      </c>
      <c r="F55" s="20">
        <v>0</v>
      </c>
      <c r="G55" s="8" t="s">
        <v>54</v>
      </c>
      <c r="H55" s="20">
        <v>0</v>
      </c>
      <c r="I55" s="8" t="s">
        <v>107</v>
      </c>
      <c r="J55" s="19">
        <v>0</v>
      </c>
      <c r="K55" s="8" t="s">
        <v>108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52187</v>
      </c>
      <c r="C56" s="19">
        <v>0</v>
      </c>
      <c r="D56" s="8" t="s">
        <v>226</v>
      </c>
      <c r="E56" s="20">
        <v>0</v>
      </c>
      <c r="F56" s="20">
        <v>1</v>
      </c>
      <c r="G56" s="8" t="s">
        <v>54</v>
      </c>
      <c r="H56" s="20">
        <v>1</v>
      </c>
      <c r="I56" s="8" t="s">
        <v>227</v>
      </c>
      <c r="J56" s="19">
        <v>0</v>
      </c>
      <c r="K56" s="8" t="s">
        <v>228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71</v>
      </c>
      <c r="B57" s="18">
        <v>52188</v>
      </c>
      <c r="C57" s="19">
        <v>0</v>
      </c>
      <c r="D57" s="8" t="s">
        <v>115</v>
      </c>
      <c r="E57" s="20">
        <v>0</v>
      </c>
      <c r="F57" s="20">
        <v>10</v>
      </c>
      <c r="G57" s="8" t="s">
        <v>54</v>
      </c>
      <c r="H57" s="20">
        <v>10</v>
      </c>
      <c r="I57" s="8" t="s">
        <v>116</v>
      </c>
      <c r="J57" s="19">
        <v>0</v>
      </c>
      <c r="K57" s="8" t="s">
        <v>271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71</v>
      </c>
      <c r="B58" s="18">
        <v>52189</v>
      </c>
      <c r="C58" s="19">
        <v>0</v>
      </c>
      <c r="D58" s="8" t="s">
        <v>117</v>
      </c>
      <c r="E58" s="20">
        <v>0</v>
      </c>
      <c r="F58" s="20">
        <v>3</v>
      </c>
      <c r="G58" s="8" t="s">
        <v>54</v>
      </c>
      <c r="H58" s="20">
        <v>3</v>
      </c>
      <c r="I58" s="8" t="s">
        <v>118</v>
      </c>
      <c r="J58" s="19">
        <v>0</v>
      </c>
      <c r="K58" s="8" t="s">
        <v>229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71</v>
      </c>
      <c r="B59" s="18">
        <v>52190</v>
      </c>
      <c r="C59" s="19">
        <v>0</v>
      </c>
      <c r="D59" s="8" t="s">
        <v>119</v>
      </c>
      <c r="E59" s="20">
        <v>0</v>
      </c>
      <c r="F59" s="20">
        <v>3</v>
      </c>
      <c r="G59" s="8" t="s">
        <v>54</v>
      </c>
      <c r="H59" s="20">
        <v>3</v>
      </c>
      <c r="I59" s="8" t="s">
        <v>120</v>
      </c>
      <c r="J59" s="19">
        <v>0</v>
      </c>
      <c r="K59" s="8" t="s">
        <v>230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71</v>
      </c>
      <c r="B60" s="18">
        <v>52191</v>
      </c>
      <c r="C60" s="19">
        <v>0</v>
      </c>
      <c r="D60" s="8" t="s">
        <v>171</v>
      </c>
      <c r="E60" s="20">
        <v>0</v>
      </c>
      <c r="F60" s="20">
        <v>4</v>
      </c>
      <c r="G60" s="8" t="s">
        <v>54</v>
      </c>
      <c r="H60" s="20">
        <v>4</v>
      </c>
      <c r="I60" s="8" t="s">
        <v>172</v>
      </c>
      <c r="J60" s="19">
        <v>0</v>
      </c>
      <c r="K60" s="8" t="s">
        <v>173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71</v>
      </c>
      <c r="B61" s="18">
        <v>52192</v>
      </c>
      <c r="C61" s="19">
        <v>0</v>
      </c>
      <c r="D61" s="8" t="s">
        <v>174</v>
      </c>
      <c r="E61" s="20">
        <v>0</v>
      </c>
      <c r="F61" s="20">
        <v>4</v>
      </c>
      <c r="G61" s="8" t="s">
        <v>54</v>
      </c>
      <c r="H61" s="20">
        <v>4</v>
      </c>
      <c r="I61" s="8" t="s">
        <v>175</v>
      </c>
      <c r="J61" s="19">
        <v>0</v>
      </c>
      <c r="K61" s="8" t="s">
        <v>176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71</v>
      </c>
      <c r="B62" s="18">
        <v>52193</v>
      </c>
      <c r="C62" s="19">
        <v>0</v>
      </c>
      <c r="D62" s="8" t="s">
        <v>121</v>
      </c>
      <c r="E62" s="20">
        <v>0</v>
      </c>
      <c r="F62" s="20">
        <v>2</v>
      </c>
      <c r="G62" s="8" t="s">
        <v>54</v>
      </c>
      <c r="H62" s="20">
        <v>2</v>
      </c>
      <c r="I62" s="8" t="s">
        <v>122</v>
      </c>
      <c r="J62" s="19">
        <v>0</v>
      </c>
      <c r="K62" s="8" t="s">
        <v>231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71</v>
      </c>
      <c r="B63" s="18">
        <v>52194</v>
      </c>
      <c r="C63" s="19">
        <v>0</v>
      </c>
      <c r="D63" s="8" t="s">
        <v>232</v>
      </c>
      <c r="E63" s="20">
        <v>0</v>
      </c>
      <c r="F63" s="20">
        <v>1</v>
      </c>
      <c r="G63" s="8" t="s">
        <v>54</v>
      </c>
      <c r="H63" s="20">
        <v>1</v>
      </c>
      <c r="I63" s="8" t="s">
        <v>233</v>
      </c>
      <c r="J63" s="19">
        <v>0</v>
      </c>
      <c r="K63" s="8" t="s">
        <v>234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52195</v>
      </c>
      <c r="C64" s="19">
        <v>0</v>
      </c>
      <c r="D64" s="8" t="s">
        <v>123</v>
      </c>
      <c r="E64" s="20">
        <v>0</v>
      </c>
      <c r="F64" s="20">
        <v>0</v>
      </c>
      <c r="G64" s="8" t="s">
        <v>54</v>
      </c>
      <c r="H64" s="20">
        <v>0</v>
      </c>
      <c r="I64" s="8" t="s">
        <v>124</v>
      </c>
      <c r="J64" s="19">
        <v>0</v>
      </c>
      <c r="K64" s="8" t="s">
        <v>123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71</v>
      </c>
      <c r="B65" s="18">
        <v>52196</v>
      </c>
      <c r="C65" s="19">
        <v>0</v>
      </c>
      <c r="D65" s="8" t="s">
        <v>125</v>
      </c>
      <c r="E65" s="20">
        <v>0</v>
      </c>
      <c r="F65" s="20">
        <v>6</v>
      </c>
      <c r="G65" s="8" t="s">
        <v>54</v>
      </c>
      <c r="H65" s="20">
        <v>6</v>
      </c>
      <c r="I65" s="8" t="s">
        <v>126</v>
      </c>
      <c r="J65" s="19">
        <v>0</v>
      </c>
      <c r="K65" s="8" t="s">
        <v>235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71</v>
      </c>
      <c r="B66" s="18">
        <v>52197</v>
      </c>
      <c r="C66" s="19">
        <v>0</v>
      </c>
      <c r="D66" s="8" t="s">
        <v>236</v>
      </c>
      <c r="E66" s="20">
        <v>0</v>
      </c>
      <c r="F66" s="20">
        <v>7</v>
      </c>
      <c r="G66" s="8" t="s">
        <v>54</v>
      </c>
      <c r="H66" s="20">
        <v>7</v>
      </c>
      <c r="I66" s="8" t="s">
        <v>237</v>
      </c>
      <c r="J66" s="19">
        <v>0</v>
      </c>
      <c r="K66" s="8" t="s">
        <v>238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127</v>
      </c>
      <c r="B67" s="18">
        <v>52198</v>
      </c>
      <c r="C67" s="19">
        <v>0</v>
      </c>
      <c r="D67" s="8" t="s">
        <v>128</v>
      </c>
      <c r="E67" s="20">
        <v>0</v>
      </c>
      <c r="F67" s="20">
        <v>2</v>
      </c>
      <c r="G67" s="8" t="s">
        <v>54</v>
      </c>
      <c r="H67" s="20">
        <v>2</v>
      </c>
      <c r="I67" s="8" t="s">
        <v>129</v>
      </c>
      <c r="J67" s="19">
        <v>0</v>
      </c>
      <c r="K67" s="8" t="s">
        <v>130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71</v>
      </c>
      <c r="B68" s="18">
        <v>52199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239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71</v>
      </c>
      <c r="B69" s="18">
        <v>52200</v>
      </c>
      <c r="C69" s="19">
        <v>0</v>
      </c>
      <c r="D69" s="8" t="s">
        <v>131</v>
      </c>
      <c r="E69" s="20">
        <v>0</v>
      </c>
      <c r="F69" s="20">
        <v>4</v>
      </c>
      <c r="G69" s="8" t="s">
        <v>54</v>
      </c>
      <c r="H69" s="20">
        <v>4</v>
      </c>
      <c r="I69" s="8" t="s">
        <v>132</v>
      </c>
      <c r="J69" s="19">
        <v>0</v>
      </c>
      <c r="K69" s="8" t="s">
        <v>240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71</v>
      </c>
      <c r="B70" s="18">
        <v>52201</v>
      </c>
      <c r="C70" s="19">
        <v>0</v>
      </c>
      <c r="D70" s="8" t="s">
        <v>241</v>
      </c>
      <c r="E70" s="20">
        <v>0</v>
      </c>
      <c r="F70" s="20">
        <v>4</v>
      </c>
      <c r="G70" s="8" t="s">
        <v>54</v>
      </c>
      <c r="H70" s="20">
        <v>4</v>
      </c>
      <c r="I70" s="8" t="s">
        <v>242</v>
      </c>
      <c r="J70" s="19">
        <v>0</v>
      </c>
      <c r="K70" s="8" t="s">
        <v>243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71</v>
      </c>
      <c r="B71" s="18">
        <v>52202</v>
      </c>
      <c r="C71" s="19">
        <v>0</v>
      </c>
      <c r="D71" s="8" t="s">
        <v>133</v>
      </c>
      <c r="E71" s="20">
        <v>0</v>
      </c>
      <c r="F71" s="20">
        <v>12</v>
      </c>
      <c r="G71" s="8" t="s">
        <v>54</v>
      </c>
      <c r="H71" s="20">
        <v>12</v>
      </c>
      <c r="I71" s="8" t="s">
        <v>134</v>
      </c>
      <c r="J71" s="19">
        <v>0</v>
      </c>
      <c r="K71" s="8" t="s">
        <v>272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71</v>
      </c>
      <c r="B72" s="18">
        <v>52203</v>
      </c>
      <c r="C72" s="19">
        <v>0</v>
      </c>
      <c r="D72" s="8" t="s">
        <v>135</v>
      </c>
      <c r="E72" s="20">
        <v>0</v>
      </c>
      <c r="F72" s="20">
        <v>22</v>
      </c>
      <c r="G72" s="8" t="s">
        <v>54</v>
      </c>
      <c r="H72" s="20">
        <v>22</v>
      </c>
      <c r="I72" s="8" t="s">
        <v>136</v>
      </c>
      <c r="J72" s="19">
        <v>0</v>
      </c>
      <c r="K72" s="8" t="s">
        <v>273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71</v>
      </c>
      <c r="B73" s="18">
        <v>52204</v>
      </c>
      <c r="C73" s="19">
        <v>0</v>
      </c>
      <c r="D73" s="8" t="s">
        <v>177</v>
      </c>
      <c r="E73" s="20">
        <v>0</v>
      </c>
      <c r="F73" s="20">
        <v>1</v>
      </c>
      <c r="G73" s="8" t="s">
        <v>54</v>
      </c>
      <c r="H73" s="20">
        <v>1</v>
      </c>
      <c r="I73" s="8" t="s">
        <v>178</v>
      </c>
      <c r="J73" s="19">
        <v>0</v>
      </c>
      <c r="K73" s="8" t="s">
        <v>244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71</v>
      </c>
      <c r="B74" s="18">
        <v>52205</v>
      </c>
      <c r="C74" s="19">
        <v>0</v>
      </c>
      <c r="D74" s="8" t="s">
        <v>245</v>
      </c>
      <c r="E74" s="20">
        <v>0</v>
      </c>
      <c r="F74" s="20">
        <v>2</v>
      </c>
      <c r="G74" s="8" t="s">
        <v>54</v>
      </c>
      <c r="H74" s="20">
        <v>2</v>
      </c>
      <c r="I74" s="8" t="s">
        <v>246</v>
      </c>
      <c r="J74" s="19">
        <v>0</v>
      </c>
      <c r="K74" s="8" t="s">
        <v>247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71</v>
      </c>
      <c r="B75" s="18">
        <v>52206</v>
      </c>
      <c r="C75" s="19">
        <v>0</v>
      </c>
      <c r="D75" s="8" t="s">
        <v>248</v>
      </c>
      <c r="E75" s="20">
        <v>0</v>
      </c>
      <c r="F75" s="20">
        <v>10</v>
      </c>
      <c r="G75" s="8" t="s">
        <v>54</v>
      </c>
      <c r="H75" s="20">
        <v>10</v>
      </c>
      <c r="I75" s="8" t="s">
        <v>249</v>
      </c>
      <c r="J75" s="19">
        <v>0</v>
      </c>
      <c r="K75" s="8" t="s">
        <v>250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71</v>
      </c>
      <c r="B76" s="18">
        <v>52207</v>
      </c>
      <c r="C76" s="19">
        <v>0</v>
      </c>
      <c r="D76" s="8" t="s">
        <v>251</v>
      </c>
      <c r="E76" s="20">
        <v>0</v>
      </c>
      <c r="F76" s="20">
        <v>10</v>
      </c>
      <c r="G76" s="8" t="s">
        <v>54</v>
      </c>
      <c r="H76" s="20">
        <v>10</v>
      </c>
      <c r="I76" s="8" t="s">
        <v>252</v>
      </c>
      <c r="J76" s="19">
        <v>0</v>
      </c>
      <c r="K76" s="8" t="s">
        <v>253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52208</v>
      </c>
      <c r="C77" s="19">
        <v>0</v>
      </c>
      <c r="D77" s="8" t="s">
        <v>274</v>
      </c>
      <c r="E77" s="20">
        <v>0</v>
      </c>
      <c r="F77" s="20">
        <v>0</v>
      </c>
      <c r="G77" s="8" t="s">
        <v>54</v>
      </c>
      <c r="H77" s="20">
        <v>0</v>
      </c>
      <c r="I77" s="8" t="s">
        <v>275</v>
      </c>
      <c r="J77" s="19">
        <v>0</v>
      </c>
      <c r="K77" s="8" t="s">
        <v>274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52209</v>
      </c>
      <c r="C78" s="19">
        <v>0</v>
      </c>
      <c r="D78" s="8" t="s">
        <v>137</v>
      </c>
      <c r="E78" s="20">
        <v>0</v>
      </c>
      <c r="F78" s="20">
        <v>1</v>
      </c>
      <c r="G78" s="8" t="s">
        <v>54</v>
      </c>
      <c r="H78" s="20">
        <v>1</v>
      </c>
      <c r="I78" s="8" t="s">
        <v>138</v>
      </c>
      <c r="J78" s="19">
        <v>0</v>
      </c>
      <c r="K78" s="8" t="s">
        <v>139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52210</v>
      </c>
      <c r="C79" s="19">
        <v>0</v>
      </c>
      <c r="D79" s="8" t="s">
        <v>254</v>
      </c>
      <c r="E79" s="20">
        <v>0</v>
      </c>
      <c r="F79" s="20">
        <v>6</v>
      </c>
      <c r="G79" s="8" t="s">
        <v>54</v>
      </c>
      <c r="H79" s="20">
        <v>6</v>
      </c>
      <c r="I79" s="8" t="s">
        <v>255</v>
      </c>
      <c r="J79" s="19">
        <v>0</v>
      </c>
      <c r="K79" s="8" t="s">
        <v>256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71</v>
      </c>
      <c r="B80" s="18">
        <v>52211</v>
      </c>
      <c r="C80" s="19">
        <v>0</v>
      </c>
      <c r="D80" s="8" t="s">
        <v>140</v>
      </c>
      <c r="E80" s="20">
        <v>0</v>
      </c>
      <c r="F80" s="20">
        <v>1</v>
      </c>
      <c r="G80" s="8" t="s">
        <v>54</v>
      </c>
      <c r="H80" s="20">
        <v>1</v>
      </c>
      <c r="I80" s="8" t="s">
        <v>141</v>
      </c>
      <c r="J80" s="19">
        <v>0</v>
      </c>
      <c r="K80" s="8" t="s">
        <v>142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52212</v>
      </c>
      <c r="C81" s="19">
        <v>0</v>
      </c>
      <c r="D81" s="8" t="s">
        <v>143</v>
      </c>
      <c r="E81" s="20">
        <v>0</v>
      </c>
      <c r="F81" s="20">
        <v>0</v>
      </c>
      <c r="G81" s="8" t="s">
        <v>54</v>
      </c>
      <c r="H81" s="20">
        <v>0</v>
      </c>
      <c r="I81" s="8" t="s">
        <v>144</v>
      </c>
      <c r="J81" s="19">
        <v>0</v>
      </c>
      <c r="K81" s="8" t="s">
        <v>145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127</v>
      </c>
      <c r="B82" s="18">
        <v>52213</v>
      </c>
      <c r="C82" s="19">
        <v>0</v>
      </c>
      <c r="D82" s="8" t="s">
        <v>146</v>
      </c>
      <c r="E82" s="20">
        <v>0</v>
      </c>
      <c r="F82" s="20">
        <v>2</v>
      </c>
      <c r="G82" s="8" t="s">
        <v>54</v>
      </c>
      <c r="H82" s="20">
        <v>2</v>
      </c>
      <c r="I82" s="8" t="s">
        <v>147</v>
      </c>
      <c r="J82" s="19">
        <v>0</v>
      </c>
      <c r="K82" s="8" t="s">
        <v>148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64</v>
      </c>
      <c r="B83" s="18">
        <v>52214</v>
      </c>
      <c r="C83" s="19">
        <v>0</v>
      </c>
      <c r="D83" s="8" t="s">
        <v>149</v>
      </c>
      <c r="E83" s="20">
        <v>0</v>
      </c>
      <c r="F83" s="20">
        <v>10</v>
      </c>
      <c r="G83" s="8" t="s">
        <v>54</v>
      </c>
      <c r="H83" s="20">
        <v>10</v>
      </c>
      <c r="I83" s="8" t="s">
        <v>150</v>
      </c>
      <c r="J83" s="19">
        <v>0</v>
      </c>
      <c r="K83" s="8" t="s">
        <v>151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52215</v>
      </c>
      <c r="C84" s="19">
        <v>0</v>
      </c>
      <c r="D84" s="8" t="s">
        <v>152</v>
      </c>
      <c r="E84" s="20">
        <v>0</v>
      </c>
      <c r="F84" s="20">
        <v>0</v>
      </c>
      <c r="G84" s="8" t="s">
        <v>54</v>
      </c>
      <c r="H84" s="20">
        <v>0</v>
      </c>
      <c r="I84" s="8" t="s">
        <v>153</v>
      </c>
      <c r="J84" s="19">
        <v>0</v>
      </c>
      <c r="K84" s="8" t="s">
        <v>152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52216</v>
      </c>
      <c r="C85" s="19">
        <v>0</v>
      </c>
      <c r="D85" s="8" t="s">
        <v>154</v>
      </c>
      <c r="E85" s="20">
        <v>0</v>
      </c>
      <c r="F85" s="20">
        <v>35</v>
      </c>
      <c r="G85" s="8" t="s">
        <v>54</v>
      </c>
      <c r="H85" s="20">
        <v>35</v>
      </c>
      <c r="I85" s="8" t="s">
        <v>155</v>
      </c>
      <c r="J85" s="19">
        <v>0</v>
      </c>
      <c r="K85" s="8" t="s">
        <v>156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52217</v>
      </c>
      <c r="C86" s="19">
        <v>0</v>
      </c>
      <c r="D86" s="8" t="s">
        <v>157</v>
      </c>
      <c r="E86" s="20">
        <v>0</v>
      </c>
      <c r="F86" s="20">
        <v>0</v>
      </c>
      <c r="G86" s="8" t="s">
        <v>54</v>
      </c>
      <c r="H86" s="20">
        <v>0</v>
      </c>
      <c r="I86" s="8" t="s">
        <v>158</v>
      </c>
      <c r="J86" s="19">
        <v>0</v>
      </c>
      <c r="K86" s="8" t="s">
        <v>157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52218</v>
      </c>
      <c r="C87" s="19">
        <v>0</v>
      </c>
      <c r="D87" s="8" t="s">
        <v>65</v>
      </c>
      <c r="E87" s="20">
        <v>0</v>
      </c>
      <c r="F87" s="20">
        <v>0</v>
      </c>
      <c r="G87" s="8" t="s">
        <v>54</v>
      </c>
      <c r="H87" s="20">
        <v>0</v>
      </c>
      <c r="I87" s="8" t="s">
        <v>66</v>
      </c>
      <c r="J87" s="19">
        <v>0</v>
      </c>
      <c r="K87" s="8" t="s">
        <v>67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68</v>
      </c>
      <c r="B88" s="18">
        <v>52219</v>
      </c>
      <c r="C88" s="19">
        <v>0</v>
      </c>
      <c r="D88" s="8" t="s">
        <v>257</v>
      </c>
      <c r="E88" s="20">
        <v>0</v>
      </c>
      <c r="F88" s="20">
        <v>3</v>
      </c>
      <c r="G88" s="8" t="s">
        <v>54</v>
      </c>
      <c r="H88" s="20">
        <v>3</v>
      </c>
      <c r="I88" s="8" t="s">
        <v>258</v>
      </c>
      <c r="J88" s="19">
        <v>0</v>
      </c>
      <c r="K88" s="8" t="s">
        <v>259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68</v>
      </c>
      <c r="B89" s="18">
        <v>52220</v>
      </c>
      <c r="C89" s="19">
        <v>0</v>
      </c>
      <c r="D89" s="8" t="s">
        <v>260</v>
      </c>
      <c r="E89" s="20">
        <v>0</v>
      </c>
      <c r="F89" s="20">
        <v>3</v>
      </c>
      <c r="G89" s="8" t="s">
        <v>54</v>
      </c>
      <c r="H89" s="20">
        <v>3</v>
      </c>
      <c r="I89" s="8" t="s">
        <v>261</v>
      </c>
      <c r="J89" s="19">
        <v>0</v>
      </c>
      <c r="K89" s="8" t="s">
        <v>262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/>
    <row r="91" spans="1:14" ht="12.75" customHeight="1" x14ac:dyDescent="0.2">
      <c r="B91" s="8" t="s">
        <v>16</v>
      </c>
      <c r="C91" s="8" t="s">
        <v>263</v>
      </c>
      <c r="E91" s="8" t="s">
        <v>19</v>
      </c>
      <c r="F91" s="8" t="s">
        <v>19</v>
      </c>
      <c r="G91" s="8" t="s">
        <v>21</v>
      </c>
      <c r="H91" s="8" t="s">
        <v>19</v>
      </c>
      <c r="J91" s="8" t="s">
        <v>19</v>
      </c>
    </row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70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69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70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69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70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69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70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69</v>
      </c>
      <c r="B22" s="38">
        <f>'Build Plan w Hours'!E10</f>
        <v>11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70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69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70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69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70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69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70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69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70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69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70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69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70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69</v>
      </c>
      <c r="B64" s="38">
        <f>'Build Plan w Hours'!E17</f>
        <v>22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70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69</v>
      </c>
      <c r="B70" s="38">
        <f>'Build Plan w Hours'!E18</f>
        <v>12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70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69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70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69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70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69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70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69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70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69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70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69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70</v>
      </c>
    </row>
    <row r="110" spans="1:9" ht="21.75" customHeight="1" x14ac:dyDescent="0.25">
      <c r="A110" s="29" t="s">
        <v>13</v>
      </c>
      <c r="B110" s="31" t="str">
        <f>'Build Plan w Hours'!C25</f>
        <v>.262</v>
      </c>
      <c r="C110" s="40" t="str">
        <f>'Build Plan w Hours'!D25</f>
        <v>Cut/make parts for ladder: rungs, rails,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69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70</v>
      </c>
    </row>
    <row r="116" spans="1:9" ht="21.75" customHeight="1" x14ac:dyDescent="0.25">
      <c r="A116" s="29" t="s">
        <v>13</v>
      </c>
      <c r="B116" s="31" t="str">
        <f>'Build Plan w Hours'!C26</f>
        <v>.265</v>
      </c>
      <c r="C116" s="40" t="str">
        <f>'Build Plan w Hours'!D26</f>
        <v>Form and roll ladder hoops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69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70</v>
      </c>
    </row>
    <row r="122" spans="1:9" ht="21.75" customHeight="1" x14ac:dyDescent="0.25">
      <c r="A122" s="29" t="s">
        <v>13</v>
      </c>
      <c r="B122" s="31" t="str">
        <f>'Build Plan w Hours'!C27</f>
        <v>.270</v>
      </c>
      <c r="C122" s="40" t="str">
        <f>'Build Plan w Hours'!D27</f>
        <v>Build ladder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69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70</v>
      </c>
    </row>
    <row r="128" spans="1:9" ht="21.75" customHeight="1" x14ac:dyDescent="0.25">
      <c r="A128" s="29" t="s">
        <v>13</v>
      </c>
      <c r="B128" s="31" t="str">
        <f>'Build Plan w Hours'!C28</f>
        <v>.272</v>
      </c>
      <c r="C128" s="40" t="str">
        <f>'Build Plan w Hours'!D28</f>
        <v>Cut/Build parts for handrail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69</v>
      </c>
      <c r="B130" s="38">
        <f>'Build Plan w Hours'!E28</f>
        <v>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70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69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70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69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70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69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70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69</v>
      </c>
      <c r="B154" s="38">
        <f>'Build Plan w Hours'!E32</f>
        <v>7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70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69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70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69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70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69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70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SET UP (2) DOUBLE SHELLS ***NOTE BOTTOM HEAD SLOPE***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69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70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(2) DOUBLE SHELLS  ***WELD LONG SEAMS W COBOT***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69</v>
      </c>
      <c r="B184" s="38">
        <f>'Build Plan w Hours'!E37</f>
        <v>7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70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69</v>
      </c>
      <c r="B190" s="38">
        <f>'Build Plan w Hours'!E38</f>
        <v>9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70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69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70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holes_x000D_
CUT HOLES 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69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70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tack_x000D_
INCL CABLE SUPPORT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69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70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 _x000D_
INCL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69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70</v>
      </c>
    </row>
    <row r="218" spans="1:9" ht="21.75" customHeight="1" x14ac:dyDescent="0.25">
      <c r="A218" s="29" t="s">
        <v>13</v>
      </c>
      <c r="B218" s="31" t="str">
        <f>'Build Plan w Hours'!C43</f>
        <v>.370</v>
      </c>
      <c r="C218" s="40" t="str">
        <f>'Build Plan w Hours'!D43</f>
        <v>Install and weld out repads - top head_x000D_
FOR CABLE SUPPORT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69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70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69</v>
      </c>
      <c r="B226" s="38">
        <f>'Build Plan w Hours'!E44</f>
        <v>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70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69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70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69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70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  ***NOTE BOTTOM SLOPE***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69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70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69</v>
      </c>
      <c r="B250" s="38">
        <f>'Build Plan w Hours'!E48</f>
        <v>3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70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69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70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69</v>
      </c>
      <c r="B262" s="38">
        <f>'Build Plan w Hours'!E50</f>
        <v>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70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69</v>
      </c>
      <c r="B268" s="38">
        <f>'Build Plan w Hours'!E51</f>
        <v>4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70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CUT HOLES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69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70</v>
      </c>
    </row>
    <row r="278" spans="1:9" ht="21.75" customHeight="1" x14ac:dyDescent="0.25">
      <c r="A278" s="29" t="s">
        <v>13</v>
      </c>
      <c r="B278" s="31" t="str">
        <f>'Build Plan w Hours'!C53</f>
        <v>.630</v>
      </c>
      <c r="C278" s="40" t="str">
        <f>'Build Plan w Hours'!D53</f>
        <v>Install internals - wear plates, rings, clips, etc._x000D_
HANDLE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69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70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69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70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69</v>
      </c>
      <c r="B292" s="38">
        <f>'Build Plan w Hours'!E55</f>
        <v>6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70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69</v>
      </c>
      <c r="B298" s="38">
        <f>'Build Plan w Hours'!E56</f>
        <v>7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70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69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70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AND TIE-OFF LUGS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69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70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69</v>
      </c>
      <c r="B316" s="38">
        <f>'Build Plan w Hours'!E59</f>
        <v>4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70</v>
      </c>
    </row>
    <row r="320" spans="1:9" ht="21.75" customHeight="1" x14ac:dyDescent="0.25">
      <c r="A320" s="29" t="s">
        <v>13</v>
      </c>
      <c r="B320" s="31" t="str">
        <f>'Build Plan w Hours'!C60</f>
        <v>.721</v>
      </c>
      <c r="C320" s="40" t="str">
        <f>'Build Plan w Hours'!D60</f>
        <v>Weld insulation / vacuum rings, lugs, supports, etc.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69</v>
      </c>
      <c r="B322" s="38">
        <f>'Build Plan w Hours'!E60</f>
        <v>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70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tack_x000D_
INCL HANDLE AND HOOK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69</v>
      </c>
      <c r="B328" s="38">
        <f>'Build Plan w Hours'!E61</f>
        <v>12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70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HANDLE AND HOOK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69</v>
      </c>
      <c r="B334" s="38">
        <f>'Build Plan w Hours'!E62</f>
        <v>22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70</v>
      </c>
    </row>
    <row r="338" spans="1:9" ht="21.75" customHeight="1" x14ac:dyDescent="0.25">
      <c r="A338" s="29" t="s">
        <v>13</v>
      </c>
      <c r="B338" s="31" t="str">
        <f>'Build Plan w Hours'!C63</f>
        <v>.735</v>
      </c>
      <c r="C338" s="40" t="str">
        <f>'Build Plan w Hours'!D63</f>
        <v>Install dip pipe supports_x000D_
N2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69</v>
      </c>
      <c r="B340" s="38">
        <f>'Build Plan w Hours'!E63</f>
        <v>1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70</v>
      </c>
    </row>
    <row r="344" spans="1:9" ht="21.75" customHeight="1" x14ac:dyDescent="0.25">
      <c r="A344" s="29" t="s">
        <v>13</v>
      </c>
      <c r="B344" s="31" t="str">
        <f>'Build Plan w Hours'!C64</f>
        <v>.750</v>
      </c>
      <c r="C344" s="40" t="str">
        <f>'Build Plan w Hours'!D64</f>
        <v>Fit handrail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69</v>
      </c>
      <c r="B346" s="38">
        <f>'Build Plan w Hours'!E64</f>
        <v>2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70</v>
      </c>
    </row>
    <row r="350" spans="1:9" ht="21.75" customHeight="1" x14ac:dyDescent="0.25">
      <c r="A350" s="29" t="s">
        <v>13</v>
      </c>
      <c r="B350" s="31" t="str">
        <f>'Build Plan w Hours'!C65</f>
        <v>.755</v>
      </c>
      <c r="C350" s="40" t="str">
        <f>'Build Plan w Hours'!D65</f>
        <v>Fit ladder - install and weld clips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69</v>
      </c>
      <c r="B352" s="38">
        <f>'Build Plan w Hours'!E65</f>
        <v>10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70</v>
      </c>
    </row>
    <row r="356" spans="1:9" ht="21.75" customHeight="1" x14ac:dyDescent="0.25">
      <c r="A356" s="29" t="s">
        <v>13</v>
      </c>
      <c r="B356" s="31" t="str">
        <f>'Build Plan w Hours'!C66</f>
        <v>.760</v>
      </c>
      <c r="C356" s="40" t="str">
        <f>'Build Plan w Hours'!D66</f>
        <v>Fit platform - install and weld clips, bracing, etc.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69</v>
      </c>
      <c r="B358" s="38">
        <f>'Build Plan w Hours'!E66</f>
        <v>10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70</v>
      </c>
    </row>
    <row r="362" spans="1:9" ht="21" customHeight="1" x14ac:dyDescent="0.25">
      <c r="A362" s="29" t="s">
        <v>13</v>
      </c>
      <c r="B362" s="31" t="str">
        <f>'Build Plan w Hours'!C67</f>
        <v>.QC51</v>
      </c>
      <c r="C362" s="40" t="str">
        <f>'Build Plan w Hours'!D67</f>
        <v>UT Components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69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70</v>
      </c>
    </row>
    <row r="368" spans="1:9" ht="21" customHeight="1" x14ac:dyDescent="0.25">
      <c r="A368" s="29" t="s">
        <v>13</v>
      </c>
      <c r="B368" s="31" t="str">
        <f>'Build Plan w Hours'!C68</f>
        <v>.765</v>
      </c>
      <c r="C368" s="40" t="str">
        <f>'Build Plan w Hours'!D68</f>
        <v>Install name tag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69</v>
      </c>
      <c r="B370" s="38">
        <f>'Build Plan w Hours'!E68</f>
        <v>1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70</v>
      </c>
    </row>
    <row r="374" spans="1:9" ht="21" customHeight="1" x14ac:dyDescent="0.25">
      <c r="A374" s="29" t="s">
        <v>13</v>
      </c>
      <c r="B374" s="31" t="str">
        <f>'Build Plan w Hours'!C69</f>
        <v>.900</v>
      </c>
      <c r="C374" s="40" t="str">
        <f>'Build Plan w Hours'!D69</f>
        <v>Dye pen test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69</v>
      </c>
      <c r="B376" s="38">
        <f>'Build Plan w Hours'!E69</f>
        <v>6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70</v>
      </c>
    </row>
    <row r="380" spans="1:9" ht="21" customHeight="1" x14ac:dyDescent="0.25">
      <c r="A380" s="29" t="s">
        <v>13</v>
      </c>
      <c r="B380" s="31" t="str">
        <f>'Build Plan w Hours'!C70</f>
        <v>.770</v>
      </c>
      <c r="C380" s="40" t="str">
        <f>'Build Plan w Hours'!D70</f>
        <v>Inspect tank, make repairs, get QC inspector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69</v>
      </c>
      <c r="B382" s="38">
        <f>'Build Plan w Hours'!E70</f>
        <v>1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70</v>
      </c>
    </row>
    <row r="386" spans="1:9" ht="21" customHeight="1" x14ac:dyDescent="0.25">
      <c r="A386" s="29" t="s">
        <v>13</v>
      </c>
      <c r="B386" s="31" t="str">
        <f>'Build Plan w Hours'!C71</f>
        <v>.QC6</v>
      </c>
      <c r="C386" s="40" t="str">
        <f>'Build Plan w Hours'!D71</f>
        <v>QC Inspection - Fabrication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69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70</v>
      </c>
    </row>
    <row r="392" spans="1:9" ht="21" customHeight="1" x14ac:dyDescent="0.25">
      <c r="A392" s="29" t="s">
        <v>13</v>
      </c>
      <c r="B392" s="31" t="str">
        <f>'Build Plan w Hours'!C72</f>
        <v>.801</v>
      </c>
      <c r="C392" s="40" t="str">
        <f>'Build Plan w Hours'!D72</f>
        <v>Move to shop test area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69</v>
      </c>
      <c r="B394" s="38">
        <f>'Build Plan w Hours'!E72</f>
        <v>2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70</v>
      </c>
    </row>
    <row r="398" spans="1:9" ht="21" customHeight="1" x14ac:dyDescent="0.25">
      <c r="A398" s="29" t="s">
        <v>13</v>
      </c>
      <c r="B398" s="31" t="str">
        <f>'Build Plan w Hours'!C73</f>
        <v>.910</v>
      </c>
      <c r="C398" s="40" t="str">
        <f>'Build Plan w Hours'!D73</f>
        <v>Test tank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69</v>
      </c>
      <c r="B400" s="38">
        <f>'Build Plan w Hours'!E73</f>
        <v>10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70</v>
      </c>
    </row>
    <row r="404" spans="1:9" ht="21" customHeight="1" x14ac:dyDescent="0.25">
      <c r="A404" s="29" t="s">
        <v>13</v>
      </c>
      <c r="B404" s="31" t="str">
        <f>'Build Plan w Hours'!C74</f>
        <v>.QC7</v>
      </c>
      <c r="C404" s="40" t="str">
        <f>'Build Plan w Hours'!D74</f>
        <v>QC Inspection - Test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69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70</v>
      </c>
    </row>
    <row r="410" spans="1:9" ht="21" customHeight="1" x14ac:dyDescent="0.25">
      <c r="A410" s="29" t="s">
        <v>13</v>
      </c>
      <c r="B410" s="31" t="str">
        <f>'Build Plan w Hours'!C75</f>
        <v>.920</v>
      </c>
      <c r="C410" s="40" t="str">
        <f>'Build Plan w Hours'!D75</f>
        <v>Clean tank complete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69</v>
      </c>
      <c r="B412" s="38">
        <f>'Build Plan w Hours'!E75</f>
        <v>35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70</v>
      </c>
    </row>
    <row r="416" spans="1:9" ht="21" customHeight="1" x14ac:dyDescent="0.25">
      <c r="A416" s="29" t="s">
        <v>13</v>
      </c>
      <c r="B416" s="31" t="str">
        <f>'Build Plan w Hours'!C76</f>
        <v>.QC8</v>
      </c>
      <c r="C416" s="40" t="str">
        <f>'Build Plan w Hours'!D76</f>
        <v>QC Inspection - Clean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69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70</v>
      </c>
    </row>
    <row r="422" spans="1:9" ht="21" customHeight="1" x14ac:dyDescent="0.25">
      <c r="A422" s="29" t="s">
        <v>13</v>
      </c>
      <c r="B422" s="31" t="str">
        <f>'Build Plan w Hours'!C77</f>
        <v>.QC95</v>
      </c>
      <c r="C422" s="40" t="str">
        <f>'Build Plan w Hours'!D77</f>
        <v>QC Inspection - Final &amp; Loose Items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69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70</v>
      </c>
    </row>
    <row r="428" spans="1:9" ht="21" customHeight="1" x14ac:dyDescent="0.25">
      <c r="A428" s="29" t="s">
        <v>13</v>
      </c>
      <c r="B428" s="31" t="str">
        <f>'Build Plan w Hours'!C78</f>
        <v>.970</v>
      </c>
      <c r="C428" s="40" t="str">
        <f>'Build Plan w Hours'!D78</f>
        <v>Take parts to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69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70</v>
      </c>
    </row>
    <row r="434" spans="1:9" ht="21" customHeight="1" x14ac:dyDescent="0.25">
      <c r="A434" s="29" t="s">
        <v>13</v>
      </c>
      <c r="B434" s="31" t="str">
        <f>'Build Plan w Hours'!C79</f>
        <v>.972</v>
      </c>
      <c r="C434" s="40" t="str">
        <f>'Build Plan w Hours'!D79</f>
        <v>Pick up parts from galvanizers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69</v>
      </c>
      <c r="B436" s="38">
        <f>'Build Plan w Hours'!E79</f>
        <v>3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69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69</v>
      </c>
      <c r="B448" s="38" t="str">
        <f>'Build Plan w Hours'!E81</f>
        <v/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69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69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69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69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69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70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70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70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70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70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70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70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70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70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70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70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70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70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70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70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70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70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70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70</v>
      </c>
    </row>
    <row r="110" spans="1:9" ht="21.75" customHeight="1" x14ac:dyDescent="0.25">
      <c r="A110" s="29" t="s">
        <v>13</v>
      </c>
      <c r="B110" s="31" t="str">
        <f>'Build Plan w Hours'!C25</f>
        <v>.262</v>
      </c>
      <c r="C110" s="40" t="str">
        <f>'Build Plan w Hours'!D25</f>
        <v>Cut/make parts for ladder: rungs, rails,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70</v>
      </c>
    </row>
    <row r="116" spans="1:9" ht="21.75" customHeight="1" x14ac:dyDescent="0.25">
      <c r="A116" s="29" t="s">
        <v>13</v>
      </c>
      <c r="B116" s="31" t="str">
        <f>'Build Plan w Hours'!C26</f>
        <v>.265</v>
      </c>
      <c r="C116" s="40" t="str">
        <f>'Build Plan w Hours'!D26</f>
        <v>Form and roll ladder hoops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70</v>
      </c>
    </row>
    <row r="122" spans="1:9" ht="21.75" customHeight="1" x14ac:dyDescent="0.25">
      <c r="A122" s="29" t="s">
        <v>13</v>
      </c>
      <c r="B122" s="31" t="str">
        <f>'Build Plan w Hours'!C27</f>
        <v>.270</v>
      </c>
      <c r="C122" s="40" t="str">
        <f>'Build Plan w Hours'!D27</f>
        <v>Build ladder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70</v>
      </c>
    </row>
    <row r="128" spans="1:9" ht="21.75" customHeight="1" x14ac:dyDescent="0.25">
      <c r="A128" s="29" t="s">
        <v>13</v>
      </c>
      <c r="B128" s="31" t="str">
        <f>'Build Plan w Hours'!C28</f>
        <v>.272</v>
      </c>
      <c r="C128" s="40" t="str">
        <f>'Build Plan w Hours'!D28</f>
        <v>Cut/Build parts for handrail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70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70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70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70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70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70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70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70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SET UP (2) DOUBLE SHELLS ***NOTE BOTTOM HEAD SLOPE***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70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(2) DOUBLE SHELLS  ***WELD LONG SEAMS W COBOT***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70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70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70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holes_x000D_
CUT HOLES 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70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tack_x000D_
INCL CABLE SUPPORT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70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 _x000D_
INCL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70</v>
      </c>
    </row>
    <row r="218" spans="1:9" ht="21.75" customHeight="1" x14ac:dyDescent="0.25">
      <c r="A218" s="29" t="s">
        <v>13</v>
      </c>
      <c r="B218" s="31" t="str">
        <f>'Build Plan w Hours'!C43</f>
        <v>.370</v>
      </c>
      <c r="C218" s="40" t="str">
        <f>'Build Plan w Hours'!D43</f>
        <v>Install and weld out repads - top head_x000D_
FOR CABLE SUPPORT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70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70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70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70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  ***NOTE BOTTOM SLOPE***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70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70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70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70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70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CUT HOLES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70</v>
      </c>
    </row>
    <row r="278" spans="1:9" ht="21.75" customHeight="1" x14ac:dyDescent="0.25">
      <c r="A278" s="29" t="s">
        <v>13</v>
      </c>
      <c r="B278" s="31" t="str">
        <f>'Build Plan w Hours'!C53</f>
        <v>.630</v>
      </c>
      <c r="C278" s="40" t="str">
        <f>'Build Plan w Hours'!D53</f>
        <v>Install internals - wear plates, rings, clips, etc._x000D_
HANDLE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70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70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70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70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70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AND TIE-OFF LUGS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70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70</v>
      </c>
    </row>
    <row r="320" spans="1:9" ht="21.75" customHeight="1" x14ac:dyDescent="0.25">
      <c r="A320" s="29" t="s">
        <v>13</v>
      </c>
      <c r="B320" s="31" t="str">
        <f>'Build Plan w Hours'!C60</f>
        <v>.721</v>
      </c>
      <c r="C320" s="40" t="str">
        <f>'Build Plan w Hours'!D60</f>
        <v>Weld insulation / vacuum rings, lugs, supports, etc.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70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tack_x000D_
INCL HANDLE AND HOOK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70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HANDLE AND HOOK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70</v>
      </c>
    </row>
    <row r="338" spans="1:9" ht="21.75" customHeight="1" x14ac:dyDescent="0.25">
      <c r="A338" s="29" t="s">
        <v>13</v>
      </c>
      <c r="B338" s="31" t="str">
        <f>'Build Plan w Hours'!C63</f>
        <v>.735</v>
      </c>
      <c r="C338" s="40" t="str">
        <f>'Build Plan w Hours'!D63</f>
        <v>Install dip pipe supports_x000D_
N2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70</v>
      </c>
    </row>
    <row r="344" spans="1:9" ht="21.75" customHeight="1" x14ac:dyDescent="0.25">
      <c r="A344" s="29" t="s">
        <v>13</v>
      </c>
      <c r="B344" s="31" t="str">
        <f>'Build Plan w Hours'!C64</f>
        <v>.750</v>
      </c>
      <c r="C344" s="40" t="str">
        <f>'Build Plan w Hours'!D64</f>
        <v>Fit handrail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70</v>
      </c>
    </row>
    <row r="350" spans="1:9" ht="21.75" customHeight="1" x14ac:dyDescent="0.25">
      <c r="A350" s="29" t="s">
        <v>13</v>
      </c>
      <c r="B350" s="31" t="str">
        <f>'Build Plan w Hours'!C65</f>
        <v>.755</v>
      </c>
      <c r="C350" s="40" t="str">
        <f>'Build Plan w Hours'!D65</f>
        <v>Fit ladder - install and weld clips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70</v>
      </c>
    </row>
    <row r="356" spans="1:9" ht="21.75" customHeight="1" x14ac:dyDescent="0.25">
      <c r="A356" s="29" t="s">
        <v>13</v>
      </c>
      <c r="B356" s="31" t="str">
        <f>'Build Plan w Hours'!C66</f>
        <v>.760</v>
      </c>
      <c r="C356" s="40" t="str">
        <f>'Build Plan w Hours'!D66</f>
        <v>Fit platform - install and weld clips, bracing, etc.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70</v>
      </c>
    </row>
    <row r="362" spans="1:9" ht="21.75" customHeight="1" x14ac:dyDescent="0.25">
      <c r="A362" s="29" t="s">
        <v>13</v>
      </c>
      <c r="B362" s="31" t="str">
        <f>'Build Plan w Hours'!C67</f>
        <v>.QC51</v>
      </c>
      <c r="C362" s="40" t="str">
        <f>'Build Plan w Hours'!D67</f>
        <v>UT Components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70</v>
      </c>
    </row>
    <row r="368" spans="1:9" ht="21.75" customHeight="1" x14ac:dyDescent="0.25">
      <c r="A368" s="29" t="s">
        <v>13</v>
      </c>
      <c r="B368" s="31" t="str">
        <f>'Build Plan w Hours'!C68</f>
        <v>.765</v>
      </c>
      <c r="C368" s="40" t="str">
        <f>'Build Plan w Hours'!D68</f>
        <v>Install name tag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70</v>
      </c>
    </row>
    <row r="374" spans="1:9" ht="21.75" customHeight="1" x14ac:dyDescent="0.25">
      <c r="A374" s="29" t="s">
        <v>13</v>
      </c>
      <c r="B374" s="31" t="str">
        <f>'Build Plan w Hours'!C69</f>
        <v>.900</v>
      </c>
      <c r="C374" s="40" t="str">
        <f>'Build Plan w Hours'!D69</f>
        <v>Dye pen test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70</v>
      </c>
    </row>
    <row r="380" spans="1:9" ht="21.75" customHeight="1" x14ac:dyDescent="0.25">
      <c r="A380" s="29" t="s">
        <v>13</v>
      </c>
      <c r="B380" s="31" t="str">
        <f>'Build Plan w Hours'!C70</f>
        <v>.770</v>
      </c>
      <c r="C380" s="40" t="str">
        <f>'Build Plan w Hours'!D70</f>
        <v>Inspect tank, make repairs, get QC inspector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70</v>
      </c>
    </row>
    <row r="386" spans="1:9" ht="21.75" customHeight="1" x14ac:dyDescent="0.25">
      <c r="A386" s="29" t="s">
        <v>13</v>
      </c>
      <c r="B386" s="31" t="str">
        <f>'Build Plan w Hours'!C71</f>
        <v>.QC6</v>
      </c>
      <c r="C386" s="40" t="str">
        <f>'Build Plan w Hours'!D71</f>
        <v>QC Inspection - Fabrication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70</v>
      </c>
    </row>
    <row r="392" spans="1:9" ht="21" customHeight="1" x14ac:dyDescent="0.25">
      <c r="A392" s="29" t="s">
        <v>13</v>
      </c>
      <c r="B392" s="31" t="str">
        <f>'Build Plan w Hours'!C72</f>
        <v>.801</v>
      </c>
      <c r="C392" s="40" t="str">
        <f>'Build Plan w Hours'!D72</f>
        <v>Move to shop test area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70</v>
      </c>
    </row>
    <row r="398" spans="1:9" ht="21" customHeight="1" x14ac:dyDescent="0.25">
      <c r="A398" s="29" t="s">
        <v>13</v>
      </c>
      <c r="B398" s="31" t="str">
        <f>'Build Plan w Hours'!C73</f>
        <v>.910</v>
      </c>
      <c r="C398" s="40" t="str">
        <f>'Build Plan w Hours'!D73</f>
        <v>Test tank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70</v>
      </c>
    </row>
    <row r="404" spans="1:9" ht="21" customHeight="1" x14ac:dyDescent="0.25">
      <c r="A404" s="29" t="s">
        <v>13</v>
      </c>
      <c r="B404" s="31" t="str">
        <f>'Build Plan w Hours'!C74</f>
        <v>.QC7</v>
      </c>
      <c r="C404" s="40" t="str">
        <f>'Build Plan w Hours'!D74</f>
        <v>QC Inspection - Test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70</v>
      </c>
    </row>
    <row r="410" spans="1:9" ht="21" customHeight="1" x14ac:dyDescent="0.25">
      <c r="A410" s="29" t="s">
        <v>13</v>
      </c>
      <c r="B410" s="31" t="str">
        <f>'Build Plan w Hours'!C75</f>
        <v>.920</v>
      </c>
      <c r="C410" s="40" t="str">
        <f>'Build Plan w Hours'!D75</f>
        <v>Clean tank complete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70</v>
      </c>
    </row>
    <row r="416" spans="1:9" ht="21" customHeight="1" x14ac:dyDescent="0.25">
      <c r="A416" s="29" t="s">
        <v>13</v>
      </c>
      <c r="B416" s="31" t="str">
        <f>'Build Plan w Hours'!C76</f>
        <v>.QC8</v>
      </c>
      <c r="C416" s="40" t="str">
        <f>'Build Plan w Hours'!D76</f>
        <v>QC Inspection - Clean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70</v>
      </c>
    </row>
    <row r="422" spans="1:9" ht="21" customHeight="1" x14ac:dyDescent="0.25">
      <c r="A422" s="29" t="s">
        <v>13</v>
      </c>
      <c r="B422" s="31" t="str">
        <f>'Build Plan w Hours'!C77</f>
        <v>.QC95</v>
      </c>
      <c r="C422" s="40" t="str">
        <f>'Build Plan w Hours'!D77</f>
        <v>QC Inspection - Final &amp; Loose Items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70</v>
      </c>
    </row>
    <row r="428" spans="1:9" ht="21" customHeight="1" x14ac:dyDescent="0.25">
      <c r="A428" s="29" t="s">
        <v>13</v>
      </c>
      <c r="B428" s="31" t="str">
        <f>'Build Plan w Hours'!C78</f>
        <v>.970</v>
      </c>
      <c r="C428" s="40" t="str">
        <f>'Build Plan w Hours'!D78</f>
        <v>Take parts to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70</v>
      </c>
    </row>
    <row r="434" spans="1:9" ht="21" customHeight="1" x14ac:dyDescent="0.25">
      <c r="A434" s="29" t="s">
        <v>13</v>
      </c>
      <c r="B434" s="31" t="str">
        <f>'Build Plan w Hours'!C79</f>
        <v>.972</v>
      </c>
      <c r="C434" s="40" t="str">
        <f>'Build Plan w Hours'!D79</f>
        <v>Pick up parts from galvanizers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70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70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2025-06-17T20:59:29Z</cp:lastPrinted>
  <dcterms:created xsi:type="dcterms:W3CDTF">2016-06-28T20:53:17Z</dcterms:created>
  <dcterms:modified xsi:type="dcterms:W3CDTF">2025-06-17T21:01:39Z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