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22-24 - Cannon - (2) sets of Ladders &amp; Handrails\"/>
    </mc:Choice>
  </mc:AlternateContent>
  <xr:revisionPtr revIDLastSave="0" documentId="8_{D458A9FD-2200-4FF6-B10A-FF0C8E46727A}" xr6:coauthVersionLast="47" xr6:coauthVersionMax="47" xr10:uidLastSave="{00000000-0000-0000-0000-000000000000}"/>
  <bookViews>
    <workbookView xWindow="-120" yWindow="600" windowWidth="29040" windowHeight="1512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Hours'!$A$1:$H$21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<sst xmlns="http://schemas.openxmlformats.org/spreadsheetml/2006/main" count="1422" uniqueCount="108">
  <si>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</si>
  <si>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</si>
  <si>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</si>
  <si>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</si>
  <si>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</si>
  <si>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</si>
  <si>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</si>
  <si>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</si>
  <si>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</si>
  <si>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</si>
  <si>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</si>
  <si>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</si>
  <si>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</si>
  <si>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</si>
  <si>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</si>
  <si>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</si>
  <si>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</si>
  <si>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</si>
  <si>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</si>
  <si>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</si>
  <si>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</si>
  <si>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</si>
  <si>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</si>
  <si>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</si>
  <si>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</si>
  <si>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</si>
  <si>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</si>
  <si>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</si>
  <si>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</si>
  <si>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</si>
  <si>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</si>
  <si>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</si>
  <si>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</si>
  <si>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</si>
  <si>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</si>
  <si>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</si>
  <si>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</si>
  <si>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</si>
  <si>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</si>
  <si>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</si>
  <si>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</si>
  <si>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</si>
  <si>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</si>
  <si>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</si>
  <si>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</si>
  <si>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</si>
  <si>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</si>
  <si>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</si>
  <si>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</si>
  <si>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</si>
  <si>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</si>
  <si>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</si>
  <si>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</si>
  <si>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</si>
  <si>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</si>
  <si>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</si>
  <si>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</si>
  <si>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</si>
  <si>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</si>
  <si>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</si>
  <si>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</si>
  <si>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</si>
  <si>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</si>
  <si>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</si>
  <si>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</si>
  <si>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</si>
  <si>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Receive Material</t>
  </si>
  <si>
    <t>.010</t>
  </si>
  <si>
    <t>UT Top &amp; Bottom Heads</t>
  </si>
  <si>
    <t>.QC1</t>
  </si>
  <si>
    <t>UT top and bottom heads</t>
  </si>
  <si>
    <t>MOVE TANK</t>
  </si>
  <si>
    <t>(2) SETS LADDERS/HANDRAILS</t>
  </si>
  <si>
    <t>01826</t>
  </si>
  <si>
    <t>8906</t>
  </si>
  <si>
    <t>1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</si>
  <si>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</si>
  <si>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</si>
  <si>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</si>
  <si>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</si>
  <si>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</si>
  <si>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</si>
  <si>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</si>
  <si>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</si>
  <si>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</si>
  <si>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</si>
  <si>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</si>
  <si>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</si>
  <si>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</si>
  <si>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</si>
  <si>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</si>
  <si>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</si>
  <si>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</si>
  <si>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</si>
  <si>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</si>
  <si>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</si>
  <si>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</si>
  <si>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</si>
  <si>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</si>
  <si>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</si>
  <si>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</si>
  <si>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</si>
  <si>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</si>
  <si>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</si>
  <si>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QC Inspection - Ret Com</t>
  </si>
  <si>
    <t>.QC21</t>
  </si>
  <si>
    <t>QC Inspection - Returned Components from Subcontractor</t>
  </si>
  <si>
    <t>022-24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</si>
</sst>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2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107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(2) SETS LADDERS/HANDRAILS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.262</v>
      </c>
      <c r="D9" s="22" t="str">
        <f>'Sheet2-PASTE HERE!'!K19</f>
        <v>Cut/make parts for ladder: rungs, rails, etc.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.265</v>
      </c>
      <c r="D10" s="22" t="str">
        <f>'Sheet2-PASTE HERE!'!K20</f>
        <v>Form and roll ladder hoops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.270</v>
      </c>
      <c r="D11" s="22" t="str">
        <f>'Sheet2-PASTE HERE!'!K21</f>
        <v>Build ladder - weld out</v>
      </c>
      <c r="E11" s="13">
        <f>'Sheet2-PASTE HERE!'!F21</f>
        <v>30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.272</v>
      </c>
      <c r="D12" s="22" t="str">
        <f>'Sheet2-PASTE HERE!'!K22</f>
        <v>Cut/Build parts for handrail</v>
      </c>
      <c r="E12" s="13">
        <f>'Sheet2-PASTE HERE!'!F22</f>
        <v>9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.275</v>
      </c>
      <c r="D13" s="22" t="str">
        <f>'Sheet2-PASTE HERE!'!K23</f>
        <v>Roll handrail pipe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.280</v>
      </c>
      <c r="D14" s="22" t="str">
        <f>'Sheet2-PASTE HERE!'!K24</f>
        <v>Roll handrail toe plate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.282</v>
      </c>
      <c r="D15" s="22" t="str">
        <f>'Sheet2-PASTE HERE!'!K25</f>
        <v>Build handrail - weld out</v>
      </c>
      <c r="E15" s="13">
        <f>'Sheet2-PASTE HERE!'!F25</f>
        <v>32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MOVE TANK</v>
      </c>
      <c r="B16" s="11"/>
      <c r="C16" s="17" t="str">
        <f>'Sheet2-PASTE HERE!'!I26</f>
        <v>.802</v>
      </c>
      <c r="D16" s="22" t="str">
        <f>'Sheet2-PASTE HERE!'!K26</f>
        <v>Move to paint area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.QC9</v>
      </c>
      <c r="D17" s="22" t="str">
        <f>'Sheet2-PASTE HERE!'!K27</f>
        <v>QC Inspection - Sandblast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.QC90</v>
      </c>
      <c r="D18" s="22" t="str">
        <f>'Sheet2-PASTE HERE!'!K28</f>
        <v>QC Inspection - Paint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.QC95</v>
      </c>
      <c r="D19" s="22" t="str">
        <f>'Sheet2-PASTE HERE!'!K29</f>
        <v>QC Inspection - Final &amp; Loose Items</v>
      </c>
      <c r="E19" s="13">
        <f>'Sheet2-PASTE HERE!'!F29</f>
        <v>0</v>
      </c>
      <c r="F19" s="12"/>
      <c r="G19" s="12"/>
      <c r="H19" s="12"/>
      <c r="K19">
        <f t="shared" si="2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SHIPPING</v>
      </c>
      <c r="B20" s="11"/>
      <c r="C20" s="17" t="str">
        <f>'Sheet2-PASTE HERE!'!I30</f>
        <v>.960</v>
      </c>
      <c r="D20" s="22" t="str">
        <f>'Sheet2-PASTE HERE!'!K30</f>
        <v>Load on truck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.QC21</v>
      </c>
      <c r="D21" s="22" t="str">
        <f>'Sheet2-PASTE HERE!'!K31</f>
        <v>QC Inspection - Returned Components from Subcontractor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>
        <f>'Sheet2-PASTE HERE!'!A32</f>
        <v>0</v>
      </c>
      <c r="B22" s="11"/>
      <c r="C22" s="17">
        <f>'Sheet2-PASTE HERE!'!I32</f>
        <v>0</v>
      </c>
      <c r="D22" s="22">
        <f>'Sheet2-PASTE HERE!'!K32</f>
        <v>0</v>
      </c>
      <c r="E22" s="13">
        <f>'Sheet2-PASTE HERE!'!F32</f>
        <v>0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>
        <f>'Sheet2-PASTE HERE!'!A33</f>
        <v>0</v>
      </c>
      <c r="B23" s="11"/>
      <c r="C23" s="17">
        <f>'Sheet2-PASTE HERE!'!I33</f>
        <v>0</v>
      </c>
      <c r="D23" s="22">
        <f>'Sheet2-PASTE HERE!'!K33</f>
        <v>0</v>
      </c>
      <c r="E23" s="13" t="str">
        <f>'Sheet2-PASTE HERE!'!F33</f>
        <v/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>
        <f>'Sheet2-PASTE HERE!'!A34</f>
        <v>0</v>
      </c>
      <c r="B24" s="11"/>
      <c r="C24" s="17">
        <f>'Sheet2-PASTE HERE!'!I34</f>
        <v>0</v>
      </c>
      <c r="D24" s="22">
        <f>'Sheet2-PASTE HERE!'!K34</f>
        <v>0</v>
      </c>
      <c r="E24" s="13">
        <f>'Sheet2-PASTE HERE!'!F34</f>
        <v>0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>
        <f>'Sheet2-PASTE HERE!'!F36</f>
        <v>0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107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(2) SETS LADDERS/HANDRAILS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.262</v>
      </c>
      <c r="D9" s="22" t="str">
        <f>'Sheet2-PASTE HERE!'!K19</f>
        <v>Cut/make parts for ladder: rungs, rails, etc.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.265</v>
      </c>
      <c r="D10" s="22" t="str">
        <f>'Sheet2-PASTE HERE!'!K20</f>
        <v>Form and roll ladder hoops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.270</v>
      </c>
      <c r="D11" s="22" t="str">
        <f>'Sheet2-PASTE HERE!'!K21</f>
        <v>Build ladder - weld out</v>
      </c>
      <c r="E11" s="13">
        <f>'Sheet2-PASTE HERE!'!F21</f>
        <v>30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.272</v>
      </c>
      <c r="D12" s="22" t="str">
        <f>'Sheet2-PASTE HERE!'!K22</f>
        <v>Cut/Build parts for handrail</v>
      </c>
      <c r="E12" s="13">
        <f>'Sheet2-PASTE HERE!'!F22</f>
        <v>9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.275</v>
      </c>
      <c r="D13" s="22" t="str">
        <f>'Sheet2-PASTE HERE!'!K23</f>
        <v>Roll handrail pipe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.280</v>
      </c>
      <c r="D14" s="22" t="str">
        <f>'Sheet2-PASTE HERE!'!K24</f>
        <v>Roll handrail toe plate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.282</v>
      </c>
      <c r="D15" s="22" t="str">
        <f>'Sheet2-PASTE HERE!'!K25</f>
        <v>Build handrail - weld out</v>
      </c>
      <c r="E15" s="13">
        <f>'Sheet2-PASTE HERE!'!F25</f>
        <v>32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MOVE TANK</v>
      </c>
      <c r="B16" s="11"/>
      <c r="C16" s="17" t="str">
        <f>'Sheet2-PASTE HERE!'!I26</f>
        <v>.802</v>
      </c>
      <c r="D16" s="22" t="str">
        <f>'Sheet2-PASTE HERE!'!K26</f>
        <v>Move to paint area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.QC9</v>
      </c>
      <c r="D17" s="22" t="str">
        <f>'Sheet2-PASTE HERE!'!K27</f>
        <v>QC Inspection - Sandblast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.QC90</v>
      </c>
      <c r="D18" s="22" t="str">
        <f>'Sheet2-PASTE HERE!'!K28</f>
        <v>QC Inspection - Paint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.QC95</v>
      </c>
      <c r="D19" s="22" t="str">
        <f>'Sheet2-PASTE HERE!'!K29</f>
        <v>QC Inspection - Final &amp; Loose Items</v>
      </c>
      <c r="E19" s="13">
        <f>'Sheet2-PASTE HERE!'!F29</f>
        <v>0</v>
      </c>
      <c r="F19" s="12"/>
      <c r="G19" s="12"/>
      <c r="H19" s="12"/>
      <c r="K19">
        <f t="shared" si="0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SHIPPING</v>
      </c>
      <c r="B20" s="11"/>
      <c r="C20" s="17" t="str">
        <f>'Sheet2-PASTE HERE!'!I30</f>
        <v>.960</v>
      </c>
      <c r="D20" s="22" t="str">
        <f>'Sheet2-PASTE HERE!'!K30</f>
        <v>Load on truck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.QC21</v>
      </c>
      <c r="D21" s="22" t="str">
        <f>'Sheet2-PASTE HERE!'!K31</f>
        <v>QC Inspection - Returned Components from Subcontractor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>
        <f>'Sheet2-PASTE HERE!'!A32</f>
        <v>0</v>
      </c>
      <c r="B22" s="11"/>
      <c r="C22" s="17">
        <f>'Sheet2-PASTE HERE!'!I32</f>
        <v>0</v>
      </c>
      <c r="D22" s="22">
        <f>'Sheet2-PASTE HERE!'!K32</f>
        <v>0</v>
      </c>
      <c r="E22" s="13">
        <f>'Sheet2-PASTE HERE!'!F32</f>
        <v>0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>
        <f>'Sheet2-PASTE HERE!'!A33</f>
        <v>0</v>
      </c>
      <c r="B23" s="11"/>
      <c r="C23" s="17">
        <f>'Sheet2-PASTE HERE!'!I33</f>
        <v>0</v>
      </c>
      <c r="D23" s="22">
        <f>'Sheet2-PASTE HERE!'!K33</f>
        <v>0</v>
      </c>
      <c r="E23" s="13" t="str">
        <f>'Sheet2-PASTE HERE!'!F33</f>
        <v/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>
        <f>'Sheet2-PASTE HERE!'!A34</f>
        <v>0</v>
      </c>
      <c r="B24" s="11"/>
      <c r="C24" s="17">
        <f>'Sheet2-PASTE HERE!'!I34</f>
        <v>0</v>
      </c>
      <c r="D24" s="22">
        <f>'Sheet2-PASTE HERE!'!K34</f>
        <v>0</v>
      </c>
      <c r="E24" s="13">
        <f>'Sheet2-PASTE HERE!'!F34</f>
        <v>0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>
        <f>'Sheet2-PASTE HERE!'!F36</f>
        <v>0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72</v>
      </c>
      <c r="C1" s="8" t="s">
        <v>17</v>
      </c>
      <c r="D1" s="8" t="s">
        <v>73</v>
      </c>
      <c r="E1" s="8" t="s">
        <v>18</v>
      </c>
      <c r="F1" s="8" t="s">
        <v>74</v>
      </c>
      <c r="G1" s="8" t="s">
        <v>72</v>
      </c>
      <c r="H1" s="8" t="s">
        <v>20</v>
      </c>
      <c r="I1" s="8" t="s">
        <v>75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45412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48540</v>
      </c>
      <c r="C17" s="19">
        <v>0</v>
      </c>
      <c r="D17" s="8" t="s">
        <v>66</v>
      </c>
      <c r="E17" s="20">
        <v>0</v>
      </c>
      <c r="F17" s="20">
        <v>0</v>
      </c>
      <c r="G17" s="8" t="s">
        <v>54</v>
      </c>
      <c r="H17" s="20">
        <v>0</v>
      </c>
      <c r="I17" s="8" t="s">
        <v>67</v>
      </c>
      <c r="J17" s="19">
        <v>0</v>
      </c>
      <c r="K17" s="8" t="s">
        <v>66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48541</v>
      </c>
      <c r="C18" s="19">
        <v>0</v>
      </c>
      <c r="D18" s="8" t="s">
        <v>68</v>
      </c>
      <c r="E18" s="20">
        <v>0</v>
      </c>
      <c r="F18" s="20">
        <v>0</v>
      </c>
      <c r="G18" s="8" t="s">
        <v>54</v>
      </c>
      <c r="H18" s="20">
        <v>0</v>
      </c>
      <c r="I18" s="8" t="s">
        <v>69</v>
      </c>
      <c r="J18" s="19">
        <v>0</v>
      </c>
      <c r="K18" s="8" t="s">
        <v>70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48542</v>
      </c>
      <c r="C19" s="19">
        <v>0</v>
      </c>
      <c r="D19" s="8" t="s">
        <v>76</v>
      </c>
      <c r="E19" s="20">
        <v>0</v>
      </c>
      <c r="F19" s="20">
        <v>8</v>
      </c>
      <c r="G19" s="8" t="s">
        <v>54</v>
      </c>
      <c r="H19" s="20">
        <v>8</v>
      </c>
      <c r="I19" s="8" t="s">
        <v>77</v>
      </c>
      <c r="J19" s="19">
        <v>0</v>
      </c>
      <c r="K19" s="8" t="s">
        <v>78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48543</v>
      </c>
      <c r="C20" s="19">
        <v>0</v>
      </c>
      <c r="D20" s="8" t="s">
        <v>79</v>
      </c>
      <c r="E20" s="20">
        <v>0</v>
      </c>
      <c r="F20" s="20">
        <v>4</v>
      </c>
      <c r="G20" s="8" t="s">
        <v>54</v>
      </c>
      <c r="H20" s="20">
        <v>4</v>
      </c>
      <c r="I20" s="8" t="s">
        <v>80</v>
      </c>
      <c r="J20" s="19">
        <v>0</v>
      </c>
      <c r="K20" s="8" t="s">
        <v>81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48544</v>
      </c>
      <c r="C21" s="19">
        <v>0</v>
      </c>
      <c r="D21" s="8" t="s">
        <v>82</v>
      </c>
      <c r="E21" s="20">
        <v>0</v>
      </c>
      <c r="F21" s="20">
        <v>30</v>
      </c>
      <c r="G21" s="8" t="s">
        <v>54</v>
      </c>
      <c r="H21" s="20">
        <v>30</v>
      </c>
      <c r="I21" s="8" t="s">
        <v>83</v>
      </c>
      <c r="J21" s="19">
        <v>0</v>
      </c>
      <c r="K21" s="8" t="s">
        <v>84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48545</v>
      </c>
      <c r="C22" s="19">
        <v>0</v>
      </c>
      <c r="D22" s="8" t="s">
        <v>85</v>
      </c>
      <c r="E22" s="20">
        <v>0</v>
      </c>
      <c r="F22" s="20">
        <v>9</v>
      </c>
      <c r="G22" s="8" t="s">
        <v>54</v>
      </c>
      <c r="H22" s="20">
        <v>9</v>
      </c>
      <c r="I22" s="8" t="s">
        <v>86</v>
      </c>
      <c r="J22" s="19">
        <v>0</v>
      </c>
      <c r="K22" s="8" t="s">
        <v>87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48546</v>
      </c>
      <c r="C23" s="19">
        <v>0</v>
      </c>
      <c r="D23" s="8" t="s">
        <v>88</v>
      </c>
      <c r="E23" s="20">
        <v>0</v>
      </c>
      <c r="F23" s="20">
        <v>4</v>
      </c>
      <c r="G23" s="8" t="s">
        <v>54</v>
      </c>
      <c r="H23" s="20">
        <v>4</v>
      </c>
      <c r="I23" s="8" t="s">
        <v>89</v>
      </c>
      <c r="J23" s="19">
        <v>0</v>
      </c>
      <c r="K23" s="8" t="s">
        <v>90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48547</v>
      </c>
      <c r="C24" s="19">
        <v>0</v>
      </c>
      <c r="D24" s="8" t="s">
        <v>91</v>
      </c>
      <c r="E24" s="20">
        <v>0</v>
      </c>
      <c r="F24" s="20">
        <v>2</v>
      </c>
      <c r="G24" s="8" t="s">
        <v>54</v>
      </c>
      <c r="H24" s="20">
        <v>2</v>
      </c>
      <c r="I24" s="8" t="s">
        <v>92</v>
      </c>
      <c r="J24" s="19">
        <v>0</v>
      </c>
      <c r="K24" s="8" t="s">
        <v>93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48548</v>
      </c>
      <c r="C25" s="19">
        <v>0</v>
      </c>
      <c r="D25" s="8" t="s">
        <v>94</v>
      </c>
      <c r="E25" s="20">
        <v>0</v>
      </c>
      <c r="F25" s="20">
        <v>32</v>
      </c>
      <c r="G25" s="8" t="s">
        <v>54</v>
      </c>
      <c r="H25" s="20">
        <v>32</v>
      </c>
      <c r="I25" s="8" t="s">
        <v>95</v>
      </c>
      <c r="J25" s="19">
        <v>0</v>
      </c>
      <c r="K25" s="8" t="s">
        <v>96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71</v>
      </c>
      <c r="B26" s="18">
        <v>48549</v>
      </c>
      <c r="C26" s="19">
        <v>0</v>
      </c>
      <c r="D26" s="8" t="s">
        <v>97</v>
      </c>
      <c r="E26" s="20">
        <v>0</v>
      </c>
      <c r="F26" s="20">
        <v>2</v>
      </c>
      <c r="G26" s="8" t="s">
        <v>54</v>
      </c>
      <c r="H26" s="20">
        <v>2</v>
      </c>
      <c r="I26" s="8" t="s">
        <v>98</v>
      </c>
      <c r="J26" s="19">
        <v>0</v>
      </c>
      <c r="K26" s="8" t="s">
        <v>99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48550</v>
      </c>
      <c r="C27" s="19">
        <v>0</v>
      </c>
      <c r="D27" s="8" t="s">
        <v>100</v>
      </c>
      <c r="E27" s="20">
        <v>0</v>
      </c>
      <c r="F27" s="20">
        <v>0</v>
      </c>
      <c r="G27" s="8" t="s">
        <v>54</v>
      </c>
      <c r="H27" s="20">
        <v>0</v>
      </c>
      <c r="I27" s="8" t="s">
        <v>101</v>
      </c>
      <c r="J27" s="19">
        <v>0</v>
      </c>
      <c r="K27" s="8" t="s">
        <v>100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48551</v>
      </c>
      <c r="C28" s="19">
        <v>0</v>
      </c>
      <c r="D28" s="8" t="s">
        <v>102</v>
      </c>
      <c r="E28" s="20">
        <v>0</v>
      </c>
      <c r="F28" s="20">
        <v>0</v>
      </c>
      <c r="G28" s="8" t="s">
        <v>54</v>
      </c>
      <c r="H28" s="20">
        <v>0</v>
      </c>
      <c r="I28" s="8" t="s">
        <v>103</v>
      </c>
      <c r="J28" s="19">
        <v>0</v>
      </c>
      <c r="K28" s="8" t="s">
        <v>102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53</v>
      </c>
      <c r="B29" s="18">
        <v>48552</v>
      </c>
      <c r="C29" s="19">
        <v>0</v>
      </c>
      <c r="D29" s="8" t="s">
        <v>57</v>
      </c>
      <c r="E29" s="20">
        <v>0</v>
      </c>
      <c r="F29" s="20">
        <v>0</v>
      </c>
      <c r="G29" s="8" t="s">
        <v>54</v>
      </c>
      <c r="H29" s="20">
        <v>0</v>
      </c>
      <c r="I29" s="8" t="s">
        <v>58</v>
      </c>
      <c r="J29" s="19">
        <v>0</v>
      </c>
      <c r="K29" s="8" t="s">
        <v>59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60</v>
      </c>
      <c r="B30" s="18">
        <v>48553</v>
      </c>
      <c r="C30" s="19">
        <v>0</v>
      </c>
      <c r="D30" s="8" t="s">
        <v>61</v>
      </c>
      <c r="E30" s="20">
        <v>0</v>
      </c>
      <c r="F30" s="20">
        <v>3</v>
      </c>
      <c r="G30" s="8" t="s">
        <v>54</v>
      </c>
      <c r="H30" s="20">
        <v>3</v>
      </c>
      <c r="I30" s="8" t="s">
        <v>62</v>
      </c>
      <c r="J30" s="19">
        <v>0</v>
      </c>
      <c r="K30" s="8" t="s">
        <v>63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48554</v>
      </c>
      <c r="C31" s="19">
        <v>0</v>
      </c>
      <c r="D31" s="8" t="s">
        <v>104</v>
      </c>
      <c r="E31" s="20">
        <v>0</v>
      </c>
      <c r="F31" s="20">
        <v>0</v>
      </c>
      <c r="G31" s="8" t="s">
        <v>54</v>
      </c>
      <c r="H31" s="20">
        <v>0</v>
      </c>
      <c r="I31" s="8" t="s">
        <v>105</v>
      </c>
      <c r="J31" s="19">
        <v>0</v>
      </c>
      <c r="K31" s="8" t="s">
        <v>106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/>
    <row r="33" spans="2:10" ht="12.75" customHeight="1" x14ac:dyDescent="0.2">
      <c r="B33" s="8" t="s">
        <v>16</v>
      </c>
      <c r="C33" s="8" t="s">
        <v>72</v>
      </c>
      <c r="E33" s="8" t="s">
        <v>19</v>
      </c>
      <c r="F33" s="8" t="s">
        <v>19</v>
      </c>
      <c r="G33" s="8" t="s">
        <v>21</v>
      </c>
      <c r="H33" s="8" t="s">
        <v>19</v>
      </c>
      <c r="J33" s="8" t="s">
        <v>19</v>
      </c>
    </row>
    <row r="34" spans="2:10" ht="12.75" customHeight="1" x14ac:dyDescent="0.2"/>
    <row r="35" spans="2:10" ht="12.75" customHeight="1" x14ac:dyDescent="0.2"/>
    <row r="36" spans="2:10" ht="12.75" customHeight="1" x14ac:dyDescent="0.2"/>
    <row r="37" spans="2:10" ht="12.75" customHeight="1" x14ac:dyDescent="0.2"/>
    <row r="38" spans="2:10" ht="12.75" customHeight="1" x14ac:dyDescent="0.2"/>
    <row r="39" spans="2:10" ht="12.75" customHeight="1" x14ac:dyDescent="0.2"/>
    <row r="40" spans="2:10" ht="12.75" customHeight="1" x14ac:dyDescent="0.2"/>
    <row r="41" spans="2:10" ht="12.75" customHeight="1" x14ac:dyDescent="0.2"/>
    <row r="42" spans="2:10" ht="12.75" customHeight="1" x14ac:dyDescent="0.2"/>
    <row r="43" spans="2:10" ht="12.75" customHeight="1" x14ac:dyDescent="0.2"/>
    <row r="44" spans="2:10" ht="12.75" customHeight="1" x14ac:dyDescent="0.2"/>
    <row r="45" spans="2:10" ht="12.75" customHeight="1" x14ac:dyDescent="0.2"/>
    <row r="46" spans="2:10" ht="12.75" customHeight="1" x14ac:dyDescent="0.2"/>
    <row r="47" spans="2:10" ht="12.75" customHeight="1" x14ac:dyDescent="0.2"/>
    <row r="48" spans="2:10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65</v>
      </c>
    </row>
    <row r="14" spans="1:9" ht="21.75" customHeight="1" x14ac:dyDescent="0.25">
      <c r="A14" s="29" t="s">
        <v>13</v>
      </c>
      <c r="B14" s="31" t="str">
        <f>'Build Plan w Hours'!C9</f>
        <v>.262</v>
      </c>
      <c r="C14" s="40" t="str">
        <f>'Build Plan w Hours'!D9</f>
        <v>Cut/make parts for ladder: rungs, rails, etc.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64</v>
      </c>
      <c r="B16" s="38">
        <f>'Build Plan w Hours'!E9</f>
        <v>8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65</v>
      </c>
    </row>
    <row r="20" spans="1:9" ht="21.75" customHeight="1" x14ac:dyDescent="0.25">
      <c r="A20" s="29" t="s">
        <v>13</v>
      </c>
      <c r="B20" s="31" t="str">
        <f>'Build Plan w Hours'!C10</f>
        <v>.265</v>
      </c>
      <c r="C20" s="40" t="str">
        <f>'Build Plan w Hours'!D10</f>
        <v>Form and roll ladder hoops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64</v>
      </c>
      <c r="B22" s="38">
        <f>'Build Plan w Hours'!E10</f>
        <v>4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65</v>
      </c>
    </row>
    <row r="26" spans="1:9" ht="21.75" customHeight="1" x14ac:dyDescent="0.25">
      <c r="A26" s="29" t="s">
        <v>13</v>
      </c>
      <c r="B26" s="31" t="str">
        <f>'Build Plan w Hours'!C11</f>
        <v>.270</v>
      </c>
      <c r="C26" s="40" t="str">
        <f>'Build Plan w Hours'!D11</f>
        <v>Build ladder - weld out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64</v>
      </c>
      <c r="B28" s="38">
        <f>'Build Plan w Hours'!E11</f>
        <v>30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65</v>
      </c>
    </row>
    <row r="32" spans="1:9" ht="21.75" customHeight="1" x14ac:dyDescent="0.25">
      <c r="A32" s="29" t="s">
        <v>13</v>
      </c>
      <c r="B32" s="31" t="str">
        <f>'Build Plan w Hours'!C12</f>
        <v>.272</v>
      </c>
      <c r="C32" s="40" t="str">
        <f>'Build Plan w Hours'!D12</f>
        <v>Cut/Build parts for handrail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64</v>
      </c>
      <c r="B34" s="38">
        <f>'Build Plan w Hours'!E12</f>
        <v>9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65</v>
      </c>
    </row>
    <row r="38" spans="1:9" ht="21.75" customHeight="1" x14ac:dyDescent="0.25">
      <c r="A38" s="29" t="s">
        <v>13</v>
      </c>
      <c r="B38" s="31" t="str">
        <f>'Build Plan w Hours'!C13</f>
        <v>.275</v>
      </c>
      <c r="C38" s="40" t="str">
        <f>'Build Plan w Hours'!D13</f>
        <v>Roll handrail pipe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64</v>
      </c>
      <c r="B40" s="38">
        <f>'Build Plan w Hours'!E13</f>
        <v>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65</v>
      </c>
    </row>
    <row r="44" spans="1:9" ht="21.75" customHeight="1" x14ac:dyDescent="0.25">
      <c r="A44" s="29" t="s">
        <v>13</v>
      </c>
      <c r="B44" s="31" t="str">
        <f>'Build Plan w Hours'!C14</f>
        <v>.280</v>
      </c>
      <c r="C44" s="40" t="str">
        <f>'Build Plan w Hours'!D14</f>
        <v>Roll handrail toe plate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64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65</v>
      </c>
    </row>
    <row r="50" spans="1:9" ht="21.75" customHeight="1" x14ac:dyDescent="0.25">
      <c r="A50" s="29" t="s">
        <v>13</v>
      </c>
      <c r="B50" s="31" t="str">
        <f>'Build Plan w Hours'!C15</f>
        <v>.282</v>
      </c>
      <c r="C50" s="40" t="str">
        <f>'Build Plan w Hours'!D15</f>
        <v>Build handrail - weld out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64</v>
      </c>
      <c r="B52" s="38">
        <f>'Build Plan w Hours'!E15</f>
        <v>32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65</v>
      </c>
    </row>
    <row r="56" spans="1:9" ht="21.75" customHeight="1" x14ac:dyDescent="0.25">
      <c r="A56" s="29" t="s">
        <v>13</v>
      </c>
      <c r="B56" s="31" t="str">
        <f>'Build Plan w Hours'!C16</f>
        <v>.802</v>
      </c>
      <c r="C56" s="40" t="str">
        <f>'Build Plan w Hours'!D16</f>
        <v>Move to paint area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64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65</v>
      </c>
    </row>
    <row r="62" spans="1:9" ht="21.75" customHeight="1" x14ac:dyDescent="0.25">
      <c r="A62" s="29" t="s">
        <v>13</v>
      </c>
      <c r="B62" s="31" t="str">
        <f>'Build Plan w Hours'!C17</f>
        <v>.QC9</v>
      </c>
      <c r="C62" s="40" t="str">
        <f>'Build Plan w Hours'!D17</f>
        <v>QC Inspection - Sandblast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64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65</v>
      </c>
    </row>
    <row r="68" spans="1:9" ht="21.75" customHeight="1" x14ac:dyDescent="0.25">
      <c r="A68" s="29" t="s">
        <v>13</v>
      </c>
      <c r="B68" s="31" t="str">
        <f>'Build Plan w Hours'!C18</f>
        <v>.QC90</v>
      </c>
      <c r="C68" s="40" t="str">
        <f>'Build Plan w Hours'!D18</f>
        <v>QC Inspection - Paint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64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65</v>
      </c>
    </row>
    <row r="74" spans="1:9" ht="21.75" customHeight="1" x14ac:dyDescent="0.25">
      <c r="A74" s="29" t="s">
        <v>13</v>
      </c>
      <c r="B74" s="31" t="str">
        <f>'Build Plan w Hours'!C19</f>
        <v>.QC95</v>
      </c>
      <c r="C74" s="40" t="str">
        <f>'Build Plan w Hours'!D19</f>
        <v>QC Inspection - Final &amp; Loose Items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64</v>
      </c>
      <c r="B76" s="38">
        <f>'Build Plan w Hours'!E19</f>
        <v>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65</v>
      </c>
    </row>
    <row r="80" spans="1:9" ht="21.75" customHeight="1" x14ac:dyDescent="0.25">
      <c r="A80" s="29" t="s">
        <v>13</v>
      </c>
      <c r="B80" s="31" t="str">
        <f>'Build Plan w Hours'!C20</f>
        <v>.960</v>
      </c>
      <c r="C80" s="40" t="str">
        <f>'Build Plan w Hours'!D20</f>
        <v>Load on truck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64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65</v>
      </c>
    </row>
    <row r="86" spans="1:9" ht="21.75" customHeight="1" x14ac:dyDescent="0.25">
      <c r="A86" s="29" t="s">
        <v>13</v>
      </c>
      <c r="B86" s="31" t="str">
        <f>'Build Plan w Hours'!C21</f>
        <v>.QC21</v>
      </c>
      <c r="C86" s="40" t="str">
        <f>'Build Plan w Hours'!D21</f>
        <v>QC Inspection - Returned Components from Subcontractor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64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65</v>
      </c>
    </row>
    <row r="92" spans="1:9" ht="21.75" customHeight="1" x14ac:dyDescent="0.25">
      <c r="A92" s="29" t="s">
        <v>13</v>
      </c>
      <c r="B92" s="31">
        <f>'Build Plan w Hours'!C22</f>
        <v>0</v>
      </c>
      <c r="C92" s="40">
        <f>'Build Plan w Hours'!D22</f>
        <v>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64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65</v>
      </c>
    </row>
    <row r="98" spans="1:9" ht="21.75" customHeight="1" x14ac:dyDescent="0.25">
      <c r="A98" s="29" t="s">
        <v>13</v>
      </c>
      <c r="B98" s="31">
        <f>'Build Plan w Hours'!C23</f>
        <v>0</v>
      </c>
      <c r="C98" s="40">
        <f>'Build Plan w Hours'!D23</f>
        <v>0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64</v>
      </c>
      <c r="B100" s="38" t="str">
        <f>'Build Plan w Hours'!E23</f>
        <v/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65</v>
      </c>
    </row>
    <row r="104" spans="1:9" ht="21.75" customHeight="1" x14ac:dyDescent="0.25">
      <c r="A104" s="29" t="s">
        <v>13</v>
      </c>
      <c r="B104" s="31">
        <f>'Build Plan w Hours'!C24</f>
        <v>0</v>
      </c>
      <c r="C104" s="40">
        <f>'Build Plan w Hours'!D24</f>
        <v>0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64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65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64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65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64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65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64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65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64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65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64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65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64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65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64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65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64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65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64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65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64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65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64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65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64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65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64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65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64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65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64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65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64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65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64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65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64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65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64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65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64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65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64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65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64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65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64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65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64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65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64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65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64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65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64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65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64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65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64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65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64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65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64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65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64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65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64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65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64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64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64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64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64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64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64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65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65</v>
      </c>
    </row>
    <row r="14" spans="1:9" ht="21.75" customHeight="1" x14ac:dyDescent="0.25">
      <c r="A14" s="29" t="s">
        <v>13</v>
      </c>
      <c r="B14" s="31" t="str">
        <f>'Build Plan w Hours'!C9</f>
        <v>.262</v>
      </c>
      <c r="C14" s="40" t="str">
        <f>'Build Plan w Hours'!D9</f>
        <v>Cut/make parts for ladder: rungs, rails, etc.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65</v>
      </c>
    </row>
    <row r="20" spans="1:9" ht="21.75" customHeight="1" x14ac:dyDescent="0.25">
      <c r="A20" s="29" t="s">
        <v>13</v>
      </c>
      <c r="B20" s="31" t="str">
        <f>'Build Plan w Hours'!C10</f>
        <v>.265</v>
      </c>
      <c r="C20" s="40" t="str">
        <f>'Build Plan w Hours'!D10</f>
        <v>Form and roll ladder hoops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65</v>
      </c>
    </row>
    <row r="26" spans="1:9" ht="21.75" customHeight="1" x14ac:dyDescent="0.25">
      <c r="A26" s="29" t="s">
        <v>13</v>
      </c>
      <c r="B26" s="31" t="str">
        <f>'Build Plan w Hours'!C11</f>
        <v>.270</v>
      </c>
      <c r="C26" s="40" t="str">
        <f>'Build Plan w Hours'!D11</f>
        <v>Build ladder - weld out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65</v>
      </c>
    </row>
    <row r="32" spans="1:9" ht="21.75" customHeight="1" x14ac:dyDescent="0.25">
      <c r="A32" s="29" t="s">
        <v>13</v>
      </c>
      <c r="B32" s="31" t="str">
        <f>'Build Plan w Hours'!C12</f>
        <v>.272</v>
      </c>
      <c r="C32" s="40" t="str">
        <f>'Build Plan w Hours'!D12</f>
        <v>Cut/Build parts for handrail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65</v>
      </c>
    </row>
    <row r="38" spans="1:9" ht="21.75" customHeight="1" x14ac:dyDescent="0.25">
      <c r="A38" s="29" t="s">
        <v>13</v>
      </c>
      <c r="B38" s="31" t="str">
        <f>'Build Plan w Hours'!C13</f>
        <v>.275</v>
      </c>
      <c r="C38" s="40" t="str">
        <f>'Build Plan w Hours'!D13</f>
        <v>Roll handrail pipe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65</v>
      </c>
    </row>
    <row r="44" spans="1:9" ht="21.75" customHeight="1" x14ac:dyDescent="0.25">
      <c r="A44" s="29" t="s">
        <v>13</v>
      </c>
      <c r="B44" s="31" t="str">
        <f>'Build Plan w Hours'!C14</f>
        <v>.280</v>
      </c>
      <c r="C44" s="40" t="str">
        <f>'Build Plan w Hours'!D14</f>
        <v>Roll handrail toe plate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65</v>
      </c>
    </row>
    <row r="50" spans="1:9" ht="21.75" customHeight="1" x14ac:dyDescent="0.25">
      <c r="A50" s="29" t="s">
        <v>13</v>
      </c>
      <c r="B50" s="31" t="str">
        <f>'Build Plan w Hours'!C15</f>
        <v>.282</v>
      </c>
      <c r="C50" s="40" t="str">
        <f>'Build Plan w Hours'!D15</f>
        <v>Build handrail - weld out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65</v>
      </c>
    </row>
    <row r="56" spans="1:9" ht="21.75" customHeight="1" x14ac:dyDescent="0.25">
      <c r="A56" s="29" t="s">
        <v>13</v>
      </c>
      <c r="B56" s="31" t="str">
        <f>'Build Plan w Hours'!C16</f>
        <v>.802</v>
      </c>
      <c r="C56" s="40" t="str">
        <f>'Build Plan w Hours'!D16</f>
        <v>Move to paint area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65</v>
      </c>
    </row>
    <row r="62" spans="1:9" ht="21.75" customHeight="1" x14ac:dyDescent="0.25">
      <c r="A62" s="29" t="s">
        <v>13</v>
      </c>
      <c r="B62" s="31" t="str">
        <f>'Build Plan w Hours'!C17</f>
        <v>.QC9</v>
      </c>
      <c r="C62" s="40" t="str">
        <f>'Build Plan w Hours'!D17</f>
        <v>QC Inspection - Sandblast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65</v>
      </c>
    </row>
    <row r="68" spans="1:9" ht="21.75" customHeight="1" x14ac:dyDescent="0.25">
      <c r="A68" s="29" t="s">
        <v>13</v>
      </c>
      <c r="B68" s="31" t="str">
        <f>'Build Plan w Hours'!C18</f>
        <v>.QC90</v>
      </c>
      <c r="C68" s="40" t="str">
        <f>'Build Plan w Hours'!D18</f>
        <v>QC Inspection - Paint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65</v>
      </c>
    </row>
    <row r="74" spans="1:9" ht="21.75" customHeight="1" x14ac:dyDescent="0.25">
      <c r="A74" s="29" t="s">
        <v>13</v>
      </c>
      <c r="B74" s="31" t="str">
        <f>'Build Plan w Hours'!C19</f>
        <v>.QC95</v>
      </c>
      <c r="C74" s="40" t="str">
        <f>'Build Plan w Hours'!D19</f>
        <v>QC Inspection - Final &amp; Loose Items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65</v>
      </c>
    </row>
    <row r="80" spans="1:9" ht="21.75" customHeight="1" x14ac:dyDescent="0.25">
      <c r="A80" s="29" t="s">
        <v>13</v>
      </c>
      <c r="B80" s="31" t="str">
        <f>'Build Plan w Hours'!C20</f>
        <v>.960</v>
      </c>
      <c r="C80" s="40" t="str">
        <f>'Build Plan w Hours'!D20</f>
        <v>Load on truck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65</v>
      </c>
    </row>
    <row r="86" spans="1:9" ht="21.75" customHeight="1" x14ac:dyDescent="0.25">
      <c r="A86" s="29" t="s">
        <v>13</v>
      </c>
      <c r="B86" s="31" t="str">
        <f>'Build Plan w Hours'!C21</f>
        <v>.QC21</v>
      </c>
      <c r="C86" s="40" t="str">
        <f>'Build Plan w Hours'!D21</f>
        <v>QC Inspection - Returned Components from Subcontractor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65</v>
      </c>
    </row>
    <row r="92" spans="1:9" ht="21.75" customHeight="1" x14ac:dyDescent="0.25">
      <c r="A92" s="29" t="s">
        <v>13</v>
      </c>
      <c r="B92" s="31">
        <f>'Build Plan w Hours'!C22</f>
        <v>0</v>
      </c>
      <c r="C92" s="40">
        <f>'Build Plan w Hours'!D22</f>
        <v>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65</v>
      </c>
    </row>
    <row r="98" spans="1:9" ht="21.75" customHeight="1" x14ac:dyDescent="0.25">
      <c r="A98" s="29" t="s">
        <v>13</v>
      </c>
      <c r="B98" s="31">
        <f>'Build Plan w Hours'!C23</f>
        <v>0</v>
      </c>
      <c r="C98" s="40">
        <f>'Build Plan w Hours'!D23</f>
        <v>0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65</v>
      </c>
    </row>
    <row r="104" spans="1:9" ht="21.75" customHeight="1" x14ac:dyDescent="0.25">
      <c r="A104" s="29" t="s">
        <v>13</v>
      </c>
      <c r="B104" s="31">
        <f>'Build Plan w Hours'!C24</f>
        <v>0</v>
      </c>
      <c r="C104" s="40">
        <f>'Build Plan w Hours'!D24</f>
        <v>0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65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65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65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65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65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65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65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65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65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65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65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65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65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65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65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65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65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65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65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65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65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65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65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65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65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65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65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65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65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65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65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65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65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65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65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022-24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022-24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2024-05-15T18:04:59Z</cp:lastPrinted>
  <dcterms:created xsi:type="dcterms:W3CDTF">2016-06-28T20:53:17Z</dcterms:created>
  <dcterms:modified xsi:type="dcterms:W3CDTF">2024-05-15T18:05:34Z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