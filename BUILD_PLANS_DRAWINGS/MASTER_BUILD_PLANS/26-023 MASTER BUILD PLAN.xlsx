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6\023-26 - Savannah Tank\"/>
    </mc:Choice>
  </mc:AlternateContent>
  <xr:revisionPtr revIDLastSave="0" documentId="8_{C06D8446-A01A-48F2-943B-EE4952F5A21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Hours'!$A$1:$H$24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<sst xmlns="http://schemas.openxmlformats.org/spreadsheetml/2006/main" count="1459" uniqueCount="120">
  <si>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</si>
  <si>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</si>
  <si>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</si>
  <si>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</si>
  <si>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</si>
  <si>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</si>
  <si>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</si>
  <si>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</si>
  <si>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</si>
  <si>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</si>
  <si>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</si>
  <si>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</si>
  <si>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</si>
  <si>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</si>
  <si>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</si>
  <si>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</si>
  <si>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</si>
  <si>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</si>
  <si>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</si>
  <si>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</si>
  <si>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</si>
  <si>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</si>
  <si>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</si>
  <si>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</si>
  <si>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</si>
  <si>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</si>
  <si>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</si>
  <si>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</si>
  <si>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</si>
  <si>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</si>
  <si>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</si>
  <si>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</si>
  <si>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</si>
  <si>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</si>
  <si>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</si>
  <si>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</si>
  <si>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</si>
  <si>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</si>
  <si>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</si>
  <si>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</si>
  <si>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</si>
  <si>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</si>
  <si>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</si>
  <si>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</si>
  <si>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</si>
  <si>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</si>
  <si>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</si>
  <si>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</si>
  <si>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</si>
  <si>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</si>
  <si>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</si>
  <si>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</si>
  <si>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</si>
  <si>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</si>
  <si>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</si>
  <si>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</si>
  <si>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</si>
  <si>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</si>
  <si>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</si>
  <si>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</si>
  <si>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</si>
  <si>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</si>
  <si>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FINISHING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</si>
  <si>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</si>
  <si>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</si>
  <si>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</si>
  <si>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</si>
  <si>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</si>
  <si>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</si>
  <si>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</si>
  <si>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</si>
  <si>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Build Nozzles-Weld</t>
  </si>
  <si>
    <t>.105</t>
  </si>
  <si>
    <t>Burn and clean parts:  lugs, supports, repads, base ring, etc. (CHECK!)</t>
  </si>
  <si>
    <t>QC Inspection -Top/Bot/Co</t>
  </si>
  <si>
    <t>.QC4</t>
  </si>
  <si>
    <t>QC Inspection - Top/Bottom/Cones</t>
  </si>
  <si>
    <t>Fit Bottom Head to Shell</t>
  </si>
  <si>
    <t>.600</t>
  </si>
  <si>
    <t>L/O Shell, B&amp;C Holes</t>
  </si>
  <si>
    <t>.620</t>
  </si>
  <si>
    <t>QC Inspection - Internal</t>
  </si>
  <si>
    <t>.QC5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</si>
  <si>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</si>
  <si>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</si>
  <si>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</si>
  <si>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</si>
  <si>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</si>
  <si>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</si>
  <si>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</si>
  <si>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</si>
  <si>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</si>
  <si>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</si>
  <si>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</si>
  <si>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</si>
  <si>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Test Tank</t>
  </si>
  <si>
    <t>.910</t>
  </si>
  <si>
    <t>Test tank</t>
  </si>
  <si>
    <t>Cut Parts on Burn Table</t>
  </si>
  <si>
    <t>Build supports: legs, lugs, saddles</t>
  </si>
  <si>
    <t>Weld all Outside Seams</t>
  </si>
  <si>
    <t>.645</t>
  </si>
  <si>
    <t>Install supports - legs, lugs, anchors, saddles, skirt</t>
  </si>
  <si>
    <t>DEMO TANK</t>
  </si>
  <si>
    <t>8675309</t>
  </si>
  <si>
    <t>Cut nozzle pipe and clean_x000D_
CUT PIPE FOR SHELL &amp; N1; PREP FOR FULL PEN WELD</t>
  </si>
  <si>
    <t>Build nozzles and weld_x000D_
N1 &amp; N3</t>
  </si>
  <si>
    <t>Bevel Bottom Head</t>
  </si>
  <si>
    <t>.460</t>
  </si>
  <si>
    <t>Bevel bottom head_x000D_
PREP PIPE CAP FOR FULL PEN WELD</t>
  </si>
  <si>
    <t>ASME Hold Point</t>
  </si>
  <si>
    <t>.OI1</t>
  </si>
  <si>
    <t>Fit bottom head to shell</t>
  </si>
  <si>
    <t>Lay out shell, burn and clean holes</t>
  </si>
  <si>
    <t>Weld all outside seams_x000D_
MAKE FULL PEN WELD TO JOIN PIPE CAP TO SHELL</t>
  </si>
  <si>
    <t>Set nozzles in shell - tack_x000D_
INCL PREP FOR FULL PEN WELD</t>
  </si>
  <si>
    <t>Weld shell nozzles, manways, etc.</t>
  </si>
  <si>
    <t>UT Components</t>
  </si>
  <si>
    <t>.QC51</t>
  </si>
  <si>
    <t>023-26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</si>
</sst>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24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119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DEMO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CUT PIPE FOR SHELL &amp; N1; PREP FOR FULL PEN WELD</v>
      </c>
      <c r="E7" s="13">
        <f>'Sheet2-PASTE HERE!'!F17</f>
        <v>3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weld_x000D_
N1 &amp; N3</v>
      </c>
      <c r="E8" s="13">
        <f>'Sheet2-PASTE HERE!'!F18</f>
        <v>2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.155</v>
      </c>
      <c r="D9" s="22" t="str">
        <f>'Sheet2-PASTE HERE!'!K19</f>
        <v>Burn and clean parts:  lugs, supports, repads, base ring, etc. (CHECK!)</v>
      </c>
      <c r="E9" s="13">
        <f>'Sheet2-PASTE HERE!'!F19</f>
        <v>1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.165</v>
      </c>
      <c r="D10" s="22" t="str">
        <f>'Sheet2-PASTE HERE!'!K20</f>
        <v>Build supports: legs, lugs, saddles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INSPECTION</v>
      </c>
      <c r="B11" s="11"/>
      <c r="C11" s="17" t="str">
        <f>'Sheet2-PASTE HERE!'!I21</f>
        <v>.QC4</v>
      </c>
      <c r="D11" s="22" t="str">
        <f>'Sheet2-PASTE HERE!'!K21</f>
        <v>QC Inspection - Top/Bottom/Cones</v>
      </c>
      <c r="E11" s="13">
        <f>'Sheet2-PASTE HERE!'!F21</f>
        <v>0</v>
      </c>
      <c r="F11" s="12"/>
      <c r="G11" s="12"/>
      <c r="H11" s="12"/>
      <c r="K11">
        <f t="shared" si="0"/>
        <v>1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.460</v>
      </c>
      <c r="D12" s="22" t="str">
        <f>'Sheet2-PASTE HERE!'!K22</f>
        <v>Bevel bottom head_x000D_
PREP PIPE CAP FOR FULL PEN WELD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INSPECTION</v>
      </c>
      <c r="B13" s="11"/>
      <c r="C13" s="17" t="str">
        <f>'Sheet2-PASTE HERE!'!I23</f>
        <v>.OI1</v>
      </c>
      <c r="D13" s="22" t="str">
        <f>'Sheet2-PASTE HERE!'!K23</f>
        <v>ASME Hold Point</v>
      </c>
      <c r="E13" s="13">
        <f>'Sheet2-PASTE HERE!'!F23</f>
        <v>0</v>
      </c>
      <c r="F13" s="12"/>
      <c r="G13" s="12"/>
      <c r="H13" s="12"/>
      <c r="K13">
        <f t="shared" si="0"/>
        <v>1</v>
      </c>
      <c r="L13">
        <f t="shared" si="1"/>
        <v>1</v>
      </c>
    </row>
    <row r="14" spans="1:12" ht="26.25" customHeight="1" x14ac:dyDescent="0.2">
      <c r="A14" s="10" t="str">
        <f>'Sheet2-PASTE HERE!'!A24</f>
        <v>FIT</v>
      </c>
      <c r="B14" s="11"/>
      <c r="C14" s="17" t="str">
        <f>'Sheet2-PASTE HERE!'!I24</f>
        <v>.600</v>
      </c>
      <c r="D14" s="22" t="str">
        <f>'Sheet2-PASTE HERE!'!K24</f>
        <v>Fit bottom head to shell</v>
      </c>
      <c r="E14" s="13">
        <f>'Sheet2-PASTE HERE!'!F24</f>
        <v>1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FIT</v>
      </c>
      <c r="B15" s="11"/>
      <c r="C15" s="17" t="str">
        <f>'Sheet2-PASTE HERE!'!I25</f>
        <v>.620</v>
      </c>
      <c r="D15" s="22" t="str">
        <f>'Sheet2-PASTE HERE!'!K25</f>
        <v>Lay out shell, burn and clean holes</v>
      </c>
      <c r="E15" s="13">
        <f>'Sheet2-PASTE HERE!'!F25</f>
        <v>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INSPECTION</v>
      </c>
      <c r="B16" s="11"/>
      <c r="C16" s="17" t="str">
        <f>'Sheet2-PASTE HERE!'!I26</f>
        <v>.QC5</v>
      </c>
      <c r="D16" s="22" t="str">
        <f>'Sheet2-PASTE HERE!'!K26</f>
        <v>QC Inspection - Internal</v>
      </c>
      <c r="E16" s="13">
        <f>'Sheet2-PASTE HERE!'!F26</f>
        <v>0</v>
      </c>
      <c r="F16" s="12"/>
      <c r="G16" s="12"/>
      <c r="H16" s="12"/>
      <c r="K16">
        <f t="shared" si="0"/>
        <v>1</v>
      </c>
      <c r="L16">
        <f t="shared" si="1"/>
        <v>0</v>
      </c>
    </row>
    <row r="17" spans="1:12" ht="26.25" customHeight="1" x14ac:dyDescent="0.2">
      <c r="A17" s="10" t="str">
        <f>'Sheet2-PASTE HERE!'!A27</f>
        <v>FIT</v>
      </c>
      <c r="B17" s="11"/>
      <c r="C17" s="17" t="str">
        <f>'Sheet2-PASTE HERE!'!I27</f>
        <v>.645</v>
      </c>
      <c r="D17" s="22" t="str">
        <f>'Sheet2-PASTE HERE!'!K27</f>
        <v>Weld all outside seams_x000D_
MAKE FULL PEN WELD TO JOIN PIPE CAP TO SHELL</v>
      </c>
      <c r="E17" s="13">
        <f>'Sheet2-PASTE HERE!'!F27</f>
        <v>1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FIT</v>
      </c>
      <c r="B18" s="11"/>
      <c r="C18" s="17" t="str">
        <f>'Sheet2-PASTE HERE!'!I28</f>
        <v>.720</v>
      </c>
      <c r="D18" s="22" t="str">
        <f>'Sheet2-PASTE HERE!'!K28</f>
        <v>Install supports - legs, lugs, anchors, saddles, skirt</v>
      </c>
      <c r="E18" s="13">
        <f>'Sheet2-PASTE HERE!'!F28</f>
        <v>1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FIT</v>
      </c>
      <c r="B19" s="11"/>
      <c r="C19" s="17" t="str">
        <f>'Sheet2-PASTE HERE!'!I29</f>
        <v>.725</v>
      </c>
      <c r="D19" s="22" t="str">
        <f>'Sheet2-PASTE HERE!'!K29</f>
        <v>Set nozzles in shell - tack_x000D_
INCL PREP FOR FULL PEN WELD</v>
      </c>
      <c r="E19" s="13">
        <f>'Sheet2-PASTE HERE!'!F29</f>
        <v>1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FIT</v>
      </c>
      <c r="B20" s="11"/>
      <c r="C20" s="17" t="str">
        <f>'Sheet2-PASTE HERE!'!I30</f>
        <v>.726</v>
      </c>
      <c r="D20" s="22" t="str">
        <f>'Sheet2-PASTE HERE!'!K30</f>
        <v>Weld shell nozzles, manways, etc.</v>
      </c>
      <c r="E20" s="13">
        <f>'Sheet2-PASTE HERE!'!F30</f>
        <v>1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.QC51</v>
      </c>
      <c r="D21" s="22" t="str">
        <f>'Sheet2-PASTE HERE!'!K31</f>
        <v>UT Components</v>
      </c>
      <c r="E21" s="13">
        <f>'Sheet2-PASTE HERE!'!F31</f>
        <v>0</v>
      </c>
      <c r="F21" s="12"/>
      <c r="G21" s="12"/>
      <c r="H21" s="12"/>
      <c r="K21">
        <f t="shared" si="2"/>
        <v>1</v>
      </c>
      <c r="L21">
        <f t="shared" si="1"/>
        <v>0</v>
      </c>
    </row>
    <row r="22" spans="1:12" ht="26.25" customHeight="1" x14ac:dyDescent="0.2">
      <c r="A22" s="10" t="str">
        <f>'Sheet2-PASTE HERE!'!A32</f>
        <v>FINISHING</v>
      </c>
      <c r="B22" s="11"/>
      <c r="C22" s="17" t="str">
        <f>'Sheet2-PASTE HERE!'!I32</f>
        <v>.765</v>
      </c>
      <c r="D22" s="22" t="str">
        <f>'Sheet2-PASTE HERE!'!K32</f>
        <v>Install name tag</v>
      </c>
      <c r="E22" s="13">
        <f>'Sheet2-PASTE HERE!'!F32</f>
        <v>1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FIT</v>
      </c>
      <c r="B23" s="11"/>
      <c r="C23" s="17" t="str">
        <f>'Sheet2-PASTE HERE!'!I33</f>
        <v>.770</v>
      </c>
      <c r="D23" s="22" t="str">
        <f>'Sheet2-PASTE HERE!'!K33</f>
        <v>Inspect tank, make repairs, get QC inspector</v>
      </c>
      <c r="E23" s="13">
        <f>'Sheet2-PASTE HERE!'!F33</f>
        <v>1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FINISHING</v>
      </c>
      <c r="B24" s="11"/>
      <c r="C24" s="17" t="str">
        <f>'Sheet2-PASTE HERE!'!I34</f>
        <v>.910</v>
      </c>
      <c r="D24" s="22" t="str">
        <f>'Sheet2-PASTE HERE!'!K34</f>
        <v>Test tank</v>
      </c>
      <c r="E24" s="13">
        <f>'Sheet2-PASTE HERE!'!F34</f>
        <v>1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>
        <f>'Sheet2-PASTE HERE!'!A35</f>
        <v>0</v>
      </c>
      <c r="B25" s="11"/>
      <c r="C25" s="17">
        <f>'Sheet2-PASTE HERE!'!I35</f>
        <v>0</v>
      </c>
      <c r="D25" s="22">
        <f>'Sheet2-PASTE HERE!'!K35</f>
        <v>0</v>
      </c>
      <c r="E25" s="13">
        <f>'Sheet2-PASTE HERE!'!F35</f>
        <v>0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>
        <f>'Sheet2-PASTE HERE!'!A36</f>
        <v>0</v>
      </c>
      <c r="B26" s="11"/>
      <c r="C26" s="17">
        <f>'Sheet2-PASTE HERE!'!I36</f>
        <v>0</v>
      </c>
      <c r="D26" s="22">
        <f>'Sheet2-PASTE HERE!'!K36</f>
        <v>0</v>
      </c>
      <c r="E26" s="13" t="str">
        <f>'Sheet2-PASTE HERE!'!F36</f>
        <v/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>
        <f>'Sheet2-PASTE HERE!'!A37</f>
        <v>0</v>
      </c>
      <c r="B27" s="11"/>
      <c r="C27" s="17">
        <f>'Sheet2-PASTE HERE!'!I37</f>
        <v>0</v>
      </c>
      <c r="D27" s="22">
        <f>'Sheet2-PASTE HERE!'!K37</f>
        <v>0</v>
      </c>
      <c r="E27" s="13">
        <f>'Sheet2-PASTE HERE!'!F37</f>
        <v>0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>
        <f>'Sheet2-PASTE HERE!'!A38</f>
        <v>0</v>
      </c>
      <c r="B28" s="11"/>
      <c r="C28" s="17">
        <f>'Sheet2-PASTE HERE!'!I38</f>
        <v>0</v>
      </c>
      <c r="D28" s="22">
        <f>'Sheet2-PASTE HERE!'!K38</f>
        <v>0</v>
      </c>
      <c r="E28" s="13">
        <f>'Sheet2-PASTE HERE!'!F38</f>
        <v>0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>
        <f>'Sheet2-PASTE HERE!'!A39</f>
        <v>0</v>
      </c>
      <c r="B29" s="11"/>
      <c r="C29" s="17">
        <f>'Sheet2-PASTE HERE!'!I39</f>
        <v>0</v>
      </c>
      <c r="D29" s="22">
        <f>'Sheet2-PASTE HERE!'!K39</f>
        <v>0</v>
      </c>
      <c r="E29" s="13">
        <f>'Sheet2-PASTE HERE!'!F39</f>
        <v>0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>
        <f>'Sheet2-PASTE HERE!'!A40</f>
        <v>0</v>
      </c>
      <c r="B30" s="11"/>
      <c r="C30" s="17">
        <f>'Sheet2-PASTE HERE!'!I40</f>
        <v>0</v>
      </c>
      <c r="D30" s="22">
        <f>'Sheet2-PASTE HERE!'!K40</f>
        <v>0</v>
      </c>
      <c r="E30" s="13">
        <f>'Sheet2-PASTE HERE!'!F40</f>
        <v>0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>
        <f>'Sheet2-PASTE HERE!'!A41</f>
        <v>0</v>
      </c>
      <c r="B31" s="11"/>
      <c r="C31" s="17">
        <f>'Sheet2-PASTE HERE!'!I41</f>
        <v>0</v>
      </c>
      <c r="D31" s="22">
        <f>'Sheet2-PASTE HERE!'!K41</f>
        <v>0</v>
      </c>
      <c r="E31" s="13">
        <f>'Sheet2-PASTE HERE!'!F41</f>
        <v>0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>
        <f>'Sheet2-PASTE HERE!'!A42</f>
        <v>0</v>
      </c>
      <c r="B32" s="11"/>
      <c r="C32" s="17">
        <f>'Sheet2-PASTE HERE!'!I42</f>
        <v>0</v>
      </c>
      <c r="D32" s="22">
        <f>'Sheet2-PASTE HERE!'!K42</f>
        <v>0</v>
      </c>
      <c r="E32" s="13">
        <f>'Sheet2-PASTE HERE!'!F42</f>
        <v>0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>
        <f>'Sheet2-PASTE HERE!'!A43</f>
        <v>0</v>
      </c>
      <c r="B33" s="11"/>
      <c r="C33" s="17">
        <f>'Sheet2-PASTE HERE!'!I43</f>
        <v>0</v>
      </c>
      <c r="D33" s="22">
        <f>'Sheet2-PASTE HERE!'!K43</f>
        <v>0</v>
      </c>
      <c r="E33" s="13">
        <f>'Sheet2-PASTE HERE!'!F43</f>
        <v>0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>
        <f>'Sheet2-PASTE HERE!'!A44</f>
        <v>0</v>
      </c>
      <c r="B34" s="11"/>
      <c r="C34" s="17">
        <f>'Sheet2-PASTE HERE!'!I44</f>
        <v>0</v>
      </c>
      <c r="D34" s="22">
        <f>'Sheet2-PASTE HERE!'!K44</f>
        <v>0</v>
      </c>
      <c r="E34" s="13">
        <f>'Sheet2-PASTE HERE!'!F44</f>
        <v>0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>
        <f>'Sheet2-PASTE HERE!'!A45</f>
        <v>0</v>
      </c>
      <c r="B35" s="11"/>
      <c r="C35" s="17">
        <f>'Sheet2-PASTE HERE!'!I45</f>
        <v>0</v>
      </c>
      <c r="D35" s="22">
        <f>'Sheet2-PASTE HERE!'!K45</f>
        <v>0</v>
      </c>
      <c r="E35" s="13">
        <f>'Sheet2-PASTE HERE!'!F45</f>
        <v>0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>
        <f>'Sheet2-PASTE HERE!'!A46</f>
        <v>0</v>
      </c>
      <c r="B36" s="11"/>
      <c r="C36" s="17">
        <f>'Sheet2-PASTE HERE!'!I46</f>
        <v>0</v>
      </c>
      <c r="D36" s="22">
        <f>'Sheet2-PASTE HERE!'!K46</f>
        <v>0</v>
      </c>
      <c r="E36" s="13">
        <f>'Sheet2-PASTE HERE!'!F46</f>
        <v>0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>
        <f>'Sheet2-PASTE HERE!'!A47</f>
        <v>0</v>
      </c>
      <c r="B37" s="11"/>
      <c r="C37" s="17">
        <f>'Sheet2-PASTE HERE!'!I47</f>
        <v>0</v>
      </c>
      <c r="D37" s="22">
        <f>'Sheet2-PASTE HERE!'!K47</f>
        <v>0</v>
      </c>
      <c r="E37" s="13">
        <f>'Sheet2-PASTE HERE!'!F47</f>
        <v>0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>
        <f>'Sheet2-PASTE HERE!'!A48</f>
        <v>0</v>
      </c>
      <c r="B38" s="11"/>
      <c r="C38" s="17">
        <f>'Sheet2-PASTE HERE!'!I48</f>
        <v>0</v>
      </c>
      <c r="D38" s="22">
        <f>'Sheet2-PASTE HERE!'!K48</f>
        <v>0</v>
      </c>
      <c r="E38" s="13">
        <f>'Sheet2-PASTE HERE!'!F48</f>
        <v>0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>
        <f>'Sheet2-PASTE HERE!'!F50</f>
        <v>0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119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DEMO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CUT PIPE FOR SHELL &amp; N1; PREP FOR FULL PEN WELD</v>
      </c>
      <c r="E7" s="13">
        <f>'Sheet2-PASTE HERE!'!F17</f>
        <v>3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weld_x000D_
N1 &amp; N3</v>
      </c>
      <c r="E8" s="13">
        <f>'Sheet2-PASTE HERE!'!F18</f>
        <v>2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.155</v>
      </c>
      <c r="D9" s="22" t="str">
        <f>'Sheet2-PASTE HERE!'!K19</f>
        <v>Burn and clean parts:  lugs, supports, repads, base ring, etc. (CHECK!)</v>
      </c>
      <c r="E9" s="13">
        <f>'Sheet2-PASTE HERE!'!F19</f>
        <v>1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.165</v>
      </c>
      <c r="D10" s="22" t="str">
        <f>'Sheet2-PASTE HERE!'!K20</f>
        <v>Build supports: legs, lugs, saddles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INSPECTION</v>
      </c>
      <c r="B11" s="11"/>
      <c r="C11" s="17" t="str">
        <f>'Sheet2-PASTE HERE!'!I21</f>
        <v>.QC4</v>
      </c>
      <c r="D11" s="22" t="str">
        <f>'Sheet2-PASTE HERE!'!K21</f>
        <v>QC Inspection - Top/Bottom/Cones</v>
      </c>
      <c r="E11" s="13">
        <f>'Sheet2-PASTE HERE!'!F21</f>
        <v>0</v>
      </c>
      <c r="F11" s="12"/>
      <c r="G11" s="12"/>
      <c r="H11" s="12"/>
      <c r="K11">
        <f t="shared" si="0"/>
        <v>1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.460</v>
      </c>
      <c r="D12" s="22" t="str">
        <f>'Sheet2-PASTE HERE!'!K22</f>
        <v>Bevel bottom head_x000D_
PREP PIPE CAP FOR FULL PEN WELD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INSPECTION</v>
      </c>
      <c r="B13" s="11"/>
      <c r="C13" s="17" t="str">
        <f>'Sheet2-PASTE HERE!'!I23</f>
        <v>.OI1</v>
      </c>
      <c r="D13" s="22" t="str">
        <f>'Sheet2-PASTE HERE!'!K23</f>
        <v>ASME Hold Point</v>
      </c>
      <c r="E13" s="13">
        <f>'Sheet2-PASTE HERE!'!F23</f>
        <v>0</v>
      </c>
      <c r="F13" s="12"/>
      <c r="G13" s="12"/>
      <c r="H13" s="12"/>
      <c r="K13">
        <f t="shared" si="0"/>
        <v>1</v>
      </c>
      <c r="L13">
        <f t="shared" si="1"/>
        <v>1</v>
      </c>
    </row>
    <row r="14" spans="1:12" ht="26.25" customHeight="1" x14ac:dyDescent="0.2">
      <c r="A14" s="10" t="str">
        <f>'Sheet2-PASTE HERE!'!A24</f>
        <v>FIT</v>
      </c>
      <c r="B14" s="11"/>
      <c r="C14" s="17" t="str">
        <f>'Sheet2-PASTE HERE!'!I24</f>
        <v>.600</v>
      </c>
      <c r="D14" s="22" t="str">
        <f>'Sheet2-PASTE HERE!'!K24</f>
        <v>Fit bottom head to shell</v>
      </c>
      <c r="E14" s="13">
        <f>'Sheet2-PASTE HERE!'!F24</f>
        <v>1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FIT</v>
      </c>
      <c r="B15" s="11"/>
      <c r="C15" s="17" t="str">
        <f>'Sheet2-PASTE HERE!'!I25</f>
        <v>.620</v>
      </c>
      <c r="D15" s="22" t="str">
        <f>'Sheet2-PASTE HERE!'!K25</f>
        <v>Lay out shell, burn and clean holes</v>
      </c>
      <c r="E15" s="13">
        <f>'Sheet2-PASTE HERE!'!F25</f>
        <v>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INSPECTION</v>
      </c>
      <c r="B16" s="11"/>
      <c r="C16" s="17" t="str">
        <f>'Sheet2-PASTE HERE!'!I26</f>
        <v>.QC5</v>
      </c>
      <c r="D16" s="22" t="str">
        <f>'Sheet2-PASTE HERE!'!K26</f>
        <v>QC Inspection - Internal</v>
      </c>
      <c r="E16" s="13">
        <f>'Sheet2-PASTE HERE!'!F26</f>
        <v>0</v>
      </c>
      <c r="F16" s="12"/>
      <c r="G16" s="12"/>
      <c r="H16" s="12"/>
      <c r="K16">
        <f t="shared" si="0"/>
        <v>1</v>
      </c>
      <c r="L16">
        <f t="shared" si="1"/>
        <v>0</v>
      </c>
    </row>
    <row r="17" spans="1:12" ht="26.25" customHeight="1" x14ac:dyDescent="0.2">
      <c r="A17" s="10" t="str">
        <f>'Sheet2-PASTE HERE!'!A27</f>
        <v>FIT</v>
      </c>
      <c r="B17" s="11"/>
      <c r="C17" s="17" t="str">
        <f>'Sheet2-PASTE HERE!'!I27</f>
        <v>.645</v>
      </c>
      <c r="D17" s="22" t="str">
        <f>'Sheet2-PASTE HERE!'!K27</f>
        <v>Weld all outside seams_x000D_
MAKE FULL PEN WELD TO JOIN PIPE CAP TO SHELL</v>
      </c>
      <c r="E17" s="13">
        <f>'Sheet2-PASTE HERE!'!F27</f>
        <v>1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FIT</v>
      </c>
      <c r="B18" s="11"/>
      <c r="C18" s="17" t="str">
        <f>'Sheet2-PASTE HERE!'!I28</f>
        <v>.720</v>
      </c>
      <c r="D18" s="22" t="str">
        <f>'Sheet2-PASTE HERE!'!K28</f>
        <v>Install supports - legs, lugs, anchors, saddles, skirt</v>
      </c>
      <c r="E18" s="13">
        <f>'Sheet2-PASTE HERE!'!F28</f>
        <v>1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FIT</v>
      </c>
      <c r="B19" s="11"/>
      <c r="C19" s="17" t="str">
        <f>'Sheet2-PASTE HERE!'!I29</f>
        <v>.725</v>
      </c>
      <c r="D19" s="22" t="str">
        <f>'Sheet2-PASTE HERE!'!K29</f>
        <v>Set nozzles in shell - tack_x000D_
INCL PREP FOR FULL PEN WELD</v>
      </c>
      <c r="E19" s="13">
        <f>'Sheet2-PASTE HERE!'!F29</f>
        <v>1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FIT</v>
      </c>
      <c r="B20" s="11"/>
      <c r="C20" s="17" t="str">
        <f>'Sheet2-PASTE HERE!'!I30</f>
        <v>.726</v>
      </c>
      <c r="D20" s="22" t="str">
        <f>'Sheet2-PASTE HERE!'!K30</f>
        <v>Weld shell nozzles, manways, etc.</v>
      </c>
      <c r="E20" s="13">
        <f>'Sheet2-PASTE HERE!'!F30</f>
        <v>1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.QC51</v>
      </c>
      <c r="D21" s="22" t="str">
        <f>'Sheet2-PASTE HERE!'!K31</f>
        <v>UT Components</v>
      </c>
      <c r="E21" s="13">
        <f>'Sheet2-PASTE HERE!'!F31</f>
        <v>0</v>
      </c>
      <c r="F21" s="12"/>
      <c r="G21" s="12"/>
      <c r="H21" s="12"/>
      <c r="K21">
        <f t="shared" si="0"/>
        <v>1</v>
      </c>
      <c r="L21">
        <f t="shared" si="1"/>
        <v>0</v>
      </c>
    </row>
    <row r="22" spans="1:12" ht="26.25" customHeight="1" x14ac:dyDescent="0.2">
      <c r="A22" s="10" t="str">
        <f>'Sheet2-PASTE HERE!'!A32</f>
        <v>FINISHING</v>
      </c>
      <c r="B22" s="11"/>
      <c r="C22" s="17" t="str">
        <f>'Sheet2-PASTE HERE!'!I32</f>
        <v>.765</v>
      </c>
      <c r="D22" s="22" t="str">
        <f>'Sheet2-PASTE HERE!'!K32</f>
        <v>Install name tag</v>
      </c>
      <c r="E22" s="13">
        <f>'Sheet2-PASTE HERE!'!F32</f>
        <v>1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FIT</v>
      </c>
      <c r="B23" s="11"/>
      <c r="C23" s="17" t="str">
        <f>'Sheet2-PASTE HERE!'!I33</f>
        <v>.770</v>
      </c>
      <c r="D23" s="22" t="str">
        <f>'Sheet2-PASTE HERE!'!K33</f>
        <v>Inspect tank, make repairs, get QC inspector</v>
      </c>
      <c r="E23" s="13">
        <f>'Sheet2-PASTE HERE!'!F33</f>
        <v>1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FINISHING</v>
      </c>
      <c r="B24" s="11"/>
      <c r="C24" s="17" t="str">
        <f>'Sheet2-PASTE HERE!'!I34</f>
        <v>.910</v>
      </c>
      <c r="D24" s="22" t="str">
        <f>'Sheet2-PASTE HERE!'!K34</f>
        <v>Test tank</v>
      </c>
      <c r="E24" s="13">
        <f>'Sheet2-PASTE HERE!'!F34</f>
        <v>1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>
        <f>'Sheet2-PASTE HERE!'!A35</f>
        <v>0</v>
      </c>
      <c r="B25" s="11"/>
      <c r="C25" s="17">
        <f>'Sheet2-PASTE HERE!'!I35</f>
        <v>0</v>
      </c>
      <c r="D25" s="22">
        <f>'Sheet2-PASTE HERE!'!K35</f>
        <v>0</v>
      </c>
      <c r="E25" s="13">
        <f>'Sheet2-PASTE HERE!'!F35</f>
        <v>0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>
        <f>'Sheet2-PASTE HERE!'!A36</f>
        <v>0</v>
      </c>
      <c r="B26" s="11"/>
      <c r="C26" s="17">
        <f>'Sheet2-PASTE HERE!'!I36</f>
        <v>0</v>
      </c>
      <c r="D26" s="22">
        <f>'Sheet2-PASTE HERE!'!K36</f>
        <v>0</v>
      </c>
      <c r="E26" s="13" t="str">
        <f>'Sheet2-PASTE HERE!'!F36</f>
        <v/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>
        <f>'Sheet2-PASTE HERE!'!A37</f>
        <v>0</v>
      </c>
      <c r="B27" s="11"/>
      <c r="C27" s="17">
        <f>'Sheet2-PASTE HERE!'!I37</f>
        <v>0</v>
      </c>
      <c r="D27" s="22">
        <f>'Sheet2-PASTE HERE!'!K37</f>
        <v>0</v>
      </c>
      <c r="E27" s="13">
        <f>'Sheet2-PASTE HERE!'!F37</f>
        <v>0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>
        <f>'Sheet2-PASTE HERE!'!A38</f>
        <v>0</v>
      </c>
      <c r="B28" s="11"/>
      <c r="C28" s="17">
        <f>'Sheet2-PASTE HERE!'!I38</f>
        <v>0</v>
      </c>
      <c r="D28" s="22">
        <f>'Sheet2-PASTE HERE!'!K38</f>
        <v>0</v>
      </c>
      <c r="E28" s="13">
        <f>'Sheet2-PASTE HERE!'!F38</f>
        <v>0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>
        <f>'Sheet2-PASTE HERE!'!A39</f>
        <v>0</v>
      </c>
      <c r="B29" s="11"/>
      <c r="C29" s="17">
        <f>'Sheet2-PASTE HERE!'!I39</f>
        <v>0</v>
      </c>
      <c r="D29" s="22">
        <f>'Sheet2-PASTE HERE!'!K39</f>
        <v>0</v>
      </c>
      <c r="E29" s="13">
        <f>'Sheet2-PASTE HERE!'!F39</f>
        <v>0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>
        <f>'Sheet2-PASTE HERE!'!A40</f>
        <v>0</v>
      </c>
      <c r="B30" s="11"/>
      <c r="C30" s="17">
        <f>'Sheet2-PASTE HERE!'!I40</f>
        <v>0</v>
      </c>
      <c r="D30" s="22">
        <f>'Sheet2-PASTE HERE!'!K40</f>
        <v>0</v>
      </c>
      <c r="E30" s="13">
        <f>'Sheet2-PASTE HERE!'!F40</f>
        <v>0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>
        <f>'Sheet2-PASTE HERE!'!A41</f>
        <v>0</v>
      </c>
      <c r="B31" s="11"/>
      <c r="C31" s="17">
        <f>'Sheet2-PASTE HERE!'!I41</f>
        <v>0</v>
      </c>
      <c r="D31" s="22">
        <f>'Sheet2-PASTE HERE!'!K41</f>
        <v>0</v>
      </c>
      <c r="E31" s="13">
        <f>'Sheet2-PASTE HERE!'!F41</f>
        <v>0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>
        <f>'Sheet2-PASTE HERE!'!A42</f>
        <v>0</v>
      </c>
      <c r="B32" s="11"/>
      <c r="C32" s="17">
        <f>'Sheet2-PASTE HERE!'!I42</f>
        <v>0</v>
      </c>
      <c r="D32" s="22">
        <f>'Sheet2-PASTE HERE!'!K42</f>
        <v>0</v>
      </c>
      <c r="E32" s="13">
        <f>'Sheet2-PASTE HERE!'!F42</f>
        <v>0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>
        <f>'Sheet2-PASTE HERE!'!A43</f>
        <v>0</v>
      </c>
      <c r="B33" s="11"/>
      <c r="C33" s="17">
        <f>'Sheet2-PASTE HERE!'!I43</f>
        <v>0</v>
      </c>
      <c r="D33" s="22">
        <f>'Sheet2-PASTE HERE!'!K43</f>
        <v>0</v>
      </c>
      <c r="E33" s="13">
        <f>'Sheet2-PASTE HERE!'!F43</f>
        <v>0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>
        <f>'Sheet2-PASTE HERE!'!A44</f>
        <v>0</v>
      </c>
      <c r="B34" s="11"/>
      <c r="C34" s="17">
        <f>'Sheet2-PASTE HERE!'!I44</f>
        <v>0</v>
      </c>
      <c r="D34" s="22">
        <f>'Sheet2-PASTE HERE!'!K44</f>
        <v>0</v>
      </c>
      <c r="E34" s="13">
        <f>'Sheet2-PASTE HERE!'!F44</f>
        <v>0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>
        <f>'Sheet2-PASTE HERE!'!A45</f>
        <v>0</v>
      </c>
      <c r="B35" s="11"/>
      <c r="C35" s="17">
        <f>'Sheet2-PASTE HERE!'!I45</f>
        <v>0</v>
      </c>
      <c r="D35" s="22">
        <f>'Sheet2-PASTE HERE!'!K45</f>
        <v>0</v>
      </c>
      <c r="E35" s="13">
        <f>'Sheet2-PASTE HERE!'!F45</f>
        <v>0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>
        <f>'Sheet2-PASTE HERE!'!A46</f>
        <v>0</v>
      </c>
      <c r="B36" s="11"/>
      <c r="C36" s="17">
        <f>'Sheet2-PASTE HERE!'!I46</f>
        <v>0</v>
      </c>
      <c r="D36" s="22">
        <f>'Sheet2-PASTE HERE!'!K46</f>
        <v>0</v>
      </c>
      <c r="E36" s="13">
        <f>'Sheet2-PASTE HERE!'!F46</f>
        <v>0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>
        <f>'Sheet2-PASTE HERE!'!A47</f>
        <v>0</v>
      </c>
      <c r="B37" s="11"/>
      <c r="C37" s="17">
        <f>'Sheet2-PASTE HERE!'!I47</f>
        <v>0</v>
      </c>
      <c r="D37" s="22">
        <f>'Sheet2-PASTE HERE!'!K47</f>
        <v>0</v>
      </c>
      <c r="E37" s="13">
        <f>'Sheet2-PASTE HERE!'!F47</f>
        <v>0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>
        <f>'Sheet2-PASTE HERE!'!A48</f>
        <v>0</v>
      </c>
      <c r="B38" s="11"/>
      <c r="C38" s="17">
        <f>'Sheet2-PASTE HERE!'!I48</f>
        <v>0</v>
      </c>
      <c r="D38" s="22">
        <f>'Sheet2-PASTE HERE!'!K48</f>
        <v>0</v>
      </c>
      <c r="E38" s="13">
        <f>'Sheet2-PASTE HERE!'!F48</f>
        <v>0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>
        <f>'Sheet2-PASTE HERE!'!F50</f>
        <v>0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103</v>
      </c>
      <c r="C1" s="8" t="s">
        <v>17</v>
      </c>
      <c r="D1" s="8" t="s">
        <v>104</v>
      </c>
      <c r="E1" s="8" t="s">
        <v>18</v>
      </c>
      <c r="F1" s="8" t="s">
        <v>19</v>
      </c>
      <c r="G1" s="8" t="s">
        <v>103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46086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17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66180</v>
      </c>
      <c r="C15" s="19">
        <v>0</v>
      </c>
      <c r="D15" s="8" t="s">
        <v>66</v>
      </c>
      <c r="E15" s="20">
        <v>0</v>
      </c>
      <c r="F15" s="20">
        <v>0</v>
      </c>
      <c r="G15" s="8" t="s">
        <v>54</v>
      </c>
      <c r="H15" s="20">
        <v>0</v>
      </c>
      <c r="I15" s="8" t="s">
        <v>67</v>
      </c>
      <c r="J15" s="19">
        <v>0</v>
      </c>
      <c r="K15" s="8" t="s">
        <v>66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66181</v>
      </c>
      <c r="C16" s="19">
        <v>0</v>
      </c>
      <c r="D16" s="8" t="s">
        <v>68</v>
      </c>
      <c r="E16" s="20">
        <v>0</v>
      </c>
      <c r="F16" s="20">
        <v>0</v>
      </c>
      <c r="G16" s="8" t="s">
        <v>54</v>
      </c>
      <c r="H16" s="20">
        <v>0</v>
      </c>
      <c r="I16" s="8" t="s">
        <v>69</v>
      </c>
      <c r="J16" s="19">
        <v>0</v>
      </c>
      <c r="K16" s="8" t="s">
        <v>70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66182</v>
      </c>
      <c r="C17" s="19">
        <v>0</v>
      </c>
      <c r="D17" s="8" t="s">
        <v>57</v>
      </c>
      <c r="E17" s="20">
        <v>0</v>
      </c>
      <c r="F17" s="20">
        <v>3</v>
      </c>
      <c r="G17" s="8" t="s">
        <v>54</v>
      </c>
      <c r="H17" s="20">
        <v>3</v>
      </c>
      <c r="I17" s="8" t="s">
        <v>58</v>
      </c>
      <c r="J17" s="19">
        <v>0</v>
      </c>
      <c r="K17" s="8" t="s">
        <v>105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66183</v>
      </c>
      <c r="C18" s="19">
        <v>0</v>
      </c>
      <c r="D18" s="8" t="s">
        <v>71</v>
      </c>
      <c r="E18" s="20">
        <v>0</v>
      </c>
      <c r="F18" s="20">
        <v>2</v>
      </c>
      <c r="G18" s="8" t="s">
        <v>54</v>
      </c>
      <c r="H18" s="20">
        <v>2</v>
      </c>
      <c r="I18" s="8" t="s">
        <v>72</v>
      </c>
      <c r="J18" s="19">
        <v>0</v>
      </c>
      <c r="K18" s="8" t="s">
        <v>106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66184</v>
      </c>
      <c r="C19" s="19">
        <v>0</v>
      </c>
      <c r="D19" s="8" t="s">
        <v>98</v>
      </c>
      <c r="E19" s="20">
        <v>0</v>
      </c>
      <c r="F19" s="20">
        <v>1</v>
      </c>
      <c r="G19" s="8" t="s">
        <v>54</v>
      </c>
      <c r="H19" s="20">
        <v>1</v>
      </c>
      <c r="I19" s="8" t="s">
        <v>59</v>
      </c>
      <c r="J19" s="19">
        <v>0</v>
      </c>
      <c r="K19" s="8" t="s">
        <v>73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66185</v>
      </c>
      <c r="C20" s="19">
        <v>0</v>
      </c>
      <c r="D20" s="8" t="s">
        <v>60</v>
      </c>
      <c r="E20" s="20">
        <v>0</v>
      </c>
      <c r="F20" s="20">
        <v>1</v>
      </c>
      <c r="G20" s="8" t="s">
        <v>54</v>
      </c>
      <c r="H20" s="20">
        <v>1</v>
      </c>
      <c r="I20" s="8" t="s">
        <v>61</v>
      </c>
      <c r="J20" s="19">
        <v>0</v>
      </c>
      <c r="K20" s="8" t="s">
        <v>99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53</v>
      </c>
      <c r="B21" s="18">
        <v>66186</v>
      </c>
      <c r="C21" s="19">
        <v>0</v>
      </c>
      <c r="D21" s="8" t="s">
        <v>74</v>
      </c>
      <c r="E21" s="20">
        <v>0</v>
      </c>
      <c r="F21" s="20">
        <v>0</v>
      </c>
      <c r="G21" s="8" t="s">
        <v>54</v>
      </c>
      <c r="H21" s="20">
        <v>0</v>
      </c>
      <c r="I21" s="8" t="s">
        <v>75</v>
      </c>
      <c r="J21" s="19">
        <v>0</v>
      </c>
      <c r="K21" s="8" t="s">
        <v>76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66187</v>
      </c>
      <c r="C22" s="19">
        <v>0</v>
      </c>
      <c r="D22" s="8" t="s">
        <v>107</v>
      </c>
      <c r="E22" s="20">
        <v>0</v>
      </c>
      <c r="F22" s="20">
        <v>1</v>
      </c>
      <c r="G22" s="8" t="s">
        <v>54</v>
      </c>
      <c r="H22" s="20">
        <v>1</v>
      </c>
      <c r="I22" s="8" t="s">
        <v>108</v>
      </c>
      <c r="J22" s="19">
        <v>0</v>
      </c>
      <c r="K22" s="8" t="s">
        <v>109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53</v>
      </c>
      <c r="B23" s="18">
        <v>66188</v>
      </c>
      <c r="C23" s="19">
        <v>0</v>
      </c>
      <c r="D23" s="8" t="s">
        <v>110</v>
      </c>
      <c r="E23" s="20">
        <v>0</v>
      </c>
      <c r="F23" s="20">
        <v>0</v>
      </c>
      <c r="G23" s="8" t="s">
        <v>54</v>
      </c>
      <c r="H23" s="20">
        <v>0</v>
      </c>
      <c r="I23" s="8" t="s">
        <v>111</v>
      </c>
      <c r="J23" s="19">
        <v>0</v>
      </c>
      <c r="K23" s="8" t="s">
        <v>110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65</v>
      </c>
      <c r="B24" s="18">
        <v>66189</v>
      </c>
      <c r="C24" s="19">
        <v>0</v>
      </c>
      <c r="D24" s="8" t="s">
        <v>77</v>
      </c>
      <c r="E24" s="20">
        <v>0</v>
      </c>
      <c r="F24" s="20">
        <v>1</v>
      </c>
      <c r="G24" s="8" t="s">
        <v>54</v>
      </c>
      <c r="H24" s="20">
        <v>1</v>
      </c>
      <c r="I24" s="8" t="s">
        <v>78</v>
      </c>
      <c r="J24" s="19">
        <v>0</v>
      </c>
      <c r="K24" s="8" t="s">
        <v>112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65</v>
      </c>
      <c r="B25" s="18">
        <v>66190</v>
      </c>
      <c r="C25" s="19">
        <v>0</v>
      </c>
      <c r="D25" s="8" t="s">
        <v>79</v>
      </c>
      <c r="E25" s="20">
        <v>0</v>
      </c>
      <c r="F25" s="20">
        <v>1</v>
      </c>
      <c r="G25" s="8" t="s">
        <v>54</v>
      </c>
      <c r="H25" s="20">
        <v>1</v>
      </c>
      <c r="I25" s="8" t="s">
        <v>80</v>
      </c>
      <c r="J25" s="19">
        <v>0</v>
      </c>
      <c r="K25" s="8" t="s">
        <v>113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53</v>
      </c>
      <c r="B26" s="18">
        <v>66191</v>
      </c>
      <c r="C26" s="19">
        <v>0</v>
      </c>
      <c r="D26" s="8" t="s">
        <v>81</v>
      </c>
      <c r="E26" s="20">
        <v>0</v>
      </c>
      <c r="F26" s="20">
        <v>0</v>
      </c>
      <c r="G26" s="8" t="s">
        <v>54</v>
      </c>
      <c r="H26" s="20">
        <v>0</v>
      </c>
      <c r="I26" s="8" t="s">
        <v>82</v>
      </c>
      <c r="J26" s="19">
        <v>0</v>
      </c>
      <c r="K26" s="8" t="s">
        <v>81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65</v>
      </c>
      <c r="B27" s="18">
        <v>66192</v>
      </c>
      <c r="C27" s="19">
        <v>0</v>
      </c>
      <c r="D27" s="8" t="s">
        <v>100</v>
      </c>
      <c r="E27" s="20">
        <v>0</v>
      </c>
      <c r="F27" s="20">
        <v>1</v>
      </c>
      <c r="G27" s="8" t="s">
        <v>54</v>
      </c>
      <c r="H27" s="20">
        <v>1</v>
      </c>
      <c r="I27" s="8" t="s">
        <v>101</v>
      </c>
      <c r="J27" s="19">
        <v>0</v>
      </c>
      <c r="K27" s="8" t="s">
        <v>114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65</v>
      </c>
      <c r="B28" s="18">
        <v>66193</v>
      </c>
      <c r="C28" s="19">
        <v>0</v>
      </c>
      <c r="D28" s="8" t="s">
        <v>83</v>
      </c>
      <c r="E28" s="20">
        <v>0</v>
      </c>
      <c r="F28" s="20">
        <v>1</v>
      </c>
      <c r="G28" s="8" t="s">
        <v>54</v>
      </c>
      <c r="H28" s="20">
        <v>1</v>
      </c>
      <c r="I28" s="8" t="s">
        <v>84</v>
      </c>
      <c r="J28" s="19">
        <v>0</v>
      </c>
      <c r="K28" s="8" t="s">
        <v>102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65</v>
      </c>
      <c r="B29" s="18">
        <v>66194</v>
      </c>
      <c r="C29" s="19">
        <v>0</v>
      </c>
      <c r="D29" s="8" t="s">
        <v>85</v>
      </c>
      <c r="E29" s="20">
        <v>0</v>
      </c>
      <c r="F29" s="20">
        <v>1</v>
      </c>
      <c r="G29" s="8" t="s">
        <v>54</v>
      </c>
      <c r="H29" s="20">
        <v>1</v>
      </c>
      <c r="I29" s="8" t="s">
        <v>86</v>
      </c>
      <c r="J29" s="19">
        <v>0</v>
      </c>
      <c r="K29" s="8" t="s">
        <v>115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65</v>
      </c>
      <c r="B30" s="18">
        <v>66195</v>
      </c>
      <c r="C30" s="19">
        <v>0</v>
      </c>
      <c r="D30" s="8" t="s">
        <v>87</v>
      </c>
      <c r="E30" s="20">
        <v>0</v>
      </c>
      <c r="F30" s="20">
        <v>1</v>
      </c>
      <c r="G30" s="8" t="s">
        <v>54</v>
      </c>
      <c r="H30" s="20">
        <v>1</v>
      </c>
      <c r="I30" s="8" t="s">
        <v>88</v>
      </c>
      <c r="J30" s="19">
        <v>0</v>
      </c>
      <c r="K30" s="8" t="s">
        <v>116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53</v>
      </c>
      <c r="B31" s="18">
        <v>66196</v>
      </c>
      <c r="C31" s="19">
        <v>0</v>
      </c>
      <c r="D31" s="8" t="s">
        <v>117</v>
      </c>
      <c r="E31" s="20">
        <v>0</v>
      </c>
      <c r="F31" s="20">
        <v>0</v>
      </c>
      <c r="G31" s="8" t="s">
        <v>54</v>
      </c>
      <c r="H31" s="20">
        <v>0</v>
      </c>
      <c r="I31" s="8" t="s">
        <v>118</v>
      </c>
      <c r="J31" s="19">
        <v>0</v>
      </c>
      <c r="K31" s="8" t="s">
        <v>117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62</v>
      </c>
      <c r="B32" s="18">
        <v>66197</v>
      </c>
      <c r="C32" s="19">
        <v>0</v>
      </c>
      <c r="D32" s="8" t="s">
        <v>89</v>
      </c>
      <c r="E32" s="20">
        <v>0</v>
      </c>
      <c r="F32" s="20">
        <v>1</v>
      </c>
      <c r="G32" s="8" t="s">
        <v>54</v>
      </c>
      <c r="H32" s="20">
        <v>1</v>
      </c>
      <c r="I32" s="8" t="s">
        <v>90</v>
      </c>
      <c r="J32" s="19">
        <v>0</v>
      </c>
      <c r="K32" s="8" t="s">
        <v>91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65</v>
      </c>
      <c r="B33" s="18">
        <v>66198</v>
      </c>
      <c r="C33" s="19">
        <v>0</v>
      </c>
      <c r="D33" s="8" t="s">
        <v>92</v>
      </c>
      <c r="E33" s="20">
        <v>0</v>
      </c>
      <c r="F33" s="20">
        <v>1</v>
      </c>
      <c r="G33" s="8" t="s">
        <v>54</v>
      </c>
      <c r="H33" s="20">
        <v>1</v>
      </c>
      <c r="I33" s="8" t="s">
        <v>93</v>
      </c>
      <c r="J33" s="19">
        <v>0</v>
      </c>
      <c r="K33" s="8" t="s">
        <v>94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62</v>
      </c>
      <c r="B34" s="18">
        <v>66199</v>
      </c>
      <c r="C34" s="19">
        <v>0</v>
      </c>
      <c r="D34" s="8" t="s">
        <v>95</v>
      </c>
      <c r="E34" s="20">
        <v>0</v>
      </c>
      <c r="F34" s="20">
        <v>1</v>
      </c>
      <c r="G34" s="8" t="s">
        <v>54</v>
      </c>
      <c r="H34" s="20">
        <v>1</v>
      </c>
      <c r="I34" s="8" t="s">
        <v>96</v>
      </c>
      <c r="J34" s="19">
        <v>0</v>
      </c>
      <c r="K34" s="8" t="s">
        <v>97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/>
    <row r="36" spans="1:14" ht="12.75" customHeight="1" x14ac:dyDescent="0.2">
      <c r="B36" s="8" t="s">
        <v>16</v>
      </c>
      <c r="C36" s="8" t="s">
        <v>103</v>
      </c>
      <c r="E36" s="8" t="s">
        <v>19</v>
      </c>
      <c r="F36" s="8" t="s">
        <v>19</v>
      </c>
      <c r="G36" s="8" t="s">
        <v>21</v>
      </c>
      <c r="H36" s="8" t="s">
        <v>19</v>
      </c>
      <c r="J36" s="8" t="s">
        <v>19</v>
      </c>
    </row>
    <row r="37" spans="1:14" ht="12.75" customHeight="1" x14ac:dyDescent="0.2"/>
    <row r="38" spans="1:14" ht="12.75" customHeight="1" x14ac:dyDescent="0.2"/>
    <row r="39" spans="1:14" ht="12.75" customHeight="1" x14ac:dyDescent="0.2"/>
    <row r="40" spans="1:14" ht="12.75" customHeight="1" x14ac:dyDescent="0.2"/>
    <row r="41" spans="1:14" ht="12.75" customHeight="1" x14ac:dyDescent="0.2"/>
    <row r="42" spans="1:14" ht="12.75" customHeight="1" x14ac:dyDescent="0.2"/>
    <row r="43" spans="1:14" ht="12.75" customHeight="1" x14ac:dyDescent="0.2"/>
    <row r="44" spans="1:14" ht="12.75" customHeight="1" x14ac:dyDescent="0.2"/>
    <row r="45" spans="1:14" ht="12.75" customHeight="1" x14ac:dyDescent="0.2"/>
    <row r="46" spans="1:14" ht="12.75" customHeight="1" x14ac:dyDescent="0.2"/>
    <row r="47" spans="1:14" ht="12.75" customHeight="1" x14ac:dyDescent="0.2"/>
    <row r="48" spans="1:14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023-26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64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CUT PIPE FOR SHELL &amp; N1; PREP FOR FULL PEN WELD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63</v>
      </c>
      <c r="B4" s="38">
        <f>'Build Plan w Hours'!E7</f>
        <v>3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023-26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64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weld_x000D_
N1 &amp; N3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63</v>
      </c>
      <c r="B10" s="38">
        <f>'Build Plan w Hours'!E8</f>
        <v>2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023-26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64</v>
      </c>
    </row>
    <row r="14" spans="1:9" ht="21.75" customHeight="1" x14ac:dyDescent="0.25">
      <c r="A14" s="29" t="s">
        <v>13</v>
      </c>
      <c r="B14" s="31" t="str">
        <f>'Build Plan w Hours'!C9</f>
        <v>.155</v>
      </c>
      <c r="C14" s="40" t="str">
        <f>'Build Plan w Hours'!D9</f>
        <v>Burn and clean parts:  lugs, supports, repads, base ring, etc. (CHECK!)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63</v>
      </c>
      <c r="B16" s="38">
        <f>'Build Plan w Hours'!E9</f>
        <v>1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023-26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64</v>
      </c>
    </row>
    <row r="20" spans="1:9" ht="21.75" customHeight="1" x14ac:dyDescent="0.25">
      <c r="A20" s="29" t="s">
        <v>13</v>
      </c>
      <c r="B20" s="31" t="str">
        <f>'Build Plan w Hours'!C10</f>
        <v>.165</v>
      </c>
      <c r="C20" s="40" t="str">
        <f>'Build Plan w Hours'!D10</f>
        <v>Build supports: legs, lugs, saddles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63</v>
      </c>
      <c r="B22" s="38">
        <f>'Build Plan w Hours'!E10</f>
        <v>1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023-26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64</v>
      </c>
    </row>
    <row r="26" spans="1:9" ht="21.75" customHeight="1" x14ac:dyDescent="0.25">
      <c r="A26" s="29" t="s">
        <v>13</v>
      </c>
      <c r="B26" s="31" t="str">
        <f>'Build Plan w Hours'!C11</f>
        <v>.QC4</v>
      </c>
      <c r="C26" s="40" t="str">
        <f>'Build Plan w Hours'!D11</f>
        <v>QC Inspection - Top/Bottom/Cones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63</v>
      </c>
      <c r="B28" s="38">
        <f>'Build Plan w Hours'!E11</f>
        <v>0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023-26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64</v>
      </c>
    </row>
    <row r="32" spans="1:9" ht="21.75" customHeight="1" x14ac:dyDescent="0.25">
      <c r="A32" s="29" t="s">
        <v>13</v>
      </c>
      <c r="B32" s="31" t="str">
        <f>'Build Plan w Hours'!C12</f>
        <v>.460</v>
      </c>
      <c r="C32" s="40" t="str">
        <f>'Build Plan w Hours'!D12</f>
        <v>Bevel bottom head_x000D_
PREP PIPE CAP FOR FULL PEN WELD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63</v>
      </c>
      <c r="B34" s="38">
        <f>'Build Plan w Hours'!E12</f>
        <v>1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023-26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64</v>
      </c>
    </row>
    <row r="38" spans="1:9" ht="21.75" customHeight="1" x14ac:dyDescent="0.25">
      <c r="A38" s="29" t="s">
        <v>13</v>
      </c>
      <c r="B38" s="31" t="str">
        <f>'Build Plan w Hours'!C13</f>
        <v>.OI1</v>
      </c>
      <c r="C38" s="40" t="str">
        <f>'Build Plan w Hours'!D13</f>
        <v>ASME Hold Point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63</v>
      </c>
      <c r="B40" s="38">
        <f>'Build Plan w Hours'!E13</f>
        <v>0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023-26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64</v>
      </c>
    </row>
    <row r="44" spans="1:9" ht="21.75" customHeight="1" x14ac:dyDescent="0.25">
      <c r="A44" s="29" t="s">
        <v>13</v>
      </c>
      <c r="B44" s="31" t="str">
        <f>'Build Plan w Hours'!C14</f>
        <v>.600</v>
      </c>
      <c r="C44" s="40" t="str">
        <f>'Build Plan w Hours'!D14</f>
        <v>Fit bottom head to shell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63</v>
      </c>
      <c r="B46" s="38">
        <f>'Build Plan w Hours'!E14</f>
        <v>1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023-26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64</v>
      </c>
    </row>
    <row r="50" spans="1:9" ht="21.75" customHeight="1" x14ac:dyDescent="0.25">
      <c r="A50" s="29" t="s">
        <v>13</v>
      </c>
      <c r="B50" s="31" t="str">
        <f>'Build Plan w Hours'!C15</f>
        <v>.620</v>
      </c>
      <c r="C50" s="40" t="str">
        <f>'Build Plan w Hours'!D15</f>
        <v>Lay out shell, burn and clean holes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63</v>
      </c>
      <c r="B52" s="38">
        <f>'Build Plan w Hours'!E15</f>
        <v>1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023-26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64</v>
      </c>
    </row>
    <row r="56" spans="1:9" ht="21.75" customHeight="1" x14ac:dyDescent="0.25">
      <c r="A56" s="29" t="s">
        <v>13</v>
      </c>
      <c r="B56" s="31" t="str">
        <f>'Build Plan w Hours'!C16</f>
        <v>.QC5</v>
      </c>
      <c r="C56" s="40" t="str">
        <f>'Build Plan w Hours'!D16</f>
        <v>QC Inspection - Internal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63</v>
      </c>
      <c r="B58" s="38">
        <f>'Build Plan w Hours'!E16</f>
        <v>0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023-26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64</v>
      </c>
    </row>
    <row r="62" spans="1:9" ht="21.75" customHeight="1" x14ac:dyDescent="0.25">
      <c r="A62" s="29" t="s">
        <v>13</v>
      </c>
      <c r="B62" s="31" t="str">
        <f>'Build Plan w Hours'!C17</f>
        <v>.645</v>
      </c>
      <c r="C62" s="40" t="str">
        <f>'Build Plan w Hours'!D17</f>
        <v>Weld all outside seams_x000D_
MAKE FULL PEN WELD TO JOIN PIPE CAP TO SHELL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63</v>
      </c>
      <c r="B64" s="38">
        <f>'Build Plan w Hours'!E17</f>
        <v>1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023-26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64</v>
      </c>
    </row>
    <row r="68" spans="1:9" ht="21.75" customHeight="1" x14ac:dyDescent="0.25">
      <c r="A68" s="29" t="s">
        <v>13</v>
      </c>
      <c r="B68" s="31" t="str">
        <f>'Build Plan w Hours'!C18</f>
        <v>.720</v>
      </c>
      <c r="C68" s="40" t="str">
        <f>'Build Plan w Hours'!D18</f>
        <v>Install supports - legs, lugs, anchors, saddles, skirt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63</v>
      </c>
      <c r="B70" s="38">
        <f>'Build Plan w Hours'!E18</f>
        <v>1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023-26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64</v>
      </c>
    </row>
    <row r="74" spans="1:9" ht="21.75" customHeight="1" x14ac:dyDescent="0.25">
      <c r="A74" s="29" t="s">
        <v>13</v>
      </c>
      <c r="B74" s="31" t="str">
        <f>'Build Plan w Hours'!C19</f>
        <v>.725</v>
      </c>
      <c r="C74" s="40" t="str">
        <f>'Build Plan w Hours'!D19</f>
        <v>Set nozzles in shell - tack_x000D_
INCL PREP FOR FULL PEN WELD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63</v>
      </c>
      <c r="B76" s="38">
        <f>'Build Plan w Hours'!E19</f>
        <v>1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023-26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64</v>
      </c>
    </row>
    <row r="80" spans="1:9" ht="21.75" customHeight="1" x14ac:dyDescent="0.25">
      <c r="A80" s="29" t="s">
        <v>13</v>
      </c>
      <c r="B80" s="31" t="str">
        <f>'Build Plan w Hours'!C20</f>
        <v>.726</v>
      </c>
      <c r="C80" s="40" t="str">
        <f>'Build Plan w Hours'!D20</f>
        <v>Weld shell nozzles, manways, etc.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63</v>
      </c>
      <c r="B82" s="38">
        <f>'Build Plan w Hours'!E20</f>
        <v>1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023-26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64</v>
      </c>
    </row>
    <row r="86" spans="1:9" ht="21.75" customHeight="1" x14ac:dyDescent="0.25">
      <c r="A86" s="29" t="s">
        <v>13</v>
      </c>
      <c r="B86" s="31" t="str">
        <f>'Build Plan w Hours'!C21</f>
        <v>.QC51</v>
      </c>
      <c r="C86" s="40" t="str">
        <f>'Build Plan w Hours'!D21</f>
        <v>UT Components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63</v>
      </c>
      <c r="B88" s="38">
        <f>'Build Plan w Hours'!E21</f>
        <v>0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023-26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64</v>
      </c>
    </row>
    <row r="92" spans="1:9" ht="21.75" customHeight="1" x14ac:dyDescent="0.25">
      <c r="A92" s="29" t="s">
        <v>13</v>
      </c>
      <c r="B92" s="31" t="str">
        <f>'Build Plan w Hours'!C22</f>
        <v>.765</v>
      </c>
      <c r="C92" s="40" t="str">
        <f>'Build Plan w Hours'!D22</f>
        <v>Install name tag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63</v>
      </c>
      <c r="B94" s="38">
        <f>'Build Plan w Hours'!E22</f>
        <v>1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023-26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64</v>
      </c>
    </row>
    <row r="98" spans="1:9" ht="21.75" customHeight="1" x14ac:dyDescent="0.25">
      <c r="A98" s="29" t="s">
        <v>13</v>
      </c>
      <c r="B98" s="31" t="str">
        <f>'Build Plan w Hours'!C23</f>
        <v>.770</v>
      </c>
      <c r="C98" s="40" t="str">
        <f>'Build Plan w Hours'!D23</f>
        <v>Inspect tank, make repairs, get QC inspector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63</v>
      </c>
      <c r="B100" s="38">
        <f>'Build Plan w Hours'!E23</f>
        <v>1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023-26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64</v>
      </c>
    </row>
    <row r="104" spans="1:9" ht="21.75" customHeight="1" x14ac:dyDescent="0.25">
      <c r="A104" s="29" t="s">
        <v>13</v>
      </c>
      <c r="B104" s="31" t="str">
        <f>'Build Plan w Hours'!C24</f>
        <v>.910</v>
      </c>
      <c r="C104" s="40" t="str">
        <f>'Build Plan w Hours'!D24</f>
        <v>Test tank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63</v>
      </c>
      <c r="B106" s="38">
        <f>'Build Plan w Hours'!E24</f>
        <v>1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023-26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64</v>
      </c>
    </row>
    <row r="110" spans="1:9" ht="21.75" customHeight="1" x14ac:dyDescent="0.25">
      <c r="A110" s="29" t="s">
        <v>13</v>
      </c>
      <c r="B110" s="31">
        <f>'Build Plan w Hours'!C25</f>
        <v>0</v>
      </c>
      <c r="C110" s="40">
        <f>'Build Plan w Hours'!D25</f>
        <v>0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63</v>
      </c>
      <c r="B112" s="38">
        <f>'Build Plan w Hours'!E25</f>
        <v>0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023-26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64</v>
      </c>
    </row>
    <row r="116" spans="1:9" ht="21.75" customHeight="1" x14ac:dyDescent="0.25">
      <c r="A116" s="29" t="s">
        <v>13</v>
      </c>
      <c r="B116" s="31">
        <f>'Build Plan w Hours'!C26</f>
        <v>0</v>
      </c>
      <c r="C116" s="40">
        <f>'Build Plan w Hours'!D26</f>
        <v>0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63</v>
      </c>
      <c r="B118" s="38" t="str">
        <f>'Build Plan w Hours'!E26</f>
        <v/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023-26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64</v>
      </c>
    </row>
    <row r="122" spans="1:9" ht="21.75" customHeight="1" x14ac:dyDescent="0.25">
      <c r="A122" s="29" t="s">
        <v>13</v>
      </c>
      <c r="B122" s="31">
        <f>'Build Plan w Hours'!C27</f>
        <v>0</v>
      </c>
      <c r="C122" s="40">
        <f>'Build Plan w Hours'!D27</f>
        <v>0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63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023-26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64</v>
      </c>
    </row>
    <row r="128" spans="1:9" ht="21.75" customHeight="1" x14ac:dyDescent="0.25">
      <c r="A128" s="29" t="s">
        <v>13</v>
      </c>
      <c r="B128" s="31">
        <f>'Build Plan w Hours'!C28</f>
        <v>0</v>
      </c>
      <c r="C128" s="40">
        <f>'Build Plan w Hours'!D28</f>
        <v>0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63</v>
      </c>
      <c r="B130" s="38">
        <f>'Build Plan w Hours'!E28</f>
        <v>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023-26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64</v>
      </c>
    </row>
    <row r="134" spans="1:9" ht="21.75" customHeight="1" x14ac:dyDescent="0.25">
      <c r="A134" s="29" t="s">
        <v>13</v>
      </c>
      <c r="B134" s="31">
        <f>'Build Plan w Hours'!C29</f>
        <v>0</v>
      </c>
      <c r="C134" s="40">
        <f>'Build Plan w Hours'!D29</f>
        <v>0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63</v>
      </c>
      <c r="B136" s="38">
        <f>'Build Plan w Hours'!E29</f>
        <v>0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023-26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64</v>
      </c>
    </row>
    <row r="140" spans="1:9" ht="21.75" customHeight="1" x14ac:dyDescent="0.25">
      <c r="A140" s="29" t="s">
        <v>13</v>
      </c>
      <c r="B140" s="31">
        <f>'Build Plan w Hours'!C30</f>
        <v>0</v>
      </c>
      <c r="C140" s="40">
        <f>'Build Plan w Hours'!D30</f>
        <v>0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63</v>
      </c>
      <c r="B142" s="38">
        <f>'Build Plan w Hours'!E30</f>
        <v>0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023-26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64</v>
      </c>
    </row>
    <row r="146" spans="1:9" ht="21.75" customHeight="1" x14ac:dyDescent="0.25">
      <c r="A146" s="29" t="s">
        <v>13</v>
      </c>
      <c r="B146" s="31">
        <f>'Build Plan w Hours'!C31</f>
        <v>0</v>
      </c>
      <c r="C146" s="40">
        <f>'Build Plan w Hours'!D31</f>
        <v>0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63</v>
      </c>
      <c r="B148" s="38">
        <f>'Build Plan w Hours'!E31</f>
        <v>0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023-26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64</v>
      </c>
    </row>
    <row r="152" spans="1:9" ht="21.75" customHeight="1" x14ac:dyDescent="0.25">
      <c r="A152" s="29" t="s">
        <v>13</v>
      </c>
      <c r="B152" s="31">
        <f>'Build Plan w Hours'!C32</f>
        <v>0</v>
      </c>
      <c r="C152" s="40">
        <f>'Build Plan w Hours'!D32</f>
        <v>0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63</v>
      </c>
      <c r="B154" s="38">
        <f>'Build Plan w Hours'!E32</f>
        <v>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023-26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64</v>
      </c>
    </row>
    <row r="158" spans="1:9" ht="21.75" customHeight="1" x14ac:dyDescent="0.25">
      <c r="A158" s="29" t="s">
        <v>13</v>
      </c>
      <c r="B158" s="31">
        <f>'Build Plan w Hours'!C33</f>
        <v>0</v>
      </c>
      <c r="C158" s="40">
        <f>'Build Plan w Hours'!D33</f>
        <v>0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63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023-26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64</v>
      </c>
    </row>
    <row r="164" spans="1:9" ht="21.75" customHeight="1" x14ac:dyDescent="0.25">
      <c r="A164" s="29" t="s">
        <v>13</v>
      </c>
      <c r="B164" s="31">
        <f>'Build Plan w Hours'!C34</f>
        <v>0</v>
      </c>
      <c r="C164" s="40">
        <f>'Build Plan w Hours'!D34</f>
        <v>0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63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023-26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64</v>
      </c>
    </row>
    <row r="170" spans="1:9" ht="21.75" customHeight="1" x14ac:dyDescent="0.25">
      <c r="A170" s="29" t="s">
        <v>13</v>
      </c>
      <c r="B170" s="31">
        <f>'Build Plan w Hours'!C35</f>
        <v>0</v>
      </c>
      <c r="C170" s="40">
        <f>'Build Plan w Hours'!D35</f>
        <v>0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63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023-26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64</v>
      </c>
    </row>
    <row r="176" spans="1:9" ht="21.75" customHeight="1" x14ac:dyDescent="0.25">
      <c r="A176" s="29" t="s">
        <v>13</v>
      </c>
      <c r="B176" s="31">
        <f>'Build Plan w Hours'!C36</f>
        <v>0</v>
      </c>
      <c r="C176" s="40">
        <f>'Build Plan w Hours'!D36</f>
        <v>0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63</v>
      </c>
      <c r="B178" s="38">
        <f>'Build Plan w Hours'!E36</f>
        <v>0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023-26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64</v>
      </c>
    </row>
    <row r="182" spans="1:9" ht="21.75" customHeight="1" x14ac:dyDescent="0.25">
      <c r="A182" s="29" t="s">
        <v>13</v>
      </c>
      <c r="B182" s="31">
        <f>'Build Plan w Hours'!C37</f>
        <v>0</v>
      </c>
      <c r="C182" s="40">
        <f>'Build Plan w Hours'!D37</f>
        <v>0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63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023-26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64</v>
      </c>
    </row>
    <row r="188" spans="1:9" ht="21.75" customHeight="1" x14ac:dyDescent="0.25">
      <c r="A188" s="29" t="s">
        <v>13</v>
      </c>
      <c r="B188" s="31">
        <f>'Build Plan w Hours'!C38</f>
        <v>0</v>
      </c>
      <c r="C188" s="40">
        <f>'Build Plan w Hours'!D38</f>
        <v>0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63</v>
      </c>
      <c r="B190" s="38">
        <f>'Build Plan w Hours'!E38</f>
        <v>0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023-26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64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63</v>
      </c>
      <c r="B196" s="38">
        <f>'Build Plan w Hours'!E39</f>
        <v>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023-26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64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63</v>
      </c>
      <c r="B202" s="38">
        <f>'Build Plan w Hours'!E40</f>
        <v>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023-26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64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63</v>
      </c>
      <c r="B208" s="38">
        <f>'Build Plan w Hours'!E41</f>
        <v>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023-26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64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63</v>
      </c>
      <c r="B214" s="38">
        <f>'Build Plan w Hours'!E42</f>
        <v>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023-26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64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63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023-26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64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63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023-26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64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63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023-26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64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63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023-26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64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63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023-26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64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63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023-26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64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63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023-26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64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63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023-26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64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63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023-26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64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63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023-26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64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63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023-26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64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63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023-26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64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63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023-26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64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63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023-26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64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63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023-26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64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63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023-26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64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63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023-26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64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63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023-26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64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63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023-26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64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63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023-26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64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63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023-26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64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63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023-26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64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63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023-26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64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63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023-26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64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63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023-26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64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63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023-26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64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63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023-26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64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63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023-26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64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63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023-26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64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63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023-26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64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63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023-26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64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63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023-26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64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63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023-26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64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63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023-26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64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63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023-26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64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63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023-26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64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63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023-26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64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63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023-26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64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63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023-26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64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63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023-26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64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63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023-26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64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63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023-26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64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63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023-26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64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63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023-26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64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CUT PIPE FOR SHELL &amp; N1; PREP FOR FULL PEN WELD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023-26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64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weld_x000D_
N1 &amp; N3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023-26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64</v>
      </c>
    </row>
    <row r="14" spans="1:9" ht="21.75" customHeight="1" x14ac:dyDescent="0.25">
      <c r="A14" s="29" t="s">
        <v>13</v>
      </c>
      <c r="B14" s="31" t="str">
        <f>'Build Plan w Hours'!C9</f>
        <v>.155</v>
      </c>
      <c r="C14" s="40" t="str">
        <f>'Build Plan w Hours'!D9</f>
        <v>Burn and clean parts:  lugs, supports, repads, base ring, etc. (CHECK!)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023-26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64</v>
      </c>
    </row>
    <row r="20" spans="1:9" ht="21.75" customHeight="1" x14ac:dyDescent="0.25">
      <c r="A20" s="29" t="s">
        <v>13</v>
      </c>
      <c r="B20" s="31" t="str">
        <f>'Build Plan w Hours'!C10</f>
        <v>.165</v>
      </c>
      <c r="C20" s="40" t="str">
        <f>'Build Plan w Hours'!D10</f>
        <v>Build supports: legs, lugs, saddles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023-26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64</v>
      </c>
    </row>
    <row r="26" spans="1:9" ht="21.75" customHeight="1" x14ac:dyDescent="0.25">
      <c r="A26" s="29" t="s">
        <v>13</v>
      </c>
      <c r="B26" s="31" t="str">
        <f>'Build Plan w Hours'!C11</f>
        <v>.QC4</v>
      </c>
      <c r="C26" s="40" t="str">
        <f>'Build Plan w Hours'!D11</f>
        <v>QC Inspection - Top/Bottom/Cones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023-26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64</v>
      </c>
    </row>
    <row r="32" spans="1:9" ht="21.75" customHeight="1" x14ac:dyDescent="0.25">
      <c r="A32" s="29" t="s">
        <v>13</v>
      </c>
      <c r="B32" s="31" t="str">
        <f>'Build Plan w Hours'!C12</f>
        <v>.460</v>
      </c>
      <c r="C32" s="40" t="str">
        <f>'Build Plan w Hours'!D12</f>
        <v>Bevel bottom head_x000D_
PREP PIPE CAP FOR FULL PEN WELD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023-26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64</v>
      </c>
    </row>
    <row r="38" spans="1:9" ht="21.75" customHeight="1" x14ac:dyDescent="0.25">
      <c r="A38" s="29" t="s">
        <v>13</v>
      </c>
      <c r="B38" s="31" t="str">
        <f>'Build Plan w Hours'!C13</f>
        <v>.OI1</v>
      </c>
      <c r="C38" s="40" t="str">
        <f>'Build Plan w Hours'!D13</f>
        <v>ASME Hold Point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023-26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64</v>
      </c>
    </row>
    <row r="44" spans="1:9" ht="21.75" customHeight="1" x14ac:dyDescent="0.25">
      <c r="A44" s="29" t="s">
        <v>13</v>
      </c>
      <c r="B44" s="31" t="str">
        <f>'Build Plan w Hours'!C14</f>
        <v>.600</v>
      </c>
      <c r="C44" s="40" t="str">
        <f>'Build Plan w Hours'!D14</f>
        <v>Fit bottom head to shell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023-26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64</v>
      </c>
    </row>
    <row r="50" spans="1:9" ht="21.75" customHeight="1" x14ac:dyDescent="0.25">
      <c r="A50" s="29" t="s">
        <v>13</v>
      </c>
      <c r="B50" s="31" t="str">
        <f>'Build Plan w Hours'!C15</f>
        <v>.620</v>
      </c>
      <c r="C50" s="40" t="str">
        <f>'Build Plan w Hours'!D15</f>
        <v>Lay out shell, burn and clean holes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023-26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64</v>
      </c>
    </row>
    <row r="56" spans="1:9" ht="21.75" customHeight="1" x14ac:dyDescent="0.25">
      <c r="A56" s="29" t="s">
        <v>13</v>
      </c>
      <c r="B56" s="31" t="str">
        <f>'Build Plan w Hours'!C16</f>
        <v>.QC5</v>
      </c>
      <c r="C56" s="40" t="str">
        <f>'Build Plan w Hours'!D16</f>
        <v>QC Inspection - Internal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023-26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64</v>
      </c>
    </row>
    <row r="62" spans="1:9" ht="21.75" customHeight="1" x14ac:dyDescent="0.25">
      <c r="A62" s="29" t="s">
        <v>13</v>
      </c>
      <c r="B62" s="31" t="str">
        <f>'Build Plan w Hours'!C17</f>
        <v>.645</v>
      </c>
      <c r="C62" s="40" t="str">
        <f>'Build Plan w Hours'!D17</f>
        <v>Weld all outside seams_x000D_
MAKE FULL PEN WELD TO JOIN PIPE CAP TO SHELL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023-26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64</v>
      </c>
    </row>
    <row r="68" spans="1:9" ht="21.75" customHeight="1" x14ac:dyDescent="0.25">
      <c r="A68" s="29" t="s">
        <v>13</v>
      </c>
      <c r="B68" s="31" t="str">
        <f>'Build Plan w Hours'!C18</f>
        <v>.720</v>
      </c>
      <c r="C68" s="40" t="str">
        <f>'Build Plan w Hours'!D18</f>
        <v>Install supports - legs, lugs, anchors, saddles, skirt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023-26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64</v>
      </c>
    </row>
    <row r="74" spans="1:9" ht="21.75" customHeight="1" x14ac:dyDescent="0.25">
      <c r="A74" s="29" t="s">
        <v>13</v>
      </c>
      <c r="B74" s="31" t="str">
        <f>'Build Plan w Hours'!C19</f>
        <v>.725</v>
      </c>
      <c r="C74" s="40" t="str">
        <f>'Build Plan w Hours'!D19</f>
        <v>Set nozzles in shell - tack_x000D_
INCL PREP FOR FULL PEN WELD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023-26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64</v>
      </c>
    </row>
    <row r="80" spans="1:9" ht="21.75" customHeight="1" x14ac:dyDescent="0.25">
      <c r="A80" s="29" t="s">
        <v>13</v>
      </c>
      <c r="B80" s="31" t="str">
        <f>'Build Plan w Hours'!C20</f>
        <v>.726</v>
      </c>
      <c r="C80" s="40" t="str">
        <f>'Build Plan w Hours'!D20</f>
        <v>Weld shell nozzles, manways, etc.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023-26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64</v>
      </c>
    </row>
    <row r="86" spans="1:9" ht="21.75" customHeight="1" x14ac:dyDescent="0.25">
      <c r="A86" s="29" t="s">
        <v>13</v>
      </c>
      <c r="B86" s="31" t="str">
        <f>'Build Plan w Hours'!C21</f>
        <v>.QC51</v>
      </c>
      <c r="C86" s="40" t="str">
        <f>'Build Plan w Hours'!D21</f>
        <v>UT Components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023-26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64</v>
      </c>
    </row>
    <row r="92" spans="1:9" ht="21.75" customHeight="1" x14ac:dyDescent="0.25">
      <c r="A92" s="29" t="s">
        <v>13</v>
      </c>
      <c r="B92" s="31" t="str">
        <f>'Build Plan w Hours'!C22</f>
        <v>.765</v>
      </c>
      <c r="C92" s="40" t="str">
        <f>'Build Plan w Hours'!D22</f>
        <v>Install name tag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023-26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64</v>
      </c>
    </row>
    <row r="98" spans="1:9" ht="21.75" customHeight="1" x14ac:dyDescent="0.25">
      <c r="A98" s="29" t="s">
        <v>13</v>
      </c>
      <c r="B98" s="31" t="str">
        <f>'Build Plan w Hours'!C23</f>
        <v>.770</v>
      </c>
      <c r="C98" s="40" t="str">
        <f>'Build Plan w Hours'!D23</f>
        <v>Inspect tank, make repairs, get QC inspector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023-26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64</v>
      </c>
    </row>
    <row r="104" spans="1:9" ht="21.75" customHeight="1" x14ac:dyDescent="0.25">
      <c r="A104" s="29" t="s">
        <v>13</v>
      </c>
      <c r="B104" s="31" t="str">
        <f>'Build Plan w Hours'!C24</f>
        <v>.910</v>
      </c>
      <c r="C104" s="40" t="str">
        <f>'Build Plan w Hours'!D24</f>
        <v>Test tank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023-26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64</v>
      </c>
    </row>
    <row r="110" spans="1:9" ht="21.75" customHeight="1" x14ac:dyDescent="0.25">
      <c r="A110" s="29" t="s">
        <v>13</v>
      </c>
      <c r="B110" s="31">
        <f>'Build Plan w Hours'!C25</f>
        <v>0</v>
      </c>
      <c r="C110" s="40">
        <f>'Build Plan w Hours'!D25</f>
        <v>0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023-26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64</v>
      </c>
    </row>
    <row r="116" spans="1:9" ht="21.75" customHeight="1" x14ac:dyDescent="0.25">
      <c r="A116" s="29" t="s">
        <v>13</v>
      </c>
      <c r="B116" s="31">
        <f>'Build Plan w Hours'!C26</f>
        <v>0</v>
      </c>
      <c r="C116" s="40">
        <f>'Build Plan w Hours'!D26</f>
        <v>0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023-26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64</v>
      </c>
    </row>
    <row r="122" spans="1:9" ht="21.75" customHeight="1" x14ac:dyDescent="0.25">
      <c r="A122" s="29" t="s">
        <v>13</v>
      </c>
      <c r="B122" s="31">
        <f>'Build Plan w Hours'!C27</f>
        <v>0</v>
      </c>
      <c r="C122" s="40">
        <f>'Build Plan w Hours'!D27</f>
        <v>0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023-26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64</v>
      </c>
    </row>
    <row r="128" spans="1:9" ht="21.75" customHeight="1" x14ac:dyDescent="0.25">
      <c r="A128" s="29" t="s">
        <v>13</v>
      </c>
      <c r="B128" s="31">
        <f>'Build Plan w Hours'!C28</f>
        <v>0</v>
      </c>
      <c r="C128" s="40">
        <f>'Build Plan w Hours'!D28</f>
        <v>0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023-26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64</v>
      </c>
    </row>
    <row r="134" spans="1:9" ht="21.75" customHeight="1" x14ac:dyDescent="0.25">
      <c r="A134" s="29" t="s">
        <v>13</v>
      </c>
      <c r="B134" s="31">
        <f>'Build Plan w Hours'!C29</f>
        <v>0</v>
      </c>
      <c r="C134" s="40">
        <f>'Build Plan w Hours'!D29</f>
        <v>0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023-26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64</v>
      </c>
    </row>
    <row r="140" spans="1:9" ht="21.75" customHeight="1" x14ac:dyDescent="0.25">
      <c r="A140" s="29" t="s">
        <v>13</v>
      </c>
      <c r="B140" s="31">
        <f>'Build Plan w Hours'!C30</f>
        <v>0</v>
      </c>
      <c r="C140" s="40">
        <f>'Build Plan w Hours'!D30</f>
        <v>0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023-26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64</v>
      </c>
    </row>
    <row r="146" spans="1:9" ht="21.75" customHeight="1" x14ac:dyDescent="0.25">
      <c r="A146" s="29" t="s">
        <v>13</v>
      </c>
      <c r="B146" s="31">
        <f>'Build Plan w Hours'!C31</f>
        <v>0</v>
      </c>
      <c r="C146" s="40">
        <f>'Build Plan w Hours'!D31</f>
        <v>0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023-26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64</v>
      </c>
    </row>
    <row r="152" spans="1:9" ht="21.75" customHeight="1" x14ac:dyDescent="0.25">
      <c r="A152" s="29" t="s">
        <v>13</v>
      </c>
      <c r="B152" s="31">
        <f>'Build Plan w Hours'!C32</f>
        <v>0</v>
      </c>
      <c r="C152" s="40">
        <f>'Build Plan w Hours'!D32</f>
        <v>0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023-26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64</v>
      </c>
    </row>
    <row r="158" spans="1:9" ht="21.75" customHeight="1" x14ac:dyDescent="0.25">
      <c r="A158" s="29" t="s">
        <v>13</v>
      </c>
      <c r="B158" s="31">
        <f>'Build Plan w Hours'!C33</f>
        <v>0</v>
      </c>
      <c r="C158" s="40">
        <f>'Build Plan w Hours'!D33</f>
        <v>0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023-26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64</v>
      </c>
    </row>
    <row r="164" spans="1:9" ht="21.75" customHeight="1" x14ac:dyDescent="0.25">
      <c r="A164" s="29" t="s">
        <v>13</v>
      </c>
      <c r="B164" s="31">
        <f>'Build Plan w Hours'!C34</f>
        <v>0</v>
      </c>
      <c r="C164" s="40">
        <f>'Build Plan w Hours'!D34</f>
        <v>0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023-26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64</v>
      </c>
    </row>
    <row r="170" spans="1:9" ht="21.75" customHeight="1" x14ac:dyDescent="0.25">
      <c r="A170" s="29" t="s">
        <v>13</v>
      </c>
      <c r="B170" s="31">
        <f>'Build Plan w Hours'!C35</f>
        <v>0</v>
      </c>
      <c r="C170" s="40">
        <f>'Build Plan w Hours'!D35</f>
        <v>0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023-26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64</v>
      </c>
    </row>
    <row r="176" spans="1:9" ht="21.75" customHeight="1" x14ac:dyDescent="0.25">
      <c r="A176" s="29" t="s">
        <v>13</v>
      </c>
      <c r="B176" s="31">
        <f>'Build Plan w Hours'!C36</f>
        <v>0</v>
      </c>
      <c r="C176" s="40">
        <f>'Build Plan w Hours'!D36</f>
        <v>0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023-26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64</v>
      </c>
    </row>
    <row r="182" spans="1:9" ht="21.75" customHeight="1" x14ac:dyDescent="0.25">
      <c r="A182" s="29" t="s">
        <v>13</v>
      </c>
      <c r="B182" s="31">
        <f>'Build Plan w Hours'!C37</f>
        <v>0</v>
      </c>
      <c r="C182" s="40">
        <f>'Build Plan w Hours'!D37</f>
        <v>0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023-26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64</v>
      </c>
    </row>
    <row r="188" spans="1:9" ht="21.75" customHeight="1" x14ac:dyDescent="0.25">
      <c r="A188" s="29" t="s">
        <v>13</v>
      </c>
      <c r="B188" s="31">
        <f>'Build Plan w Hours'!C38</f>
        <v>0</v>
      </c>
      <c r="C188" s="40">
        <f>'Build Plan w Hours'!D38</f>
        <v>0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023-26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64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023-26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64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023-26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64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023-26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64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023-26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64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023-26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64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023-26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64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023-26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64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023-26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64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023-26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64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023-26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64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023-26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64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023-26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64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023-26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64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023-26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64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023-26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64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023-26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64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023-26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64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023-26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64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023-26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64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023-26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64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023-26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64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023-26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64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023-26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64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023-26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64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023-26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64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023-26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64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023-26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64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023-26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64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023-26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64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023-26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64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023-26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64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023-26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64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023-26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64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023-26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64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023-26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64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023-26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64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023-26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64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023-26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64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023-26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64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023-26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64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023-26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64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023-26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64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023-26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64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023-26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64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023-26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64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023-26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64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023-26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64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023-26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64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023-26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64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2026-03-18T15:19:45Z</cp:lastPrinted>
  <dcterms:created xsi:type="dcterms:W3CDTF">2016-06-28T20:53:17Z</dcterms:created>
  <dcterms:modified xsi:type="dcterms:W3CDTF">2026-03-18T15:22:27Z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