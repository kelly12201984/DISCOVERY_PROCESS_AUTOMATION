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3-25 - Kimberly Clark - 340-TK-34001\"/>
    </mc:Choice>
  </mc:AlternateContent>
  <xr:revisionPtr revIDLastSave="0" documentId="8_{82650EBD-DA7C-4434-8FF3-4241F6E53B7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<sst xmlns="http://schemas.openxmlformats.org/spreadsheetml/2006/main" count="1738" uniqueCount="223">
  <si>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</si>
  <si>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</si>
  <si>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</si>
  <si>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</si>
  <si>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</si>
  <si>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</si>
  <si>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</si>
  <si>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</si>
  <si>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</si>
  <si>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</si>
  <si>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</si>
  <si>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</si>
  <si>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</si>
  <si>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</si>
  <si>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</si>
  <si>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</si>
  <si>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</si>
  <si>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</si>
  <si>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</si>
  <si>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</si>
  <si>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</si>
  <si>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</si>
  <si>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</si>
  <si>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</si>
  <si>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</si>
  <si>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</si>
  <si>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</si>
  <si>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</si>
  <si>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</si>
  <si>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</si>
  <si>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</si>
  <si>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</si>
  <si>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</si>
  <si>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</si>
  <si>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</si>
  <si>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</si>
  <si>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</si>
  <si>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</si>
  <si>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</si>
  <si>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</si>
  <si>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</si>
  <si>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</si>
  <si>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</si>
  <si>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</si>
  <si>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</si>
  <si>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</si>
  <si>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</si>
  <si>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</si>
  <si>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</si>
  <si>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</si>
  <si>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</si>
  <si>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</si>
  <si>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</si>
  <si>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</si>
  <si>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</si>
  <si>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</si>
  <si>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</si>
  <si>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</si>
  <si>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</si>
  <si>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</si>
  <si>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</si>
  <si>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</si>
  <si>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</si>
  <si>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</si>
  <si>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</si>
  <si>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</si>
  <si>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</si>
  <si>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</si>
  <si>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</si>
  <si>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</si>
  <si>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</si>
  <si>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</si>
  <si>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</si>
  <si>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</si>
  <si>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</si>
  <si>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</si>
  <si>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</si>
  <si>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</si>
  <si>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</si>
  <si>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</si>
  <si>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</si>
  <si>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</si>
  <si>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</si>
  <si>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</si>
  <si>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</si>
  <si>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Brn MW Neck, Clean, Bevel</t>
  </si>
  <si>
    <t>.120</t>
  </si>
  <si>
    <t>Burn manway neck (CHECK BEFORE BURNING) - Clean and Bevel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</si>
  <si>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</si>
  <si>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</si>
  <si>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</si>
  <si>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</si>
  <si>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</si>
  <si>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</si>
  <si>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</si>
  <si>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</si>
  <si>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</si>
  <si>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</si>
  <si>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</si>
  <si>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</si>
  <si>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</si>
  <si>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</si>
  <si>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</si>
  <si>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</si>
  <si>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</si>
  <si>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</si>
  <si>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</si>
  <si>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</si>
  <si>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</si>
  <si>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</si>
  <si>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</si>
  <si>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</si>
  <si>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</si>
  <si>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</si>
  <si>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</si>
  <si>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</si>
  <si>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</si>
  <si>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</si>
  <si>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</si>
  <si>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</si>
  <si>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</si>
  <si>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</si>
  <si>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</si>
  <si>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</si>
  <si>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</si>
  <si>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</si>
  <si>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</si>
  <si>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</si>
  <si>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</si>
  <si>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</si>
  <si>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</si>
  <si>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</si>
  <si>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</si>
  <si>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</si>
  <si>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</si>
  <si>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</si>
  <si>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</si>
  <si>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</si>
  <si>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</si>
  <si>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</si>
  <si>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</si>
  <si>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</si>
  <si>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</si>
  <si>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</si>
  <si>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</si>
  <si>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</si>
  <si>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</si>
  <si>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</si>
  <si>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</si>
  <si>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</si>
  <si>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</si>
  <si>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</si>
  <si>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</si>
  <si>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</si>
  <si>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</si>
  <si>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</si>
  <si>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</si>
  <si>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</si>
  <si>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</si>
  <si>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</si>
  <si>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</si>
  <si>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</si>
  <si>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</si>
  <si>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</si>
  <si>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</si>
  <si>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</si>
  <si>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</si>
  <si>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</si>
  <si>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</si>
  <si>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</si>
  <si>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Build Hatch/Door</t>
  </si>
  <si>
    <t>.140</t>
  </si>
  <si>
    <t>Cut Parts on Burn Table</t>
  </si>
  <si>
    <t>Clean &amp; Prep Parts</t>
  </si>
  <si>
    <t>.156</t>
  </si>
  <si>
    <t>Tack shell courses together</t>
  </si>
  <si>
    <t>Weld inside round seams</t>
  </si>
  <si>
    <t>Weld all Outside Seams</t>
  </si>
  <si>
    <t>.645</t>
  </si>
  <si>
    <t>Weld all outside seams</t>
  </si>
  <si>
    <t>Add Repads-Weld</t>
  </si>
  <si>
    <t>.730</t>
  </si>
  <si>
    <t>Fit Handrail, I&amp;W Clips</t>
  </si>
  <si>
    <t>.750</t>
  </si>
  <si>
    <t>Fit handrail - install and weld clips</t>
  </si>
  <si>
    <t>340-TK-34001</t>
  </si>
  <si>
    <t>C000139275</t>
  </si>
  <si>
    <t>9063.3</t>
  </si>
  <si>
    <t>Build nozzles and weld_x000D_
PLUS EXTRA LENGTH FOR B1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</si>
  <si>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</si>
  <si>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</si>
  <si>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</si>
  <si>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</si>
  <si>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</si>
  <si>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</si>
  <si>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</si>
  <si>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</si>
  <si>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(2) DOUBLE SHELLS</t>
  </si>
  <si>
    <t>Roll shells, tack and weld inside seams_x000D_
ROLL (2) DOUBLE SHELLS; WELD L/S W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</si>
  <si>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</si>
  <si>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</si>
  <si>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</si>
  <si>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</si>
  <si>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</si>
  <si>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</si>
  <si>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</si>
  <si>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</si>
  <si>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</si>
  <si>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</si>
  <si>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</si>
  <si>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</si>
  <si>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</si>
  <si>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</si>
  <si>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***SEE SAMMY BEFORE WELDING MANWAY***</t>
  </si>
  <si>
    <t>Add repads and weld_x000D_
FOR MANWAY AND MIXER STIFFENERS</t>
  </si>
  <si>
    <t>Install dip pipe supports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</si>
  <si>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</si>
  <si>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</si>
  <si>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</si>
  <si>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</si>
  <si>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</si>
  <si>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parts_x000D_
(4) SHIM PLATES</t>
  </si>
  <si>
    <t>013-25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</si>
</sst>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340-TK-34001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8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PLUS EXTRA LENGTH FOR B1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.135</v>
      </c>
      <c r="D12" s="22" t="str">
        <f>'Sheet2-PASTE HERE!'!K22</f>
        <v>Build davit arm assembly and cover_x000D_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FOR HATCH X1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TACK ONLY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.QC3</v>
      </c>
      <c r="D19" s="22" t="str">
        <f>'Sheet2-PASTE HERE!'!K29</f>
        <v>UT Shells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.305</v>
      </c>
      <c r="D20" s="22" t="str">
        <f>'Sheet2-PASTE HERE!'!K30</f>
        <v>Shells: bring in plate, square, trim and clean_x000D_
PREP (2) DOUBLE SHELLS</v>
      </c>
      <c r="E20" s="13">
        <f>'Sheet2-PASTE HERE!'!F30</f>
        <v>14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ROLL (2) DOUBLE SHELLS; WELD L/S W COBOT</v>
      </c>
      <c r="E21" s="13">
        <f>'Sheet2-PASTE HERE!'!F31</f>
        <v>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.350</v>
      </c>
      <c r="D22" s="22" t="str">
        <f>'Sheet2-PASTE HERE!'!K32</f>
        <v>Build top head/cone</v>
      </c>
      <c r="E22" s="13">
        <f>'Sheet2-PASTE HERE!'!F32</f>
        <v>10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ON BURN TABLE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</v>
      </c>
      <c r="E26" s="13">
        <f>'Sheet2-PASTE HERE!'!F36</f>
        <v>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.370</v>
      </c>
      <c r="D27" s="22" t="str">
        <f>'Sheet2-PASTE HERE!'!K37</f>
        <v>Install and weld out repads - top head</v>
      </c>
      <c r="E27" s="13">
        <f>'Sheet2-PASTE HERE!'!F37</f>
        <v>10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.450</v>
      </c>
      <c r="D28" s="22" t="str">
        <f>'Sheet2-PASTE HERE!'!K38</f>
        <v>Build bottom head/cone_x000D_
FOR FLAT BOTTOM &amp; SLOPED BOTTOM</v>
      </c>
      <c r="E28" s="13">
        <f>'Sheet2-PASTE HERE!'!F38</f>
        <v>18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.475</v>
      </c>
      <c r="D30" s="22" t="str">
        <f>'Sheet2-PASTE HERE!'!K40</f>
        <v>Install bottom stiffeners</v>
      </c>
      <c r="E30" s="13">
        <f>'Sheet2-PASTE HERE!'!F40</f>
        <v>20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FOR FLAT &amp; SLOPED BOTTOM; WELD COMPLETE</v>
      </c>
      <c r="E31" s="13">
        <f>'Sheet2-PASTE HERE!'!F41</f>
        <v>35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ON BURN TABLE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***SEE SAMMY BEFORE WELDING MANWAY***</v>
      </c>
      <c r="E44" s="13">
        <f>'Sheet2-PASTE HERE!'!F54</f>
        <v>18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.730</v>
      </c>
      <c r="D45" s="22" t="str">
        <f>'Sheet2-PASTE HERE!'!K55</f>
        <v>Add repads and weld_x000D_
FOR MANWAY AND MIXER STIFFENERS</v>
      </c>
      <c r="E45" s="13">
        <f>'Sheet2-PASTE HERE!'!F55</f>
        <v>16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.735</v>
      </c>
      <c r="D46" s="22" t="str">
        <f>'Sheet2-PASTE HERE!'!K56</f>
        <v>Install dip pipe supports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.750</v>
      </c>
      <c r="D47" s="22" t="str">
        <f>'Sheet2-PASTE HERE!'!K57</f>
        <v>Fit handrail - install and weld clips</v>
      </c>
      <c r="E47" s="13">
        <f>'Sheet2-PASTE HERE!'!F57</f>
        <v>5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.801</v>
      </c>
      <c r="D51" s="22" t="str">
        <f>'Sheet2-PASTE HERE!'!K61</f>
        <v>Move to shop test area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.910</v>
      </c>
      <c r="D52" s="22" t="str">
        <f>'Sheet2-PASTE HERE!'!K62</f>
        <v>Test tank</v>
      </c>
      <c r="E52" s="13">
        <f>'Sheet2-PASTE HERE!'!F62</f>
        <v>10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.QC7</v>
      </c>
      <c r="D53" s="22" t="str">
        <f>'Sheet2-PASTE HERE!'!K63</f>
        <v>QC Inspection - Test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28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.950</v>
      </c>
      <c r="D57" s="22" t="str">
        <f>'Sheet2-PASTE HERE!'!K67</f>
        <v>Check bill of materials and pack loose parts_x000D_
(4) SHIM PLATES</v>
      </c>
      <c r="E57" s="13">
        <f>'Sheet2-PASTE HERE!'!F67</f>
        <v>1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5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340-TK-34001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8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PLUS EXTRA LENGTH FOR B1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.135</v>
      </c>
      <c r="D12" s="22" t="str">
        <f>'Sheet2-PASTE HERE!'!K22</f>
        <v>Build davit arm assembly and cover_x000D_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FOR HATCH X1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TACK ONLY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.QC3</v>
      </c>
      <c r="D19" s="22" t="str">
        <f>'Sheet2-PASTE HERE!'!K29</f>
        <v>UT Shells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.305</v>
      </c>
      <c r="D20" s="22" t="str">
        <f>'Sheet2-PASTE HERE!'!K30</f>
        <v>Shells: bring in plate, square, trim and clean_x000D_
PREP (2) DOUBLE SHELLS</v>
      </c>
      <c r="E20" s="13">
        <f>'Sheet2-PASTE HERE!'!F30</f>
        <v>14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ROLL (2) DOUBLE SHELLS; WELD L/S W COBOT</v>
      </c>
      <c r="E21" s="13">
        <f>'Sheet2-PASTE HERE!'!F31</f>
        <v>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.350</v>
      </c>
      <c r="D22" s="22" t="str">
        <f>'Sheet2-PASTE HERE!'!K32</f>
        <v>Build top head/cone</v>
      </c>
      <c r="E22" s="13">
        <f>'Sheet2-PASTE HERE!'!F32</f>
        <v>10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ON BURN TABLE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</v>
      </c>
      <c r="E26" s="13">
        <f>'Sheet2-PASTE HERE!'!F36</f>
        <v>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.370</v>
      </c>
      <c r="D27" s="22" t="str">
        <f>'Sheet2-PASTE HERE!'!K37</f>
        <v>Install and weld out repads - top head</v>
      </c>
      <c r="E27" s="13">
        <f>'Sheet2-PASTE HERE!'!F37</f>
        <v>10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.450</v>
      </c>
      <c r="D28" s="22" t="str">
        <f>'Sheet2-PASTE HERE!'!K38</f>
        <v>Build bottom head/cone_x000D_
FOR FLAT BOTTOM &amp; SLOPED BOTTOM</v>
      </c>
      <c r="E28" s="13">
        <f>'Sheet2-PASTE HERE!'!F38</f>
        <v>18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.475</v>
      </c>
      <c r="D30" s="22" t="str">
        <f>'Sheet2-PASTE HERE!'!K40</f>
        <v>Install bottom stiffeners</v>
      </c>
      <c r="E30" s="13">
        <f>'Sheet2-PASTE HERE!'!F40</f>
        <v>20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FOR FLAT &amp; SLOPED BOTTOM; WELD COMPLETE</v>
      </c>
      <c r="E31" s="13">
        <f>'Sheet2-PASTE HERE!'!F41</f>
        <v>35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ON BURN TABLE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***SEE SAMMY BEFORE WELDING MANWAY***</v>
      </c>
      <c r="E44" s="13">
        <f>'Sheet2-PASTE HERE!'!F54</f>
        <v>18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.730</v>
      </c>
      <c r="D45" s="22" t="str">
        <f>'Sheet2-PASTE HERE!'!K55</f>
        <v>Add repads and weld_x000D_
FOR MANWAY AND MIXER STIFFENERS</v>
      </c>
      <c r="E45" s="13">
        <f>'Sheet2-PASTE HERE!'!F55</f>
        <v>16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.735</v>
      </c>
      <c r="D46" s="22" t="str">
        <f>'Sheet2-PASTE HERE!'!K56</f>
        <v>Install dip pipe supports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.750</v>
      </c>
      <c r="D47" s="22" t="str">
        <f>'Sheet2-PASTE HERE!'!K57</f>
        <v>Fit handrail - install and weld clips</v>
      </c>
      <c r="E47" s="13">
        <f>'Sheet2-PASTE HERE!'!F57</f>
        <v>5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.801</v>
      </c>
      <c r="D51" s="22" t="str">
        <f>'Sheet2-PASTE HERE!'!K61</f>
        <v>Move to shop test area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.910</v>
      </c>
      <c r="D52" s="22" t="str">
        <f>'Sheet2-PASTE HERE!'!K62</f>
        <v>Test tank</v>
      </c>
      <c r="E52" s="13">
        <f>'Sheet2-PASTE HERE!'!F62</f>
        <v>10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.QC7</v>
      </c>
      <c r="D53" s="22" t="str">
        <f>'Sheet2-PASTE HERE!'!K63</f>
        <v>QC Inspection - Test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28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.950</v>
      </c>
      <c r="D57" s="22" t="str">
        <f>'Sheet2-PASTE HERE!'!K67</f>
        <v>Check bill of materials and pack loose parts_x000D_
(4) SHIM PLATES</v>
      </c>
      <c r="E57" s="13">
        <f>'Sheet2-PASTE HERE!'!F67</f>
        <v>1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5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185</v>
      </c>
      <c r="C1" s="8" t="s">
        <v>17</v>
      </c>
      <c r="D1" s="8" t="s">
        <v>186</v>
      </c>
      <c r="E1" s="8" t="s">
        <v>18</v>
      </c>
      <c r="F1" s="8" t="s">
        <v>187</v>
      </c>
      <c r="G1" s="8" t="s">
        <v>185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365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54576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54577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54578</v>
      </c>
      <c r="C17" s="19">
        <v>0</v>
      </c>
      <c r="D17" s="8" t="s">
        <v>57</v>
      </c>
      <c r="E17" s="20">
        <v>0</v>
      </c>
      <c r="F17" s="20">
        <v>8</v>
      </c>
      <c r="G17" s="8" t="s">
        <v>54</v>
      </c>
      <c r="H17" s="20">
        <v>8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54579</v>
      </c>
      <c r="C18" s="19">
        <v>0</v>
      </c>
      <c r="D18" s="8" t="s">
        <v>81</v>
      </c>
      <c r="E18" s="20">
        <v>0</v>
      </c>
      <c r="F18" s="20">
        <v>16</v>
      </c>
      <c r="G18" s="8" t="s">
        <v>54</v>
      </c>
      <c r="H18" s="20">
        <v>16</v>
      </c>
      <c r="I18" s="8" t="s">
        <v>82</v>
      </c>
      <c r="J18" s="19">
        <v>0</v>
      </c>
      <c r="K18" s="8" t="s">
        <v>188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54580</v>
      </c>
      <c r="C19" s="19">
        <v>0</v>
      </c>
      <c r="D19" s="8" t="s">
        <v>189</v>
      </c>
      <c r="E19" s="20">
        <v>0</v>
      </c>
      <c r="F19" s="20">
        <v>6</v>
      </c>
      <c r="G19" s="8" t="s">
        <v>54</v>
      </c>
      <c r="H19" s="20">
        <v>6</v>
      </c>
      <c r="I19" s="8" t="s">
        <v>190</v>
      </c>
      <c r="J19" s="19">
        <v>0</v>
      </c>
      <c r="K19" s="8" t="s">
        <v>191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54581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192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54582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87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54583</v>
      </c>
      <c r="C22" s="19">
        <v>0</v>
      </c>
      <c r="D22" s="8" t="s">
        <v>88</v>
      </c>
      <c r="E22" s="20">
        <v>0</v>
      </c>
      <c r="F22" s="20">
        <v>1</v>
      </c>
      <c r="G22" s="8" t="s">
        <v>54</v>
      </c>
      <c r="H22" s="20">
        <v>1</v>
      </c>
      <c r="I22" s="8" t="s">
        <v>89</v>
      </c>
      <c r="J22" s="19">
        <v>0</v>
      </c>
      <c r="K22" s="8" t="s">
        <v>193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54584</v>
      </c>
      <c r="C23" s="19">
        <v>0</v>
      </c>
      <c r="D23" s="8" t="s">
        <v>170</v>
      </c>
      <c r="E23" s="20">
        <v>0</v>
      </c>
      <c r="F23" s="20">
        <v>1</v>
      </c>
      <c r="G23" s="8" t="s">
        <v>54</v>
      </c>
      <c r="H23" s="20">
        <v>1</v>
      </c>
      <c r="I23" s="8" t="s">
        <v>171</v>
      </c>
      <c r="J23" s="19">
        <v>0</v>
      </c>
      <c r="K23" s="8" t="s">
        <v>194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54585</v>
      </c>
      <c r="C24" s="19">
        <v>0</v>
      </c>
      <c r="D24" s="8" t="s">
        <v>172</v>
      </c>
      <c r="E24" s="20">
        <v>0</v>
      </c>
      <c r="F24" s="20">
        <v>25</v>
      </c>
      <c r="G24" s="8" t="s">
        <v>54</v>
      </c>
      <c r="H24" s="20">
        <v>25</v>
      </c>
      <c r="I24" s="8" t="s">
        <v>59</v>
      </c>
      <c r="J24" s="19">
        <v>0</v>
      </c>
      <c r="K24" s="8" t="s">
        <v>90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54586</v>
      </c>
      <c r="C25" s="19">
        <v>0</v>
      </c>
      <c r="D25" s="8" t="s">
        <v>173</v>
      </c>
      <c r="E25" s="20">
        <v>0</v>
      </c>
      <c r="F25" s="20">
        <v>15</v>
      </c>
      <c r="G25" s="8" t="s">
        <v>54</v>
      </c>
      <c r="H25" s="20">
        <v>15</v>
      </c>
      <c r="I25" s="8" t="s">
        <v>174</v>
      </c>
      <c r="J25" s="19">
        <v>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54587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195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54588</v>
      </c>
      <c r="C27" s="19">
        <v>0</v>
      </c>
      <c r="D27" s="8" t="s">
        <v>91</v>
      </c>
      <c r="E27" s="20">
        <v>0</v>
      </c>
      <c r="F27" s="20">
        <v>2</v>
      </c>
      <c r="G27" s="8" t="s">
        <v>54</v>
      </c>
      <c r="H27" s="20">
        <v>2</v>
      </c>
      <c r="I27" s="8" t="s">
        <v>92</v>
      </c>
      <c r="J27" s="19">
        <v>0</v>
      </c>
      <c r="K27" s="8" t="s">
        <v>196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54589</v>
      </c>
      <c r="C28" s="19">
        <v>0</v>
      </c>
      <c r="D28" s="8" t="s">
        <v>152</v>
      </c>
      <c r="E28" s="20">
        <v>0</v>
      </c>
      <c r="F28" s="20">
        <v>3</v>
      </c>
      <c r="G28" s="8" t="s">
        <v>54</v>
      </c>
      <c r="H28" s="20">
        <v>3</v>
      </c>
      <c r="I28" s="8" t="s">
        <v>153</v>
      </c>
      <c r="J28" s="19">
        <v>0</v>
      </c>
      <c r="K28" s="8" t="s">
        <v>154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54590</v>
      </c>
      <c r="C29" s="19">
        <v>0</v>
      </c>
      <c r="D29" s="8" t="s">
        <v>93</v>
      </c>
      <c r="E29" s="20">
        <v>0</v>
      </c>
      <c r="F29" s="20">
        <v>0</v>
      </c>
      <c r="G29" s="8" t="s">
        <v>54</v>
      </c>
      <c r="H29" s="20">
        <v>0</v>
      </c>
      <c r="I29" s="8" t="s">
        <v>94</v>
      </c>
      <c r="J29" s="19">
        <v>0</v>
      </c>
      <c r="K29" s="8" t="s">
        <v>93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54591</v>
      </c>
      <c r="C30" s="19">
        <v>0</v>
      </c>
      <c r="D30" s="8" t="s">
        <v>95</v>
      </c>
      <c r="E30" s="20">
        <v>0</v>
      </c>
      <c r="F30" s="20">
        <v>14</v>
      </c>
      <c r="G30" s="8" t="s">
        <v>54</v>
      </c>
      <c r="H30" s="20">
        <v>14</v>
      </c>
      <c r="I30" s="8" t="s">
        <v>96</v>
      </c>
      <c r="J30" s="19">
        <v>0</v>
      </c>
      <c r="K30" s="8" t="s">
        <v>197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54592</v>
      </c>
      <c r="C31" s="19">
        <v>0</v>
      </c>
      <c r="D31" s="8" t="s">
        <v>97</v>
      </c>
      <c r="E31" s="20">
        <v>0</v>
      </c>
      <c r="F31" s="20">
        <v>8</v>
      </c>
      <c r="G31" s="8" t="s">
        <v>54</v>
      </c>
      <c r="H31" s="20">
        <v>8</v>
      </c>
      <c r="I31" s="8" t="s">
        <v>98</v>
      </c>
      <c r="J31" s="19">
        <v>0</v>
      </c>
      <c r="K31" s="8" t="s">
        <v>198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54593</v>
      </c>
      <c r="C32" s="19">
        <v>0</v>
      </c>
      <c r="D32" s="8" t="s">
        <v>155</v>
      </c>
      <c r="E32" s="20">
        <v>0</v>
      </c>
      <c r="F32" s="20">
        <v>10</v>
      </c>
      <c r="G32" s="8" t="s">
        <v>54</v>
      </c>
      <c r="H32" s="20">
        <v>10</v>
      </c>
      <c r="I32" s="8" t="s">
        <v>156</v>
      </c>
      <c r="J32" s="19">
        <v>0</v>
      </c>
      <c r="K32" s="8" t="s">
        <v>157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54594</v>
      </c>
      <c r="C33" s="19">
        <v>0</v>
      </c>
      <c r="D33" s="8" t="s">
        <v>99</v>
      </c>
      <c r="E33" s="20">
        <v>0</v>
      </c>
      <c r="F33" s="20">
        <v>0</v>
      </c>
      <c r="G33" s="8" t="s">
        <v>54</v>
      </c>
      <c r="H33" s="20">
        <v>0</v>
      </c>
      <c r="I33" s="8" t="s">
        <v>100</v>
      </c>
      <c r="J33" s="19">
        <v>0</v>
      </c>
      <c r="K33" s="8" t="s">
        <v>101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54595</v>
      </c>
      <c r="C34" s="19">
        <v>0</v>
      </c>
      <c r="D34" s="8" t="s">
        <v>102</v>
      </c>
      <c r="E34" s="20">
        <v>0</v>
      </c>
      <c r="F34" s="20">
        <v>1</v>
      </c>
      <c r="G34" s="8" t="s">
        <v>54</v>
      </c>
      <c r="H34" s="20">
        <v>1</v>
      </c>
      <c r="I34" s="8" t="s">
        <v>103</v>
      </c>
      <c r="J34" s="19">
        <v>0</v>
      </c>
      <c r="K34" s="8" t="s">
        <v>199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54596</v>
      </c>
      <c r="C35" s="19">
        <v>0</v>
      </c>
      <c r="D35" s="8" t="s">
        <v>104</v>
      </c>
      <c r="E35" s="20">
        <v>0</v>
      </c>
      <c r="F35" s="20">
        <v>4</v>
      </c>
      <c r="G35" s="8" t="s">
        <v>54</v>
      </c>
      <c r="H35" s="20">
        <v>4</v>
      </c>
      <c r="I35" s="8" t="s">
        <v>105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54597</v>
      </c>
      <c r="C36" s="19">
        <v>0</v>
      </c>
      <c r="D36" s="8" t="s">
        <v>106</v>
      </c>
      <c r="E36" s="20">
        <v>0</v>
      </c>
      <c r="F36" s="20">
        <v>8</v>
      </c>
      <c r="G36" s="8" t="s">
        <v>54</v>
      </c>
      <c r="H36" s="20">
        <v>8</v>
      </c>
      <c r="I36" s="8" t="s">
        <v>107</v>
      </c>
      <c r="J36" s="19">
        <v>0</v>
      </c>
      <c r="K36" s="8" t="s">
        <v>201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54598</v>
      </c>
      <c r="C37" s="19">
        <v>0</v>
      </c>
      <c r="D37" s="8" t="s">
        <v>158</v>
      </c>
      <c r="E37" s="20">
        <v>0</v>
      </c>
      <c r="F37" s="20">
        <v>10</v>
      </c>
      <c r="G37" s="8" t="s">
        <v>54</v>
      </c>
      <c r="H37" s="20">
        <v>10</v>
      </c>
      <c r="I37" s="8" t="s">
        <v>159</v>
      </c>
      <c r="J37" s="19">
        <v>0</v>
      </c>
      <c r="K37" s="8" t="s">
        <v>202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54599</v>
      </c>
      <c r="C38" s="19">
        <v>0</v>
      </c>
      <c r="D38" s="8" t="s">
        <v>160</v>
      </c>
      <c r="E38" s="20">
        <v>0</v>
      </c>
      <c r="F38" s="20">
        <v>18</v>
      </c>
      <c r="G38" s="8" t="s">
        <v>54</v>
      </c>
      <c r="H38" s="20">
        <v>18</v>
      </c>
      <c r="I38" s="8" t="s">
        <v>161</v>
      </c>
      <c r="J38" s="19">
        <v>0</v>
      </c>
      <c r="K38" s="8" t="s">
        <v>203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54600</v>
      </c>
      <c r="C39" s="19">
        <v>0</v>
      </c>
      <c r="D39" s="8" t="s">
        <v>99</v>
      </c>
      <c r="E39" s="20">
        <v>0</v>
      </c>
      <c r="F39" s="20">
        <v>0</v>
      </c>
      <c r="G39" s="8" t="s">
        <v>54</v>
      </c>
      <c r="H39" s="20">
        <v>0</v>
      </c>
      <c r="I39" s="8" t="s">
        <v>100</v>
      </c>
      <c r="J39" s="19">
        <v>0</v>
      </c>
      <c r="K39" s="8" t="s">
        <v>101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54601</v>
      </c>
      <c r="C40" s="19">
        <v>0</v>
      </c>
      <c r="D40" s="8" t="s">
        <v>204</v>
      </c>
      <c r="E40" s="20">
        <v>0</v>
      </c>
      <c r="F40" s="20">
        <v>20</v>
      </c>
      <c r="G40" s="8" t="s">
        <v>54</v>
      </c>
      <c r="H40" s="20">
        <v>20</v>
      </c>
      <c r="I40" s="8" t="s">
        <v>205</v>
      </c>
      <c r="J40" s="19">
        <v>0</v>
      </c>
      <c r="K40" s="8" t="s">
        <v>206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54602</v>
      </c>
      <c r="C41" s="19">
        <v>0</v>
      </c>
      <c r="D41" s="8" t="s">
        <v>108</v>
      </c>
      <c r="E41" s="20">
        <v>0</v>
      </c>
      <c r="F41" s="20">
        <v>35</v>
      </c>
      <c r="G41" s="8" t="s">
        <v>54</v>
      </c>
      <c r="H41" s="20">
        <v>35</v>
      </c>
      <c r="I41" s="8" t="s">
        <v>109</v>
      </c>
      <c r="J41" s="19">
        <v>0</v>
      </c>
      <c r="K41" s="8" t="s">
        <v>207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54603</v>
      </c>
      <c r="C42" s="19">
        <v>0</v>
      </c>
      <c r="D42" s="8" t="s">
        <v>110</v>
      </c>
      <c r="E42" s="20">
        <v>0</v>
      </c>
      <c r="F42" s="20">
        <v>4</v>
      </c>
      <c r="G42" s="8" t="s">
        <v>54</v>
      </c>
      <c r="H42" s="20">
        <v>4</v>
      </c>
      <c r="I42" s="8" t="s">
        <v>111</v>
      </c>
      <c r="J42" s="19">
        <v>0</v>
      </c>
      <c r="K42" s="8" t="s">
        <v>175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54604</v>
      </c>
      <c r="C43" s="19">
        <v>0</v>
      </c>
      <c r="D43" s="8" t="s">
        <v>112</v>
      </c>
      <c r="E43" s="20">
        <v>0</v>
      </c>
      <c r="F43" s="20">
        <v>3</v>
      </c>
      <c r="G43" s="8" t="s">
        <v>54</v>
      </c>
      <c r="H43" s="20">
        <v>3</v>
      </c>
      <c r="I43" s="8" t="s">
        <v>113</v>
      </c>
      <c r="J43" s="19">
        <v>0</v>
      </c>
      <c r="K43" s="8" t="s">
        <v>176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54605</v>
      </c>
      <c r="C44" s="19">
        <v>0</v>
      </c>
      <c r="D44" s="8" t="s">
        <v>162</v>
      </c>
      <c r="E44" s="20">
        <v>0</v>
      </c>
      <c r="F44" s="20">
        <v>6</v>
      </c>
      <c r="G44" s="8" t="s">
        <v>54</v>
      </c>
      <c r="H44" s="20">
        <v>6</v>
      </c>
      <c r="I44" s="8" t="s">
        <v>163</v>
      </c>
      <c r="J44" s="19">
        <v>0</v>
      </c>
      <c r="K44" s="8" t="s">
        <v>164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54606</v>
      </c>
      <c r="C45" s="19">
        <v>0</v>
      </c>
      <c r="D45" s="8" t="s">
        <v>165</v>
      </c>
      <c r="E45" s="20">
        <v>0</v>
      </c>
      <c r="F45" s="20">
        <v>6</v>
      </c>
      <c r="G45" s="8" t="s">
        <v>54</v>
      </c>
      <c r="H45" s="20">
        <v>6</v>
      </c>
      <c r="I45" s="8" t="s">
        <v>166</v>
      </c>
      <c r="J45" s="19">
        <v>0</v>
      </c>
      <c r="K45" s="8" t="s">
        <v>167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54607</v>
      </c>
      <c r="C46" s="19">
        <v>0</v>
      </c>
      <c r="D46" s="8" t="s">
        <v>114</v>
      </c>
      <c r="E46" s="20">
        <v>0</v>
      </c>
      <c r="F46" s="20">
        <v>2</v>
      </c>
      <c r="G46" s="8" t="s">
        <v>54</v>
      </c>
      <c r="H46" s="20">
        <v>2</v>
      </c>
      <c r="I46" s="8" t="s">
        <v>115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54608</v>
      </c>
      <c r="C47" s="19">
        <v>0</v>
      </c>
      <c r="D47" s="8" t="s">
        <v>116</v>
      </c>
      <c r="E47" s="20">
        <v>0</v>
      </c>
      <c r="F47" s="20">
        <v>0</v>
      </c>
      <c r="G47" s="8" t="s">
        <v>54</v>
      </c>
      <c r="H47" s="20">
        <v>0</v>
      </c>
      <c r="I47" s="8" t="s">
        <v>117</v>
      </c>
      <c r="J47" s="19">
        <v>0</v>
      </c>
      <c r="K47" s="8" t="s">
        <v>116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54609</v>
      </c>
      <c r="C48" s="19">
        <v>0</v>
      </c>
      <c r="D48" s="8" t="s">
        <v>118</v>
      </c>
      <c r="E48" s="20">
        <v>0</v>
      </c>
      <c r="F48" s="20">
        <v>8</v>
      </c>
      <c r="G48" s="8" t="s">
        <v>54</v>
      </c>
      <c r="H48" s="20">
        <v>8</v>
      </c>
      <c r="I48" s="8" t="s">
        <v>119</v>
      </c>
      <c r="J48" s="19">
        <v>0</v>
      </c>
      <c r="K48" s="8" t="s">
        <v>209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54610</v>
      </c>
      <c r="C49" s="19">
        <v>0</v>
      </c>
      <c r="D49" s="8" t="s">
        <v>177</v>
      </c>
      <c r="E49" s="20">
        <v>0</v>
      </c>
      <c r="F49" s="20">
        <v>4</v>
      </c>
      <c r="G49" s="8" t="s">
        <v>54</v>
      </c>
      <c r="H49" s="20">
        <v>4</v>
      </c>
      <c r="I49" s="8" t="s">
        <v>178</v>
      </c>
      <c r="J49" s="19">
        <v>0</v>
      </c>
      <c r="K49" s="8" t="s">
        <v>179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120</v>
      </c>
      <c r="B50" s="18">
        <v>54611</v>
      </c>
      <c r="C50" s="19">
        <v>0</v>
      </c>
      <c r="D50" s="8" t="s">
        <v>121</v>
      </c>
      <c r="E50" s="20">
        <v>0</v>
      </c>
      <c r="F50" s="20">
        <v>2</v>
      </c>
      <c r="G50" s="8" t="s">
        <v>54</v>
      </c>
      <c r="H50" s="20">
        <v>2</v>
      </c>
      <c r="I50" s="8" t="s">
        <v>122</v>
      </c>
      <c r="J50" s="19">
        <v>0</v>
      </c>
      <c r="K50" s="8" t="s">
        <v>123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54612</v>
      </c>
      <c r="C51" s="19">
        <v>0</v>
      </c>
      <c r="D51" s="8" t="s">
        <v>62</v>
      </c>
      <c r="E51" s="20">
        <v>0</v>
      </c>
      <c r="F51" s="20">
        <v>2</v>
      </c>
      <c r="G51" s="8" t="s">
        <v>54</v>
      </c>
      <c r="H51" s="20">
        <v>2</v>
      </c>
      <c r="I51" s="8" t="s">
        <v>63</v>
      </c>
      <c r="J51" s="19">
        <v>0</v>
      </c>
      <c r="K51" s="8" t="s">
        <v>210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54613</v>
      </c>
      <c r="C52" s="19">
        <v>0</v>
      </c>
      <c r="D52" s="8" t="s">
        <v>124</v>
      </c>
      <c r="E52" s="20">
        <v>0</v>
      </c>
      <c r="F52" s="20">
        <v>12</v>
      </c>
      <c r="G52" s="8" t="s">
        <v>54</v>
      </c>
      <c r="H52" s="20">
        <v>12</v>
      </c>
      <c r="I52" s="8" t="s">
        <v>125</v>
      </c>
      <c r="J52" s="19">
        <v>0</v>
      </c>
      <c r="K52" s="8" t="s">
        <v>211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54614</v>
      </c>
      <c r="C53" s="19">
        <v>0</v>
      </c>
      <c r="D53" s="8" t="s">
        <v>126</v>
      </c>
      <c r="E53" s="20">
        <v>0</v>
      </c>
      <c r="F53" s="20">
        <v>14</v>
      </c>
      <c r="G53" s="8" t="s">
        <v>54</v>
      </c>
      <c r="H53" s="20">
        <v>14</v>
      </c>
      <c r="I53" s="8" t="s">
        <v>127</v>
      </c>
      <c r="J53" s="19">
        <v>0</v>
      </c>
      <c r="K53" s="8" t="s">
        <v>212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54615</v>
      </c>
      <c r="C54" s="19">
        <v>0</v>
      </c>
      <c r="D54" s="8" t="s">
        <v>128</v>
      </c>
      <c r="E54" s="20">
        <v>0</v>
      </c>
      <c r="F54" s="20">
        <v>18</v>
      </c>
      <c r="G54" s="8" t="s">
        <v>54</v>
      </c>
      <c r="H54" s="20">
        <v>18</v>
      </c>
      <c r="I54" s="8" t="s">
        <v>129</v>
      </c>
      <c r="J54" s="19">
        <v>0</v>
      </c>
      <c r="K54" s="8" t="s">
        <v>213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54616</v>
      </c>
      <c r="C55" s="19">
        <v>0</v>
      </c>
      <c r="D55" s="8" t="s">
        <v>180</v>
      </c>
      <c r="E55" s="20">
        <v>0</v>
      </c>
      <c r="F55" s="20">
        <v>16</v>
      </c>
      <c r="G55" s="8" t="s">
        <v>54</v>
      </c>
      <c r="H55" s="20">
        <v>16</v>
      </c>
      <c r="I55" s="8" t="s">
        <v>181</v>
      </c>
      <c r="J55" s="19">
        <v>0</v>
      </c>
      <c r="K55" s="8" t="s">
        <v>214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54617</v>
      </c>
      <c r="C56" s="19">
        <v>0</v>
      </c>
      <c r="D56" s="8" t="s">
        <v>168</v>
      </c>
      <c r="E56" s="20">
        <v>0</v>
      </c>
      <c r="F56" s="20">
        <v>2</v>
      </c>
      <c r="G56" s="8" t="s">
        <v>54</v>
      </c>
      <c r="H56" s="20">
        <v>2</v>
      </c>
      <c r="I56" s="8" t="s">
        <v>169</v>
      </c>
      <c r="J56" s="19">
        <v>0</v>
      </c>
      <c r="K56" s="8" t="s">
        <v>215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54618</v>
      </c>
      <c r="C57" s="19">
        <v>0</v>
      </c>
      <c r="D57" s="8" t="s">
        <v>182</v>
      </c>
      <c r="E57" s="20">
        <v>0</v>
      </c>
      <c r="F57" s="20">
        <v>5</v>
      </c>
      <c r="G57" s="8" t="s">
        <v>54</v>
      </c>
      <c r="H57" s="20">
        <v>5</v>
      </c>
      <c r="I57" s="8" t="s">
        <v>183</v>
      </c>
      <c r="J57" s="19">
        <v>0</v>
      </c>
      <c r="K57" s="8" t="s">
        <v>184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54619</v>
      </c>
      <c r="C58" s="19">
        <v>0</v>
      </c>
      <c r="D58" s="8" t="s">
        <v>130</v>
      </c>
      <c r="E58" s="20">
        <v>0</v>
      </c>
      <c r="F58" s="20">
        <v>1</v>
      </c>
      <c r="G58" s="8" t="s">
        <v>54</v>
      </c>
      <c r="H58" s="20">
        <v>1</v>
      </c>
      <c r="I58" s="8" t="s">
        <v>131</v>
      </c>
      <c r="J58" s="19">
        <v>0</v>
      </c>
      <c r="K58" s="8" t="s">
        <v>132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54620</v>
      </c>
      <c r="C59" s="19">
        <v>0</v>
      </c>
      <c r="D59" s="8" t="s">
        <v>133</v>
      </c>
      <c r="E59" s="20">
        <v>0</v>
      </c>
      <c r="F59" s="20">
        <v>1</v>
      </c>
      <c r="G59" s="8" t="s">
        <v>54</v>
      </c>
      <c r="H59" s="20">
        <v>1</v>
      </c>
      <c r="I59" s="8" t="s">
        <v>134</v>
      </c>
      <c r="J59" s="19">
        <v>0</v>
      </c>
      <c r="K59" s="8" t="s">
        <v>135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54621</v>
      </c>
      <c r="C60" s="19">
        <v>0</v>
      </c>
      <c r="D60" s="8" t="s">
        <v>136</v>
      </c>
      <c r="E60" s="20">
        <v>0</v>
      </c>
      <c r="F60" s="20">
        <v>0</v>
      </c>
      <c r="G60" s="8" t="s">
        <v>54</v>
      </c>
      <c r="H60" s="20">
        <v>0</v>
      </c>
      <c r="I60" s="8" t="s">
        <v>137</v>
      </c>
      <c r="J60" s="19">
        <v>0</v>
      </c>
      <c r="K60" s="8" t="s">
        <v>138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120</v>
      </c>
      <c r="B61" s="18">
        <v>54622</v>
      </c>
      <c r="C61" s="19">
        <v>0</v>
      </c>
      <c r="D61" s="8" t="s">
        <v>139</v>
      </c>
      <c r="E61" s="20">
        <v>0</v>
      </c>
      <c r="F61" s="20">
        <v>2</v>
      </c>
      <c r="G61" s="8" t="s">
        <v>54</v>
      </c>
      <c r="H61" s="20">
        <v>2</v>
      </c>
      <c r="I61" s="8" t="s">
        <v>140</v>
      </c>
      <c r="J61" s="19">
        <v>0</v>
      </c>
      <c r="K61" s="8" t="s">
        <v>141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54623</v>
      </c>
      <c r="C62" s="19">
        <v>0</v>
      </c>
      <c r="D62" s="8" t="s">
        <v>142</v>
      </c>
      <c r="E62" s="20">
        <v>0</v>
      </c>
      <c r="F62" s="20">
        <v>10</v>
      </c>
      <c r="G62" s="8" t="s">
        <v>54</v>
      </c>
      <c r="H62" s="20">
        <v>10</v>
      </c>
      <c r="I62" s="8" t="s">
        <v>143</v>
      </c>
      <c r="J62" s="19">
        <v>0</v>
      </c>
      <c r="K62" s="8" t="s">
        <v>144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54624</v>
      </c>
      <c r="C63" s="19">
        <v>0</v>
      </c>
      <c r="D63" s="8" t="s">
        <v>145</v>
      </c>
      <c r="E63" s="20">
        <v>0</v>
      </c>
      <c r="F63" s="20">
        <v>0</v>
      </c>
      <c r="G63" s="8" t="s">
        <v>54</v>
      </c>
      <c r="H63" s="20">
        <v>0</v>
      </c>
      <c r="I63" s="8" t="s">
        <v>146</v>
      </c>
      <c r="J63" s="19">
        <v>0</v>
      </c>
      <c r="K63" s="8" t="s">
        <v>145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64</v>
      </c>
      <c r="B64" s="18">
        <v>54625</v>
      </c>
      <c r="C64" s="19">
        <v>0</v>
      </c>
      <c r="D64" s="8" t="s">
        <v>147</v>
      </c>
      <c r="E64" s="20">
        <v>0</v>
      </c>
      <c r="F64" s="20">
        <v>28</v>
      </c>
      <c r="G64" s="8" t="s">
        <v>54</v>
      </c>
      <c r="H64" s="20">
        <v>28</v>
      </c>
      <c r="I64" s="8" t="s">
        <v>148</v>
      </c>
      <c r="J64" s="19">
        <v>0</v>
      </c>
      <c r="K64" s="8" t="s">
        <v>149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54626</v>
      </c>
      <c r="C65" s="19">
        <v>0</v>
      </c>
      <c r="D65" s="8" t="s">
        <v>150</v>
      </c>
      <c r="E65" s="20">
        <v>0</v>
      </c>
      <c r="F65" s="20">
        <v>0</v>
      </c>
      <c r="G65" s="8" t="s">
        <v>54</v>
      </c>
      <c r="H65" s="20">
        <v>0</v>
      </c>
      <c r="I65" s="8" t="s">
        <v>151</v>
      </c>
      <c r="J65" s="19">
        <v>0</v>
      </c>
      <c r="K65" s="8" t="s">
        <v>150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64</v>
      </c>
      <c r="B66" s="18">
        <v>54627</v>
      </c>
      <c r="C66" s="19">
        <v>0</v>
      </c>
      <c r="D66" s="8" t="s">
        <v>216</v>
      </c>
      <c r="E66" s="20">
        <v>0</v>
      </c>
      <c r="F66" s="20">
        <v>2</v>
      </c>
      <c r="G66" s="8" t="s">
        <v>54</v>
      </c>
      <c r="H66" s="20">
        <v>2</v>
      </c>
      <c r="I66" s="8" t="s">
        <v>217</v>
      </c>
      <c r="J66" s="19">
        <v>0</v>
      </c>
      <c r="K66" s="8" t="s">
        <v>218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64</v>
      </c>
      <c r="B67" s="18">
        <v>54628</v>
      </c>
      <c r="C67" s="19">
        <v>0</v>
      </c>
      <c r="D67" s="8" t="s">
        <v>219</v>
      </c>
      <c r="E67" s="20">
        <v>0</v>
      </c>
      <c r="F67" s="20">
        <v>1</v>
      </c>
      <c r="G67" s="8" t="s">
        <v>54</v>
      </c>
      <c r="H67" s="20">
        <v>1</v>
      </c>
      <c r="I67" s="8" t="s">
        <v>220</v>
      </c>
      <c r="J67" s="19">
        <v>0</v>
      </c>
      <c r="K67" s="8" t="s">
        <v>221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54629</v>
      </c>
      <c r="C68" s="19">
        <v>0</v>
      </c>
      <c r="D68" s="8" t="s">
        <v>65</v>
      </c>
      <c r="E68" s="20">
        <v>0</v>
      </c>
      <c r="F68" s="20">
        <v>0</v>
      </c>
      <c r="G68" s="8" t="s">
        <v>54</v>
      </c>
      <c r="H68" s="20">
        <v>0</v>
      </c>
      <c r="I68" s="8" t="s">
        <v>66</v>
      </c>
      <c r="J68" s="19">
        <v>0</v>
      </c>
      <c r="K68" s="8" t="s">
        <v>67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68</v>
      </c>
      <c r="B69" s="18">
        <v>54630</v>
      </c>
      <c r="C69" s="19">
        <v>0</v>
      </c>
      <c r="D69" s="8" t="s">
        <v>69</v>
      </c>
      <c r="E69" s="20">
        <v>0</v>
      </c>
      <c r="F69" s="20">
        <v>5</v>
      </c>
      <c r="G69" s="8" t="s">
        <v>54</v>
      </c>
      <c r="H69" s="20">
        <v>5</v>
      </c>
      <c r="I69" s="8" t="s">
        <v>70</v>
      </c>
      <c r="J69" s="19">
        <v>0</v>
      </c>
      <c r="K69" s="8" t="s">
        <v>71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/>
    <row r="71" spans="1:14" ht="12.75" customHeight="1" x14ac:dyDescent="0.2">
      <c r="B71" s="8" t="s">
        <v>16</v>
      </c>
      <c r="C71" s="8" t="s">
        <v>185</v>
      </c>
      <c r="E71" s="8" t="s">
        <v>19</v>
      </c>
      <c r="F71" s="8" t="s">
        <v>19</v>
      </c>
      <c r="G71" s="8" t="s">
        <v>21</v>
      </c>
      <c r="H71" s="8" t="s">
        <v>19</v>
      </c>
      <c r="J71" s="8" t="s">
        <v>19</v>
      </c>
    </row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8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PLUS EXTRA LENGTH FOR B1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.135</v>
      </c>
      <c r="C32" s="40" t="str">
        <f>'Build Plan w Hours'!D12</f>
        <v>Build davit arm assembly and cover_x000D_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FOR HATCH X1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15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TACK ONLY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.QC3</v>
      </c>
      <c r="C74" s="40" t="str">
        <f>'Build Plan w Hours'!D19</f>
        <v>UT Shells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.305</v>
      </c>
      <c r="C80" s="40" t="str">
        <f>'Build Plan w Hours'!D20</f>
        <v>Shells: bring in plate, square, trim and clean_x000D_
PREP (2) DOUBLE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ROLL (2) DOUBLE SHELLS; WELD L/S W 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.350</v>
      </c>
      <c r="C92" s="40" t="str">
        <f>'Build Plan w Hours'!D22</f>
        <v>Build top head/cone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.370</v>
      </c>
      <c r="C122" s="40" t="str">
        <f>'Build Plan w Hours'!D27</f>
        <v>Install and weld out repads - top head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.450</v>
      </c>
      <c r="C128" s="40" t="str">
        <f>'Build Plan w Hours'!D28</f>
        <v>Build bottom head/cone_x000D_
FOR FLAT BOTTOM &amp; SLOPED BOTTOM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.475</v>
      </c>
      <c r="C140" s="40" t="str">
        <f>'Build Plan w Hours'!D30</f>
        <v>Install bottom stiffeners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FOR FLAT &amp; SLOPED BOTTOM;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35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***SEE SAMMY BEFORE WELDING MANWAY***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.730</v>
      </c>
      <c r="C230" s="40" t="str">
        <f>'Build Plan w Hours'!D45</f>
        <v>Add repads and weld_x000D_
FOR MANWAY AND MIXER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.735</v>
      </c>
      <c r="C236" s="40" t="str">
        <f>'Build Plan w Hours'!D46</f>
        <v>Install dip pipe supports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.750</v>
      </c>
      <c r="C242" s="40" t="str">
        <f>'Build Plan w Hours'!D47</f>
        <v>Fit handrail - install and weld clips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5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.801</v>
      </c>
      <c r="C266" s="40" t="str">
        <f>'Build Plan w Hours'!D51</f>
        <v>Move to shop test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.910</v>
      </c>
      <c r="C272" s="40" t="str">
        <f>'Build Plan w Hours'!D52</f>
        <v>Test tank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.QC7</v>
      </c>
      <c r="C278" s="40" t="str">
        <f>'Build Plan w Hours'!D53</f>
        <v>QC Inspection -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28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.950</v>
      </c>
      <c r="C302" s="40" t="str">
        <f>'Build Plan w Hours'!D57</f>
        <v>Check bill of materials and pack loose parts_x000D_
(4) SHIM PLATES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1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5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 t="str">
        <f>'Build Plan w Hours'!E61</f>
        <v/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PLUS EXTRA LENGTH FOR B1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.135</v>
      </c>
      <c r="C32" s="40" t="str">
        <f>'Build Plan w Hours'!D12</f>
        <v>Build davit arm assembly and cover_x000D_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FOR HATCH X1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TACK ONLY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.QC3</v>
      </c>
      <c r="C74" s="40" t="str">
        <f>'Build Plan w Hours'!D19</f>
        <v>UT Shells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.305</v>
      </c>
      <c r="C80" s="40" t="str">
        <f>'Build Plan w Hours'!D20</f>
        <v>Shells: bring in plate, square, trim and clean_x000D_
PREP (2) DOUBLE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ROLL (2) DOUBLE SHELLS; WELD L/S W 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.350</v>
      </c>
      <c r="C92" s="40" t="str">
        <f>'Build Plan w Hours'!D22</f>
        <v>Build top head/cone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.370</v>
      </c>
      <c r="C122" s="40" t="str">
        <f>'Build Plan w Hours'!D27</f>
        <v>Install and weld out repads - top head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.450</v>
      </c>
      <c r="C128" s="40" t="str">
        <f>'Build Plan w Hours'!D28</f>
        <v>Build bottom head/cone_x000D_
FOR FLAT BOTTOM &amp; SLOPED BOTTOM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.475</v>
      </c>
      <c r="C140" s="40" t="str">
        <f>'Build Plan w Hours'!D30</f>
        <v>Install bottom stiffeners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FOR FLAT &amp; SLOPED BOTTOM;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***SEE SAMMY BEFORE WELDING MANWAY***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.730</v>
      </c>
      <c r="C230" s="40" t="str">
        <f>'Build Plan w Hours'!D45</f>
        <v>Add repads and weld_x000D_
FOR MANWAY AND MIXER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.735</v>
      </c>
      <c r="C236" s="40" t="str">
        <f>'Build Plan w Hours'!D46</f>
        <v>Install dip pipe supports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.750</v>
      </c>
      <c r="C242" s="40" t="str">
        <f>'Build Plan w Hours'!D47</f>
        <v>Fit handrail - install and weld clips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.801</v>
      </c>
      <c r="C266" s="40" t="str">
        <f>'Build Plan w Hours'!D51</f>
        <v>Move to shop test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.910</v>
      </c>
      <c r="C272" s="40" t="str">
        <f>'Build Plan w Hours'!D52</f>
        <v>Test tank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.QC7</v>
      </c>
      <c r="C278" s="40" t="str">
        <f>'Build Plan w Hours'!D53</f>
        <v>QC Inspection -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.950</v>
      </c>
      <c r="C302" s="40" t="str">
        <f>'Build Plan w Hours'!D57</f>
        <v>Check bill of materials and pack loose parts_x000D_
(4) SHIM PLATES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2025-10-24T13:24:58Z</cp:lastPrinted>
  <dcterms:created xsi:type="dcterms:W3CDTF">2016-06-28T20:53:17Z</dcterms:created>
  <dcterms:modified xsi:type="dcterms:W3CDTF">2025-10-24T13:25:35Z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