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5\099-25 - Burke Industrial - Cone Bottom with Internal Coil\"/>
    </mc:Choice>
  </mc:AlternateContent>
  <xr:revisionPtr revIDLastSave="0" documentId="13_ncr:1_{B06E6846-14A2-4DEC-B0FA-742A31D894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2" l="1"/>
  <c r="E195" i="2"/>
</calcChain>
</file>

<file path=xl/sharedStrings.xml><?xml version="1.0" encoding="utf-8"?>
<sst xmlns="http://schemas.openxmlformats.org/spreadsheetml/2006/main" count="517" uniqueCount="359">
  <si>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</si>
  <si>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</si>
  <si>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</si>
  <si>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</si>
  <si>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</si>
  <si>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</si>
  <si>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</si>
  <si>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</si>
  <si>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</si>
  <si>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</si>
  <si>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</si>
  <si>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</si>
  <si>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</si>
  <si>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</si>
  <si>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</si>
  <si>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</si>
  <si>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</si>
  <si>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</si>
  <si>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</si>
  <si>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</si>
  <si>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</si>
  <si>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</si>
  <si>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</si>
  <si>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</si>
  <si>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</si>
  <si>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</si>
  <si>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</si>
  <si>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</si>
  <si>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</si>
  <si>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</si>
  <si>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</si>
  <si>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</si>
  <si>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</si>
  <si>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</si>
  <si>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</si>
  <si>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</si>
  <si>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</si>
  <si>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</si>
  <si>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</si>
  <si>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</si>
  <si>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</si>
  <si>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</si>
  <si>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</si>
  <si>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</si>
  <si>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</si>
  <si>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</si>
  <si>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</si>
  <si>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</si>
  <si>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</si>
  <si>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</si>
  <si>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</si>
  <si>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</si>
  <si>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</si>
  <si>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</si>
  <si>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</si>
  <si>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</si>
  <si>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</si>
  <si>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</si>
  <si>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</si>
  <si>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</si>
  <si>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</si>
  <si>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</si>
  <si>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</si>
  <si>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</si>
  <si>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</si>
  <si>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</si>
  <si>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</si>
  <si>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</si>
  <si>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</si>
  <si>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</si>
  <si>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</si>
  <si>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</si>
  <si>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</si>
  <si>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</si>
  <si>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</si>
  <si>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</si>
  <si>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</si>
  <si>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</si>
  <si>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</si>
  <si>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</si>
  <si>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</si>
  <si>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</si>
  <si>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</si>
  <si>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</si>
  <si>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</si>
  <si>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</si>
  <si>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</si>
  <si>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</si>
  <si>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</si>
  <si>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</si>
  <si>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</si>
  <si>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</si>
  <si>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</si>
  <si>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</si>
  <si>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</si>
  <si>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</si>
  <si>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</si>
  <si>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</si>
  <si>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</si>
  <si>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</si>
  <si>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</si>
  <si>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</si>
  <si>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</si>
  <si>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</si>
  <si>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</si>
  <si>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</si>
  <si>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</si>
  <si>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</si>
  <si>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</si>
  <si>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</si>
  <si>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</si>
  <si>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</si>
  <si>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</si>
  <si>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</si>
  <si>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</si>
  <si>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</si>
  <si>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</si>
  <si>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</si>
  <si>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</si>
  <si>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</si>
  <si>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</si>
  <si>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</si>
  <si>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</si>
  <si>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</si>
  <si>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</si>
  <si>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</si>
  <si>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</si>
  <si>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</si>
  <si>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</si>
  <si>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</si>
  <si>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</si>
  <si>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</si>
  <si>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</si>
  <si>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</si>
  <si>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</si>
  <si>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</si>
  <si>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</si>
  <si>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</si>
  <si>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</si>
  <si>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</si>
  <si>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</si>
  <si>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</si>
  <si>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</si>
  <si>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</si>
  <si>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</si>
  <si>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</si>
  <si>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</si>
  <si>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</si>
  <si>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</si>
  <si>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</si>
  <si>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</si>
  <si>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</si>
  <si>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</si>
  <si>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</si>
  <si>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</si>
  <si>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</si>
  <si>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</si>
  <si>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</si>
  <si>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</si>
  <si>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</si>
  <si>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</si>
  <si>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</si>
  <si>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</si>
  <si>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</si>
  <si>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</si>
  <si>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</si>
  <si>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</si>
  <si>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</si>
  <si>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</si>
  <si>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</si>
  <si>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</si>
  <si>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</si>
  <si>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</si>
  <si>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</si>
  <si>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</si>
  <si>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</si>
  <si>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</si>
  <si>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</si>
  <si>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</si>
  <si>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</si>
  <si>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</si>
  <si>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</si>
  <si>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</si>
  <si>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</si>
  <si>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</si>
  <si>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</si>
  <si>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</si>
  <si>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</si>
  <si>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</si>
  <si>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</si>
  <si>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</si>
  <si>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</si>
  <si>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</si>
  <si>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</si>
  <si>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</si>
  <si>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</si>
  <si>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</si>
  <si>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</si>
  <si>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</si>
  <si>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</si>
  <si>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</si>
  <si>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</si>
  <si>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</si>
  <si>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</si>
  <si>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</si>
  <si>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</si>
  <si>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</si>
  <si>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</si>
  <si>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</si>
  <si>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</si>
  <si>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</si>
  <si>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</si>
  <si>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</si>
  <si>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</si>
  <si>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</si>
  <si>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</si>
  <si>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</si>
  <si>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</si>
  <si>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</si>
  <si>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</si>
  <si>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</si>
  <si>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</si>
  <si>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</si>
  <si>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</si>
  <si>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</si>
  <si>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</si>
  <si>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</si>
  <si>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</si>
  <si>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</si>
  <si>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</si>
  <si>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</si>
  <si>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</si>
  <si>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</si>
  <si>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</si>
  <si>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</si>
  <si>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</si>
  <si>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</si>
  <si>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</si>
  <si>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</si>
  <si>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</si>
  <si>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</si>
  <si>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</si>
  <si>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</si>
  <si>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</si>
  <si>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</si>
  <si>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</si>
  <si>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</si>
  <si>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</si>
  <si>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</si>
  <si>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</si>
  <si>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</si>
  <si>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</si>
  <si>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</si>
  <si>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</si>
  <si>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</si>
  <si>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</si>
  <si>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</si>
  <si>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</si>
  <si>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</si>
  <si>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</si>
  <si>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</si>
  <si>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</si>
  <si>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</si>
  <si>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</si>
  <si>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</si>
  <si>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</si>
  <si>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</si>
  <si>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</si>
  <si>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</si>
  <si>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</si>
  <si>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</si>
  <si>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</si>
  <si>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</si>
  <si>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</si>
  <si>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</si>
  <si>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</si>
  <si>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</si>
  <si>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</si>
  <si>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</si>
  <si>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</si>
  <si>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</si>
  <si>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</si>
  <si>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</si>
  <si>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</si>
  <si>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</si>
  <si>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</si>
  <si>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</si>
  <si>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</si>
  <si>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</si>
  <si>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</si>
  <si>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</si>
  <si>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</si>
  <si>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</si>
  <si>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</si>
  <si>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</si>
  <si>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</si>
  <si>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</si>
  <si>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</si>
  <si>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</si>
  <si>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</si>
  <si>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</si>
  <si>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</si>
  <si>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</si>
  <si>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</si>
  <si>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</si>
  <si>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</si>
  <si>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</si>
  <si>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</si>
  <si>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</si>
  <si>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</si>
  <si>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</si>
  <si>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</si>
  <si>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</si>
  <si>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</si>
  <si>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</si>
  <si>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</si>
  <si>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</si>
  <si>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</si>
  <si>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</si>
  <si>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</si>
  <si>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</si>
  <si>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</si>
  <si>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</si>
  <si>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</si>
  <si>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</si>
  <si>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</si>
  <si>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</si>
  <si>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</si>
  <si>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</si>
  <si>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</si>
  <si>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</si>
  <si>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</si>
  <si>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</si>
  <si>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</si>
  <si>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</si>
  <si>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</si>
  <si>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</si>
  <si>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</si>
  <si>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</si>
  <si>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</si>
  <si>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</si>
  <si>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</si>
  <si>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</si>
  <si>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</si>
  <si>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</si>
  <si>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</si>
  <si>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</si>
  <si>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</si>
  <si>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</si>
  <si>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</si>
  <si>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099-25</t>
  </si>
  <si>
    <t xml:space="preserve">PREP UPPER CONE SECTION </t>
  </si>
  <si>
    <t>FORM (4) LOWER CONE SECTION</t>
  </si>
  <si>
    <t>ASSEMBLE CONE SECTIONS &amp; WELD COMPLETE</t>
  </si>
  <si>
    <t>SLIP ROLL UPPER CONE SECTION &amp; WELD INSIDE SEAMS</t>
  </si>
  <si>
    <t>ROLL &amp; WELD PIPE FOR INTERNAL COIL</t>
  </si>
  <si>
    <t>N9</t>
  </si>
  <si>
    <t>N10 &amp; N11</t>
  </si>
  <si>
    <t>INCL. WELD SUPPORTS TO CONE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</si>
</sst>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350</v>
      </c>
      <c r="D1" s="13" t="s">
        <v>226</v>
      </c>
      <c r="E1" s="13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2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/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/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/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/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/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2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3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2</v>
      </c>
      <c r="G23" s="10"/>
    </row>
    <row r="24" spans="2:7" x14ac:dyDescent="0.25">
      <c r="D24" s="12"/>
    </row>
    <row r="25" spans="2:7" x14ac:dyDescent="0.25">
      <c r="D25" s="12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/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2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/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>
        <v>12</v>
      </c>
      <c r="G43" s="10" t="s">
        <v>355</v>
      </c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>
        <v>8</v>
      </c>
      <c r="G48" s="10" t="s">
        <v>352</v>
      </c>
    </row>
    <row r="50" spans="2:7" x14ac:dyDescent="0.25">
      <c r="D50" s="12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2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/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2</v>
      </c>
      <c r="G67" s="10" t="s">
        <v>351</v>
      </c>
    </row>
    <row r="68" spans="2:7" x14ac:dyDescent="0.25">
      <c r="B68" s="1" t="s">
        <v>304</v>
      </c>
      <c r="C68" s="1" t="s">
        <v>156</v>
      </c>
      <c r="D68" t="s">
        <v>35</v>
      </c>
      <c r="E68" s="10"/>
      <c r="G68" s="10"/>
    </row>
    <row r="69" spans="2:7" x14ac:dyDescent="0.25">
      <c r="B69" s="1" t="s">
        <v>304</v>
      </c>
      <c r="C69" s="1" t="s">
        <v>157</v>
      </c>
      <c r="D69" t="s">
        <v>15</v>
      </c>
      <c r="E69" s="10">
        <v>6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2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/>
      <c r="G77" s="10"/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2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>
        <f>8+4+3+5+10+10</f>
        <v>40</v>
      </c>
      <c r="G91" s="10" t="s">
        <v>353</v>
      </c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/>
      <c r="G93" s="10"/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 t="s">
        <v>356</v>
      </c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 t="s">
        <v>356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2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0"/>
      <c r="G115" s="10"/>
    </row>
    <row r="117" spans="2:7" x14ac:dyDescent="0.25">
      <c r="D117" s="12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>
        <v>5</v>
      </c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>
        <v>10</v>
      </c>
      <c r="G119" s="10"/>
    </row>
    <row r="121" spans="2:7" x14ac:dyDescent="0.25">
      <c r="D121" s="12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/>
      <c r="G123" s="10"/>
    </row>
    <row r="124" spans="2:7" x14ac:dyDescent="0.25">
      <c r="B124" s="1" t="s">
        <v>304</v>
      </c>
      <c r="C124" s="1" t="s">
        <v>186</v>
      </c>
      <c r="D124" t="s">
        <v>5</v>
      </c>
      <c r="E124" s="10"/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/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/>
      <c r="G128" s="10"/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>
        <v>15</v>
      </c>
      <c r="G131" s="10" t="s">
        <v>358</v>
      </c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/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/>
      <c r="G136" s="10"/>
    </row>
    <row r="137" spans="2:7" x14ac:dyDescent="0.25">
      <c r="B137" s="1" t="s">
        <v>306</v>
      </c>
      <c r="C137" s="1" t="s">
        <v>195</v>
      </c>
      <c r="D137" t="s">
        <v>8</v>
      </c>
      <c r="E137" s="10"/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2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/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/>
      <c r="G147" s="10"/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3</v>
      </c>
      <c r="G149" s="10" t="s">
        <v>357</v>
      </c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4</v>
      </c>
      <c r="G150" s="10" t="s">
        <v>357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/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>
        <v>5</v>
      </c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/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2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2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/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>
        <v>8</v>
      </c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/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1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137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9" operator="greaterThan">
      <formula>25</formula>
    </cfRule>
  </conditionalFormatting>
  <conditionalFormatting sqref="F26:F88">
    <cfRule type="cellIs" dxfId="6" priority="5" operator="greaterThan">
      <formula>25</formula>
    </cfRule>
  </conditionalFormatting>
  <conditionalFormatting sqref="F91:F138">
    <cfRule type="cellIs" dxfId="5" priority="3" operator="greaterThan">
      <formula>25</formula>
    </cfRule>
  </conditionalFormatting>
  <conditionalFormatting sqref="F141:F165">
    <cfRule type="cellIs" dxfId="4" priority="2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22" operator="greaterThan">
      <formula>25</formula>
    </cfRule>
  </conditionalFormatting>
  <conditionalFormatting sqref="F166:G166">
    <cfRule type="cellIs" dxfId="1" priority="24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28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2026-01-19T14:49:06Z</cp:lastPrinted>
  <dcterms:created xsi:type="dcterms:W3CDTF">2016-06-08T20:42:28Z</dcterms:created>
  <dcterms:modified xsi:type="dcterms:W3CDTF">2026-01-20T13:24:51Z</dcterms:modified>
</cp:coreProperties>
</file>