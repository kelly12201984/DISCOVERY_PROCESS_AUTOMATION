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2-25 - Irving Tissue - Wet Strength Resin Bulk Storage Tank #2\"/>
    </mc:Choice>
  </mc:AlternateContent>
  <xr:revisionPtr revIDLastSave="0" documentId="8_{2E2F5EA4-E792-45F4-93FE-BA18D2798E4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<sst xmlns="http://schemas.openxmlformats.org/spreadsheetml/2006/main" count="1782" uniqueCount="239">
  <si>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</si>
  <si>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</si>
  <si>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</si>
  <si>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</si>
  <si>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</si>
  <si>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</si>
  <si>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</si>
  <si>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</si>
  <si>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</si>
  <si>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</si>
  <si>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</si>
  <si>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</si>
  <si>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</si>
  <si>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</si>
  <si>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</si>
  <si>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</si>
  <si>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</si>
  <si>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</si>
  <si>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</si>
  <si>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</si>
  <si>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</si>
  <si>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</si>
  <si>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</si>
  <si>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</si>
  <si>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</si>
  <si>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</si>
  <si>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</si>
  <si>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</si>
  <si>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</si>
  <si>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</si>
  <si>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</si>
  <si>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</si>
  <si>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</si>
  <si>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</si>
  <si>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</si>
  <si>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</si>
  <si>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</si>
  <si>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</si>
  <si>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</si>
  <si>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</si>
  <si>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</si>
  <si>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</si>
  <si>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</si>
  <si>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</si>
  <si>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</si>
  <si>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</si>
  <si>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</si>
  <si>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</si>
  <si>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</si>
  <si>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</si>
  <si>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</si>
  <si>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</si>
  <si>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</si>
  <si>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</si>
  <si>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</si>
  <si>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</si>
  <si>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</si>
  <si>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</si>
  <si>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</si>
  <si>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</si>
  <si>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</si>
  <si>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</si>
  <si>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</si>
  <si>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</si>
  <si>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</si>
  <si>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</si>
  <si>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</si>
  <si>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</si>
  <si>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</si>
  <si>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</si>
  <si>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</si>
  <si>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</si>
  <si>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</si>
  <si>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</si>
  <si>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</si>
  <si>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</si>
  <si>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</si>
  <si>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</si>
  <si>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</si>
  <si>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</si>
  <si>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</si>
  <si>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</si>
  <si>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</si>
  <si>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</si>
  <si>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</si>
  <si>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</si>
  <si>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</si>
  <si>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</si>
  <si>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</si>
  <si>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</si>
  <si>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</si>
  <si>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</si>
  <si>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</si>
  <si>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</si>
  <si>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</si>
  <si>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</si>
  <si>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</si>
  <si>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</si>
  <si>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</si>
  <si>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</si>
  <si>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</si>
  <si>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</si>
  <si>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</si>
  <si>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</si>
  <si>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</si>
  <si>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</si>
  <si>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</si>
  <si>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</si>
  <si>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</si>
  <si>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</si>
  <si>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</si>
  <si>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</si>
  <si>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</si>
  <si>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</si>
  <si>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</si>
  <si>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</si>
  <si>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</si>
  <si>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</si>
  <si>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</si>
  <si>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</si>
  <si>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</si>
  <si>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</si>
  <si>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</si>
  <si>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</si>
  <si>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</si>
  <si>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</si>
  <si>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</si>
  <si>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</si>
  <si>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</si>
  <si>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</si>
  <si>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</si>
  <si>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</si>
  <si>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</si>
  <si>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</si>
  <si>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</si>
  <si>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</si>
  <si>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</si>
  <si>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</si>
  <si>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</si>
  <si>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</si>
  <si>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</si>
  <si>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</si>
  <si>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</si>
  <si>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</si>
  <si>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</si>
  <si>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</si>
  <si>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</si>
  <si>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</si>
  <si>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</si>
  <si>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</si>
  <si>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</si>
  <si>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</si>
  <si>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</si>
  <si>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</si>
  <si>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</si>
  <si>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</si>
  <si>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</si>
  <si>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</si>
  <si>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</si>
  <si>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</si>
  <si>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</si>
  <si>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</si>
  <si>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</si>
  <si>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</si>
  <si>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</si>
  <si>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</si>
  <si>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</si>
  <si>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</si>
  <si>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</si>
  <si>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</si>
  <si>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</si>
  <si>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</si>
  <si>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</si>
  <si>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</si>
  <si>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</si>
  <si>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</si>
  <si>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Roll repads: drill and tap _x000D_
FOR CABLE SUPPORT &amp; SHELL REPADS</t>
  </si>
  <si>
    <t>Make lift lugs, ground lugs, etc._x000D_
AND TIE-OFF LUGS</t>
  </si>
  <si>
    <t>Drill/Punch holes</t>
  </si>
  <si>
    <t>.255</t>
  </si>
  <si>
    <t>Misc Fabrication</t>
  </si>
  <si>
    <t>.261</t>
  </si>
  <si>
    <t>Install and weld out repads - top head_x000D_
FOR CABLE SUPPORT</t>
  </si>
  <si>
    <t>Build bottom head/cone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</si>
  <si>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</si>
  <si>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</si>
  <si>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</si>
  <si>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</si>
  <si>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</si>
  <si>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</si>
  <si>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</si>
  <si>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</si>
  <si>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</si>
  <si>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</si>
  <si>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</si>
  <si>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</si>
  <si>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</si>
  <si>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Add Repads-Weld</t>
  </si>
  <si>
    <t>.730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</si>
  <si>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</si>
  <si>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</si>
  <si>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</si>
  <si>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</si>
  <si>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</si>
  <si>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</si>
  <si>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</si>
  <si>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</si>
  <si>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</si>
  <si>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WET STRENGTH RESIN BULK STORAGE TK#2</t>
  </si>
  <si>
    <t>8.000</t>
  </si>
  <si>
    <t>Build nozzles and weld_x000D_
DO NOT WELD FLANGES ON N1 OR N10</t>
  </si>
  <si>
    <t>Build Repads for Nozzles</t>
  </si>
  <si>
    <t>.107</t>
  </si>
  <si>
    <t>Build Repads for Nozzles, drill and tap holes</t>
  </si>
  <si>
    <t>Make manway parts: cut clips, form handles, etc. _x000D_
ASSEMBLE MANWAY</t>
  </si>
  <si>
    <t>Build hatch/door_x000D_
BUILD N8 INCL. RAILS &amp; CROSS BRACING</t>
  </si>
  <si>
    <t>Bld T-B Stiffeners</t>
  </si>
  <si>
    <t>.235</t>
  </si>
  <si>
    <t>Build top and bottom stiffeners_x000D_
FORM TOP STIFFENERS</t>
  </si>
  <si>
    <t>Fabricate miscellaneous parts_x000D_
CABLE SUPPORT</t>
  </si>
  <si>
    <t>Drill/punch holes_x000D_
PARTS FOR HATCH N10</t>
  </si>
  <si>
    <t>Miscellaneous Fabrication - Braces, Mounting Plates, Cone Outlet Necks_x000D_
FORM N10 CONE</t>
  </si>
  <si>
    <t>Shells: bring in plate, square, trim and clean_x000D_
(2) DOUBLE SHELL &amp; (1) SINGLE SHELL  **NOTE BOTTOM HEAD SLOPE**</t>
  </si>
  <si>
    <t>Roll shells, tack and weld inside seams_x000D_
***WELD LONG SEAMS W COBOT***</t>
  </si>
  <si>
    <t>Set  nozzles, lift lugs, etc. in top head - tack_x000D_
INCL CABLE SUPPORT AND HATCH</t>
  </si>
  <si>
    <t>Weld out top head nozzles, etc. _x000D_
INCL CABLE SUPPORT AND HATCH</t>
  </si>
  <si>
    <t>Fit bottom head to shell_x000D_
AND WELD INSIDE AND OUTSIDE</t>
  </si>
  <si>
    <t>Lay out shell, burn and clean holes_x000D_
CLEAN UP HOLES CUT ON BURN TABLE</t>
  </si>
  <si>
    <t>Install supports - legs, lugs, anchors, saddles, skirt_x000D_
AND WELD COMPLETE</t>
  </si>
  <si>
    <t>Set nozzles in shell - tack_x000D_
INCL ADD FLANGE TO N1 &amp; N10, PLUS HANDLE AND HOOK</t>
  </si>
  <si>
    <t>Weld shell nozzles, manways, etc._x000D_
INCL WELD FLANGE TO N1 &amp; N10, PLUS HANDLE AND HOOK</t>
  </si>
  <si>
    <t>Add repads and weld_x000D_
(4) SHELL REPADS; SEE DWG FOR LOCATIONS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</si>
  <si>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</si>
  <si>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</si>
  <si>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</si>
  <si>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</si>
  <si>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</si>
  <si>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</si>
  <si>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032-25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</si>
</sst>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WET STRENGTH RESIN BULK STORAGE TK#2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N1 OR N10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N8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 &amp; SHELL REPADS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.261</v>
      </c>
      <c r="D23" s="22" t="str">
        <f>'Sheet2-PASTE HERE!'!K33</f>
        <v>Miscellaneous Fabrication - Braces, Mounting Plates, Cone Outlet Necks_x000D_
FORM N10 CONE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(2) DOUBLE SHELL &amp; (1) SINGLE SHELL  **NOTE BOTTOM HEAD SLOPE**</v>
      </c>
      <c r="E25" s="13">
        <f>'Sheet2-PASTE HERE!'!F35</f>
        <v>13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***WELD LONG SEAMS W COBOT***</v>
      </c>
      <c r="E26" s="13">
        <f>'Sheet2-PASTE HERE!'!F36</f>
        <v>9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12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CABLE SUPPORT AND HATCH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CABLE SUPPORT AND HATCH</v>
      </c>
      <c r="E31" s="13">
        <f>'Sheet2-PASTE HERE!'!F41</f>
        <v>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.370</v>
      </c>
      <c r="D32" s="22" t="str">
        <f>'Sheet2-PASTE HERE!'!K42</f>
        <v>Install and weld out repads - top head_x000D_
FOR CABLE SUPPORT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</v>
      </c>
      <c r="E33" s="13">
        <f>'Sheet2-PASTE HERE!'!F43</f>
        <v>6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AND OUTSIDE</v>
      </c>
      <c r="E36" s="13">
        <f>'Sheet2-PASTE HERE!'!F46</f>
        <v>9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6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6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CLEAN UP HOLES CUT ON BURN TABLE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HANDLE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tack_x000D_
AND WELD</v>
      </c>
      <c r="E44" s="13">
        <f>'Sheet2-PASTE HERE!'!F54</f>
        <v>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.645</v>
      </c>
      <c r="D45" s="22" t="str">
        <f>'Sheet2-PASTE HERE!'!K55</f>
        <v>Weld all outside seams</v>
      </c>
      <c r="E45" s="13">
        <f>'Sheet2-PASTE HERE!'!F55</f>
        <v>9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.717</v>
      </c>
      <c r="D47" s="22" t="str">
        <f>'Sheet2-PASTE HERE!'!K57</f>
        <v>Install lift lugs on shell_x000D_
AND TIE-OFF LUGS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.720</v>
      </c>
      <c r="D48" s="22" t="str">
        <f>'Sheet2-PASTE HERE!'!K58</f>
        <v>Install supports - legs, lugs, anchors, saddles, skirt_x000D_
AND WELD COMPLETE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.725</v>
      </c>
      <c r="D49" s="22" t="str">
        <f>'Sheet2-PASTE HERE!'!K59</f>
        <v>Set nozzles in shell - tack_x000D_
INCL ADD FLANGE TO N1 &amp; N10, PLUS HANDLE AND HOOK</v>
      </c>
      <c r="E49" s="13">
        <f>'Sheet2-PASTE HERE!'!F59</f>
        <v>15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.726</v>
      </c>
      <c r="D50" s="22" t="str">
        <f>'Sheet2-PASTE HERE!'!K60</f>
        <v>Weld shell nozzles, manways, etc._x000D_
INCL WELD FLANGE TO N1 &amp; N10, PLUS HANDLE AND HOOK</v>
      </c>
      <c r="E50" s="13">
        <f>'Sheet2-PASTE HERE!'!F60</f>
        <v>25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.730</v>
      </c>
      <c r="D51" s="22" t="str">
        <f>'Sheet2-PASTE HERE!'!K61</f>
        <v>Add repads and weld_x000D_
(4) SHELL REPADS; SEE DWG FOR LOCATIONS</v>
      </c>
      <c r="E51" s="13">
        <f>'Sheet2-PASTE HERE!'!F61</f>
        <v>4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.900</v>
      </c>
      <c r="D53" s="22" t="str">
        <f>'Sheet2-PASTE HERE!'!K63</f>
        <v>Dye pen test</v>
      </c>
      <c r="E53" s="13">
        <f>'Sheet2-PASTE HERE!'!F63</f>
        <v>4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.801</v>
      </c>
      <c r="D56" s="22" t="str">
        <f>'Sheet2-PASTE HERE!'!K66</f>
        <v>Move to shop test area</v>
      </c>
      <c r="E56" s="13">
        <f>'Sheet2-PASTE HERE!'!F66</f>
        <v>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.910</v>
      </c>
      <c r="D57" s="22" t="str">
        <f>'Sheet2-PASTE HERE!'!K67</f>
        <v>Test tank</v>
      </c>
      <c r="E57" s="13">
        <f>'Sheet2-PASTE HERE!'!F67</f>
        <v>10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.QC7</v>
      </c>
      <c r="D58" s="22" t="str">
        <f>'Sheet2-PASTE HERE!'!K68</f>
        <v>QC Inspection - Test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.920</v>
      </c>
      <c r="D59" s="22" t="str">
        <f>'Sheet2-PASTE HERE!'!K69</f>
        <v>Clean tank complete</v>
      </c>
      <c r="E59" s="13">
        <f>'Sheet2-PASTE HERE!'!F69</f>
        <v>40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.QC8</v>
      </c>
      <c r="D60" s="22" t="str">
        <f>'Sheet2-PASTE HERE!'!K70</f>
        <v>QC Inspection - Clean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.940</v>
      </c>
      <c r="D61" s="22" t="str">
        <f>'Sheet2-PASTE HERE!'!K71</f>
        <v>Prepare tank for shipment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.950</v>
      </c>
      <c r="D62" s="22" t="str">
        <f>'Sheet2-PASTE HERE!'!K72</f>
        <v>Check bill of materials and pack loose parts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.QC95</v>
      </c>
      <c r="D63" s="22" t="str">
        <f>'Sheet2-PASTE HERE!'!K73</f>
        <v>QC Inspection - Final &amp; Loose Items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SHIPPING</v>
      </c>
      <c r="B64" s="11"/>
      <c r="C64" s="17" t="str">
        <f>'Sheet2-PASTE HERE!'!I74</f>
        <v>.960</v>
      </c>
      <c r="D64" s="22" t="str">
        <f>'Sheet2-PASTE HERE!'!K74</f>
        <v>Load on truck</v>
      </c>
      <c r="E64" s="13">
        <f>'Sheet2-PASTE HERE!'!F74</f>
        <v>4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.970</v>
      </c>
      <c r="D65" s="22" t="str">
        <f>'Sheet2-PASTE HERE!'!K75</f>
        <v>Take parts to galvanizers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.972</v>
      </c>
      <c r="D66" s="22" t="str">
        <f>'Sheet2-PASTE HERE!'!K76</f>
        <v>Pick up parts from galvanizers</v>
      </c>
      <c r="E66" s="13">
        <f>'Sheet2-PASTE HERE!'!F76</f>
        <v>3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 t="str">
        <f>'Sheet2-PASTE HERE!'!F78</f>
        <v/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WET STRENGTH RESIN BULK STORAGE TK#2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N1 OR N10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N8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 &amp; SHELL REPADS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.261</v>
      </c>
      <c r="D23" s="22" t="str">
        <f>'Sheet2-PASTE HERE!'!K33</f>
        <v>Miscellaneous Fabrication - Braces, Mounting Plates, Cone Outlet Necks_x000D_
FORM N10 CONE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(2) DOUBLE SHELL &amp; (1) SINGLE SHELL  **NOTE BOTTOM HEAD SLOPE**</v>
      </c>
      <c r="E25" s="13">
        <f>'Sheet2-PASTE HERE!'!F35</f>
        <v>13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***WELD LONG SEAMS W COBOT***</v>
      </c>
      <c r="E26" s="13">
        <f>'Sheet2-PASTE HERE!'!F36</f>
        <v>9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12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CABLE SUPPORT AND HATCH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CABLE SUPPORT AND HATCH</v>
      </c>
      <c r="E31" s="13">
        <f>'Sheet2-PASTE HERE!'!F41</f>
        <v>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.370</v>
      </c>
      <c r="D32" s="22" t="str">
        <f>'Sheet2-PASTE HERE!'!K42</f>
        <v>Install and weld out repads - top head_x000D_
FOR CABLE SUPPORT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</v>
      </c>
      <c r="E33" s="13">
        <f>'Sheet2-PASTE HERE!'!F43</f>
        <v>6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.455</v>
      </c>
      <c r="D35" s="22" t="str">
        <f>'Sheet2-PASTE HERE!'!K45</f>
        <v>Lay out bottom head, burn and clean holes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AND OUTSIDE</v>
      </c>
      <c r="E36" s="13">
        <f>'Sheet2-PASTE HERE!'!F46</f>
        <v>9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6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6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CLEAN UP HOLES CUT ON BURN TABLE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HANDLE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tack_x000D_
AND WELD</v>
      </c>
      <c r="E44" s="13">
        <f>'Sheet2-PASTE HERE!'!F54</f>
        <v>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.645</v>
      </c>
      <c r="D45" s="22" t="str">
        <f>'Sheet2-PASTE HERE!'!K55</f>
        <v>Weld all outside seams</v>
      </c>
      <c r="E45" s="13">
        <f>'Sheet2-PASTE HERE!'!F55</f>
        <v>9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.717</v>
      </c>
      <c r="D47" s="22" t="str">
        <f>'Sheet2-PASTE HERE!'!K57</f>
        <v>Install lift lugs on shell_x000D_
AND TIE-OFF LUGS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.720</v>
      </c>
      <c r="D48" s="22" t="str">
        <f>'Sheet2-PASTE HERE!'!K58</f>
        <v>Install supports - legs, lugs, anchors, saddles, skirt_x000D_
AND WELD COMPLETE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.725</v>
      </c>
      <c r="D49" s="22" t="str">
        <f>'Sheet2-PASTE HERE!'!K59</f>
        <v>Set nozzles in shell - tack_x000D_
INCL ADD FLANGE TO N1 &amp; N10, PLUS HANDLE AND HOOK</v>
      </c>
      <c r="E49" s="13">
        <f>'Sheet2-PASTE HERE!'!F59</f>
        <v>15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.726</v>
      </c>
      <c r="D50" s="22" t="str">
        <f>'Sheet2-PASTE HERE!'!K60</f>
        <v>Weld shell nozzles, manways, etc._x000D_
INCL WELD FLANGE TO N1 &amp; N10, PLUS HANDLE AND HOOK</v>
      </c>
      <c r="E50" s="13">
        <f>'Sheet2-PASTE HERE!'!F60</f>
        <v>25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.730</v>
      </c>
      <c r="D51" s="22" t="str">
        <f>'Sheet2-PASTE HERE!'!K61</f>
        <v>Add repads and weld_x000D_
(4) SHELL REPADS; SEE DWG FOR LOCATIONS</v>
      </c>
      <c r="E51" s="13">
        <f>'Sheet2-PASTE HERE!'!F61</f>
        <v>4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.900</v>
      </c>
      <c r="D53" s="22" t="str">
        <f>'Sheet2-PASTE HERE!'!K63</f>
        <v>Dye pen test</v>
      </c>
      <c r="E53" s="13">
        <f>'Sheet2-PASTE HERE!'!F63</f>
        <v>4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.801</v>
      </c>
      <c r="D56" s="22" t="str">
        <f>'Sheet2-PASTE HERE!'!K66</f>
        <v>Move to shop test area</v>
      </c>
      <c r="E56" s="13">
        <f>'Sheet2-PASTE HERE!'!F66</f>
        <v>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.910</v>
      </c>
      <c r="D57" s="22" t="str">
        <f>'Sheet2-PASTE HERE!'!K67</f>
        <v>Test tank</v>
      </c>
      <c r="E57" s="13">
        <f>'Sheet2-PASTE HERE!'!F67</f>
        <v>10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.QC7</v>
      </c>
      <c r="D58" s="22" t="str">
        <f>'Sheet2-PASTE HERE!'!K68</f>
        <v>QC Inspection - Test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.920</v>
      </c>
      <c r="D59" s="22" t="str">
        <f>'Sheet2-PASTE HERE!'!K69</f>
        <v>Clean tank complete</v>
      </c>
      <c r="E59" s="13">
        <f>'Sheet2-PASTE HERE!'!F69</f>
        <v>40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.QC8</v>
      </c>
      <c r="D60" s="22" t="str">
        <f>'Sheet2-PASTE HERE!'!K70</f>
        <v>QC Inspection - Clean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.940</v>
      </c>
      <c r="D61" s="22" t="str">
        <f>'Sheet2-PASTE HERE!'!K71</f>
        <v>Prepare tank for shipment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.950</v>
      </c>
      <c r="D62" s="22" t="str">
        <f>'Sheet2-PASTE HERE!'!K72</f>
        <v>Check bill of materials and pack loose parts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.QC95</v>
      </c>
      <c r="D63" s="22" t="str">
        <f>'Sheet2-PASTE HERE!'!K73</f>
        <v>QC Inspection - Final &amp; Loose Items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SHIPPING</v>
      </c>
      <c r="B64" s="11"/>
      <c r="C64" s="17" t="str">
        <f>'Sheet2-PASTE HERE!'!I74</f>
        <v>.960</v>
      </c>
      <c r="D64" s="22" t="str">
        <f>'Sheet2-PASTE HERE!'!K74</f>
        <v>Load on truck</v>
      </c>
      <c r="E64" s="13">
        <f>'Sheet2-PASTE HERE!'!F74</f>
        <v>4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.970</v>
      </c>
      <c r="D65" s="22" t="str">
        <f>'Sheet2-PASTE HERE!'!K75</f>
        <v>Take parts to galvanizers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.972</v>
      </c>
      <c r="D66" s="22" t="str">
        <f>'Sheet2-PASTE HERE!'!K76</f>
        <v>Pick up parts from galvanizers</v>
      </c>
      <c r="E66" s="13">
        <f>'Sheet2-PASTE HERE!'!F76</f>
        <v>3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 t="str">
        <f>'Sheet2-PASTE HERE!'!F78</f>
        <v/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208</v>
      </c>
      <c r="C1" s="8" t="s">
        <v>17</v>
      </c>
      <c r="D1" s="8" t="s">
        <v>168</v>
      </c>
      <c r="E1" s="8" t="s">
        <v>18</v>
      </c>
      <c r="F1" s="8" t="s">
        <v>169</v>
      </c>
      <c r="G1" s="8" t="s">
        <v>208</v>
      </c>
      <c r="H1" s="8" t="s">
        <v>20</v>
      </c>
      <c r="I1" s="8" t="s">
        <v>209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334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52075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52076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52077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52078</v>
      </c>
      <c r="C20" s="19">
        <v>0</v>
      </c>
      <c r="D20" s="8" t="s">
        <v>81</v>
      </c>
      <c r="E20" s="20">
        <v>0</v>
      </c>
      <c r="F20" s="20">
        <v>13</v>
      </c>
      <c r="G20" s="8" t="s">
        <v>54</v>
      </c>
      <c r="H20" s="20">
        <v>13</v>
      </c>
      <c r="I20" s="8" t="s">
        <v>82</v>
      </c>
      <c r="J20" s="19">
        <v>0</v>
      </c>
      <c r="K20" s="8" t="s">
        <v>210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52079</v>
      </c>
      <c r="C21" s="19">
        <v>0</v>
      </c>
      <c r="D21" s="8" t="s">
        <v>211</v>
      </c>
      <c r="E21" s="20">
        <v>0</v>
      </c>
      <c r="F21" s="20">
        <v>5</v>
      </c>
      <c r="G21" s="8" t="s">
        <v>54</v>
      </c>
      <c r="H21" s="20">
        <v>5</v>
      </c>
      <c r="I21" s="8" t="s">
        <v>212</v>
      </c>
      <c r="J21" s="19">
        <v>0</v>
      </c>
      <c r="K21" s="8" t="s">
        <v>213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52080</v>
      </c>
      <c r="C22" s="19">
        <v>0</v>
      </c>
      <c r="D22" s="8" t="s">
        <v>83</v>
      </c>
      <c r="E22" s="20">
        <v>0</v>
      </c>
      <c r="F22" s="20">
        <v>5</v>
      </c>
      <c r="G22" s="8" t="s">
        <v>54</v>
      </c>
      <c r="H22" s="20">
        <v>5</v>
      </c>
      <c r="I22" s="8" t="s">
        <v>84</v>
      </c>
      <c r="J22" s="19">
        <v>0</v>
      </c>
      <c r="K22" s="8" t="s">
        <v>214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52081</v>
      </c>
      <c r="C23" s="19">
        <v>0</v>
      </c>
      <c r="D23" s="8" t="s">
        <v>170</v>
      </c>
      <c r="E23" s="20">
        <v>0</v>
      </c>
      <c r="F23" s="20">
        <v>12</v>
      </c>
      <c r="G23" s="8" t="s">
        <v>54</v>
      </c>
      <c r="H23" s="20">
        <v>12</v>
      </c>
      <c r="I23" s="8" t="s">
        <v>171</v>
      </c>
      <c r="J23" s="19">
        <v>0</v>
      </c>
      <c r="K23" s="8" t="s">
        <v>215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52082</v>
      </c>
      <c r="C24" s="19">
        <v>0</v>
      </c>
      <c r="D24" s="8" t="s">
        <v>172</v>
      </c>
      <c r="E24" s="20">
        <v>0</v>
      </c>
      <c r="F24" s="20">
        <v>26</v>
      </c>
      <c r="G24" s="8" t="s">
        <v>54</v>
      </c>
      <c r="H24" s="20">
        <v>26</v>
      </c>
      <c r="I24" s="8" t="s">
        <v>59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52083</v>
      </c>
      <c r="C25" s="19">
        <v>0</v>
      </c>
      <c r="D25" s="8" t="s">
        <v>173</v>
      </c>
      <c r="E25" s="20">
        <v>0</v>
      </c>
      <c r="F25" s="20">
        <v>13</v>
      </c>
      <c r="G25" s="8" t="s">
        <v>54</v>
      </c>
      <c r="H25" s="20">
        <v>13</v>
      </c>
      <c r="I25" s="8" t="s">
        <v>174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52084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175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52085</v>
      </c>
      <c r="C27" s="19">
        <v>0</v>
      </c>
      <c r="D27" s="8" t="s">
        <v>86</v>
      </c>
      <c r="E27" s="20">
        <v>0</v>
      </c>
      <c r="F27" s="20">
        <v>3</v>
      </c>
      <c r="G27" s="8" t="s">
        <v>54</v>
      </c>
      <c r="H27" s="20">
        <v>3</v>
      </c>
      <c r="I27" s="8" t="s">
        <v>87</v>
      </c>
      <c r="J27" s="19">
        <v>0</v>
      </c>
      <c r="K27" s="8" t="s">
        <v>176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52086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177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52087</v>
      </c>
      <c r="C29" s="19">
        <v>0</v>
      </c>
      <c r="D29" s="8" t="s">
        <v>150</v>
      </c>
      <c r="E29" s="20">
        <v>0</v>
      </c>
      <c r="F29" s="20">
        <v>3</v>
      </c>
      <c r="G29" s="8" t="s">
        <v>54</v>
      </c>
      <c r="H29" s="20">
        <v>3</v>
      </c>
      <c r="I29" s="8" t="s">
        <v>151</v>
      </c>
      <c r="J29" s="19">
        <v>0</v>
      </c>
      <c r="K29" s="8" t="s">
        <v>152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52088</v>
      </c>
      <c r="C30" s="19">
        <v>0</v>
      </c>
      <c r="D30" s="8" t="s">
        <v>216</v>
      </c>
      <c r="E30" s="20">
        <v>0</v>
      </c>
      <c r="F30" s="20">
        <v>2</v>
      </c>
      <c r="G30" s="8" t="s">
        <v>54</v>
      </c>
      <c r="H30" s="20">
        <v>2</v>
      </c>
      <c r="I30" s="8" t="s">
        <v>217</v>
      </c>
      <c r="J30" s="19">
        <v>0</v>
      </c>
      <c r="K30" s="8" t="s">
        <v>218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52089</v>
      </c>
      <c r="C31" s="19">
        <v>0</v>
      </c>
      <c r="D31" s="8" t="s">
        <v>153</v>
      </c>
      <c r="E31" s="20">
        <v>0</v>
      </c>
      <c r="F31" s="20">
        <v>2</v>
      </c>
      <c r="G31" s="8" t="s">
        <v>54</v>
      </c>
      <c r="H31" s="20">
        <v>2</v>
      </c>
      <c r="I31" s="8" t="s">
        <v>154</v>
      </c>
      <c r="J31" s="19">
        <v>0</v>
      </c>
      <c r="K31" s="8" t="s">
        <v>219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52090</v>
      </c>
      <c r="C32" s="19">
        <v>0</v>
      </c>
      <c r="D32" s="8" t="s">
        <v>178</v>
      </c>
      <c r="E32" s="20">
        <v>0</v>
      </c>
      <c r="F32" s="20">
        <v>1</v>
      </c>
      <c r="G32" s="8" t="s">
        <v>54</v>
      </c>
      <c r="H32" s="20">
        <v>1</v>
      </c>
      <c r="I32" s="8" t="s">
        <v>179</v>
      </c>
      <c r="J32" s="19">
        <v>0</v>
      </c>
      <c r="K32" s="8" t="s">
        <v>220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52091</v>
      </c>
      <c r="C33" s="19">
        <v>0</v>
      </c>
      <c r="D33" s="8" t="s">
        <v>180</v>
      </c>
      <c r="E33" s="20">
        <v>0</v>
      </c>
      <c r="F33" s="20">
        <v>3</v>
      </c>
      <c r="G33" s="8" t="s">
        <v>54</v>
      </c>
      <c r="H33" s="20">
        <v>3</v>
      </c>
      <c r="I33" s="8" t="s">
        <v>181</v>
      </c>
      <c r="J33" s="19">
        <v>0</v>
      </c>
      <c r="K33" s="8" t="s">
        <v>221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52102</v>
      </c>
      <c r="C34" s="19">
        <v>0</v>
      </c>
      <c r="D34" s="8" t="s">
        <v>90</v>
      </c>
      <c r="E34" s="20">
        <v>0</v>
      </c>
      <c r="F34" s="20">
        <v>0</v>
      </c>
      <c r="G34" s="8" t="s">
        <v>54</v>
      </c>
      <c r="H34" s="20">
        <v>0</v>
      </c>
      <c r="I34" s="8" t="s">
        <v>91</v>
      </c>
      <c r="J34" s="19">
        <v>0</v>
      </c>
      <c r="K34" s="8" t="s">
        <v>90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52103</v>
      </c>
      <c r="C35" s="19">
        <v>0</v>
      </c>
      <c r="D35" s="8" t="s">
        <v>92</v>
      </c>
      <c r="E35" s="20">
        <v>0</v>
      </c>
      <c r="F35" s="20">
        <v>13</v>
      </c>
      <c r="G35" s="8" t="s">
        <v>54</v>
      </c>
      <c r="H35" s="20">
        <v>13</v>
      </c>
      <c r="I35" s="8" t="s">
        <v>93</v>
      </c>
      <c r="J35" s="19">
        <v>0</v>
      </c>
      <c r="K35" s="8" t="s">
        <v>222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52104</v>
      </c>
      <c r="C36" s="19">
        <v>0</v>
      </c>
      <c r="D36" s="8" t="s">
        <v>94</v>
      </c>
      <c r="E36" s="20">
        <v>0</v>
      </c>
      <c r="F36" s="20">
        <v>9</v>
      </c>
      <c r="G36" s="8" t="s">
        <v>54</v>
      </c>
      <c r="H36" s="20">
        <v>9</v>
      </c>
      <c r="I36" s="8" t="s">
        <v>95</v>
      </c>
      <c r="J36" s="19">
        <v>0</v>
      </c>
      <c r="K36" s="8" t="s">
        <v>223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52105</v>
      </c>
      <c r="C37" s="19">
        <v>0</v>
      </c>
      <c r="D37" s="8" t="s">
        <v>155</v>
      </c>
      <c r="E37" s="20">
        <v>0</v>
      </c>
      <c r="F37" s="20">
        <v>12</v>
      </c>
      <c r="G37" s="8" t="s">
        <v>54</v>
      </c>
      <c r="H37" s="20">
        <v>12</v>
      </c>
      <c r="I37" s="8" t="s">
        <v>156</v>
      </c>
      <c r="J37" s="19">
        <v>0</v>
      </c>
      <c r="K37" s="8" t="s">
        <v>157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52106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52107</v>
      </c>
      <c r="C39" s="19">
        <v>0</v>
      </c>
      <c r="D39" s="8" t="s">
        <v>99</v>
      </c>
      <c r="E39" s="20">
        <v>0</v>
      </c>
      <c r="F39" s="20">
        <v>2</v>
      </c>
      <c r="G39" s="8" t="s">
        <v>54</v>
      </c>
      <c r="H39" s="20">
        <v>2</v>
      </c>
      <c r="I39" s="8" t="s">
        <v>100</v>
      </c>
      <c r="J39" s="19">
        <v>0</v>
      </c>
      <c r="K39" s="8" t="s">
        <v>101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52108</v>
      </c>
      <c r="C40" s="19">
        <v>0</v>
      </c>
      <c r="D40" s="8" t="s">
        <v>102</v>
      </c>
      <c r="E40" s="20">
        <v>0</v>
      </c>
      <c r="F40" s="20">
        <v>6</v>
      </c>
      <c r="G40" s="8" t="s">
        <v>54</v>
      </c>
      <c r="H40" s="20">
        <v>6</v>
      </c>
      <c r="I40" s="8" t="s">
        <v>103</v>
      </c>
      <c r="J40" s="19">
        <v>0</v>
      </c>
      <c r="K40" s="8" t="s">
        <v>224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52109</v>
      </c>
      <c r="C41" s="19">
        <v>0</v>
      </c>
      <c r="D41" s="8" t="s">
        <v>104</v>
      </c>
      <c r="E41" s="20">
        <v>0</v>
      </c>
      <c r="F41" s="20">
        <v>8</v>
      </c>
      <c r="G41" s="8" t="s">
        <v>54</v>
      </c>
      <c r="H41" s="20">
        <v>8</v>
      </c>
      <c r="I41" s="8" t="s">
        <v>105</v>
      </c>
      <c r="J41" s="19">
        <v>0</v>
      </c>
      <c r="K41" s="8" t="s">
        <v>225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52110</v>
      </c>
      <c r="C42" s="19">
        <v>0</v>
      </c>
      <c r="D42" s="8" t="s">
        <v>158</v>
      </c>
      <c r="E42" s="20">
        <v>0</v>
      </c>
      <c r="F42" s="20">
        <v>2</v>
      </c>
      <c r="G42" s="8" t="s">
        <v>54</v>
      </c>
      <c r="H42" s="20">
        <v>2</v>
      </c>
      <c r="I42" s="8" t="s">
        <v>159</v>
      </c>
      <c r="J42" s="19">
        <v>0</v>
      </c>
      <c r="K42" s="8" t="s">
        <v>182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52111</v>
      </c>
      <c r="C43" s="19">
        <v>0</v>
      </c>
      <c r="D43" s="8" t="s">
        <v>160</v>
      </c>
      <c r="E43" s="20">
        <v>0</v>
      </c>
      <c r="F43" s="20">
        <v>6</v>
      </c>
      <c r="G43" s="8" t="s">
        <v>54</v>
      </c>
      <c r="H43" s="20">
        <v>6</v>
      </c>
      <c r="I43" s="8" t="s">
        <v>161</v>
      </c>
      <c r="J43" s="19">
        <v>0</v>
      </c>
      <c r="K43" s="8" t="s">
        <v>183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52112</v>
      </c>
      <c r="C44" s="19">
        <v>0</v>
      </c>
      <c r="D44" s="8" t="s">
        <v>96</v>
      </c>
      <c r="E44" s="20">
        <v>0</v>
      </c>
      <c r="F44" s="20">
        <v>0</v>
      </c>
      <c r="G44" s="8" t="s">
        <v>54</v>
      </c>
      <c r="H44" s="20">
        <v>0</v>
      </c>
      <c r="I44" s="8" t="s">
        <v>97</v>
      </c>
      <c r="J44" s="19">
        <v>0</v>
      </c>
      <c r="K44" s="8" t="s">
        <v>98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52113</v>
      </c>
      <c r="C45" s="19">
        <v>0</v>
      </c>
      <c r="D45" s="8" t="s">
        <v>184</v>
      </c>
      <c r="E45" s="20">
        <v>0</v>
      </c>
      <c r="F45" s="20">
        <v>1</v>
      </c>
      <c r="G45" s="8" t="s">
        <v>54</v>
      </c>
      <c r="H45" s="20">
        <v>1</v>
      </c>
      <c r="I45" s="8" t="s">
        <v>185</v>
      </c>
      <c r="J45" s="19">
        <v>0</v>
      </c>
      <c r="K45" s="8" t="s">
        <v>186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52114</v>
      </c>
      <c r="C46" s="19">
        <v>0</v>
      </c>
      <c r="D46" s="8" t="s">
        <v>106</v>
      </c>
      <c r="E46" s="20">
        <v>0</v>
      </c>
      <c r="F46" s="20">
        <v>9</v>
      </c>
      <c r="G46" s="8" t="s">
        <v>54</v>
      </c>
      <c r="H46" s="20">
        <v>9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52115</v>
      </c>
      <c r="C47" s="19">
        <v>0</v>
      </c>
      <c r="D47" s="8" t="s">
        <v>108</v>
      </c>
      <c r="E47" s="20">
        <v>0</v>
      </c>
      <c r="F47" s="20">
        <v>6</v>
      </c>
      <c r="G47" s="8" t="s">
        <v>54</v>
      </c>
      <c r="H47" s="20">
        <v>6</v>
      </c>
      <c r="I47" s="8" t="s">
        <v>109</v>
      </c>
      <c r="J47" s="19">
        <v>0</v>
      </c>
      <c r="K47" s="8" t="s">
        <v>187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52116</v>
      </c>
      <c r="C48" s="19">
        <v>0</v>
      </c>
      <c r="D48" s="8" t="s">
        <v>110</v>
      </c>
      <c r="E48" s="20">
        <v>0</v>
      </c>
      <c r="F48" s="20">
        <v>6</v>
      </c>
      <c r="G48" s="8" t="s">
        <v>54</v>
      </c>
      <c r="H48" s="20">
        <v>6</v>
      </c>
      <c r="I48" s="8" t="s">
        <v>111</v>
      </c>
      <c r="J48" s="19">
        <v>0</v>
      </c>
      <c r="K48" s="8" t="s">
        <v>188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52117</v>
      </c>
      <c r="C49" s="19">
        <v>0</v>
      </c>
      <c r="D49" s="8" t="s">
        <v>162</v>
      </c>
      <c r="E49" s="20">
        <v>0</v>
      </c>
      <c r="F49" s="20">
        <v>4</v>
      </c>
      <c r="G49" s="8" t="s">
        <v>54</v>
      </c>
      <c r="H49" s="20">
        <v>4</v>
      </c>
      <c r="I49" s="8" t="s">
        <v>163</v>
      </c>
      <c r="J49" s="19">
        <v>0</v>
      </c>
      <c r="K49" s="8" t="s">
        <v>164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52118</v>
      </c>
      <c r="C50" s="19">
        <v>0</v>
      </c>
      <c r="D50" s="8" t="s">
        <v>165</v>
      </c>
      <c r="E50" s="20">
        <v>0</v>
      </c>
      <c r="F50" s="20">
        <v>4</v>
      </c>
      <c r="G50" s="8" t="s">
        <v>54</v>
      </c>
      <c r="H50" s="20">
        <v>4</v>
      </c>
      <c r="I50" s="8" t="s">
        <v>166</v>
      </c>
      <c r="J50" s="19">
        <v>0</v>
      </c>
      <c r="K50" s="8" t="s">
        <v>167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52119</v>
      </c>
      <c r="C51" s="19">
        <v>0</v>
      </c>
      <c r="D51" s="8" t="s">
        <v>112</v>
      </c>
      <c r="E51" s="20">
        <v>0</v>
      </c>
      <c r="F51" s="20">
        <v>2</v>
      </c>
      <c r="G51" s="8" t="s">
        <v>54</v>
      </c>
      <c r="H51" s="20">
        <v>2</v>
      </c>
      <c r="I51" s="8" t="s">
        <v>113</v>
      </c>
      <c r="J51" s="19">
        <v>0</v>
      </c>
      <c r="K51" s="8" t="s">
        <v>227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52120</v>
      </c>
      <c r="C52" s="19">
        <v>0</v>
      </c>
      <c r="D52" s="8" t="s">
        <v>189</v>
      </c>
      <c r="E52" s="20">
        <v>0</v>
      </c>
      <c r="F52" s="20">
        <v>1</v>
      </c>
      <c r="G52" s="8" t="s">
        <v>54</v>
      </c>
      <c r="H52" s="20">
        <v>1</v>
      </c>
      <c r="I52" s="8" t="s">
        <v>190</v>
      </c>
      <c r="J52" s="19">
        <v>0</v>
      </c>
      <c r="K52" s="8" t="s">
        <v>191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52121</v>
      </c>
      <c r="C53" s="19">
        <v>0</v>
      </c>
      <c r="D53" s="8" t="s">
        <v>114</v>
      </c>
      <c r="E53" s="20">
        <v>0</v>
      </c>
      <c r="F53" s="20">
        <v>0</v>
      </c>
      <c r="G53" s="8" t="s">
        <v>54</v>
      </c>
      <c r="H53" s="20">
        <v>0</v>
      </c>
      <c r="I53" s="8" t="s">
        <v>115</v>
      </c>
      <c r="J53" s="19">
        <v>0</v>
      </c>
      <c r="K53" s="8" t="s">
        <v>114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52122</v>
      </c>
      <c r="C54" s="19">
        <v>0</v>
      </c>
      <c r="D54" s="8" t="s">
        <v>116</v>
      </c>
      <c r="E54" s="20">
        <v>0</v>
      </c>
      <c r="F54" s="20">
        <v>6</v>
      </c>
      <c r="G54" s="8" t="s">
        <v>54</v>
      </c>
      <c r="H54" s="20">
        <v>6</v>
      </c>
      <c r="I54" s="8" t="s">
        <v>117</v>
      </c>
      <c r="J54" s="19">
        <v>0</v>
      </c>
      <c r="K54" s="8" t="s">
        <v>192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52123</v>
      </c>
      <c r="C55" s="19">
        <v>0</v>
      </c>
      <c r="D55" s="8" t="s">
        <v>193</v>
      </c>
      <c r="E55" s="20">
        <v>0</v>
      </c>
      <c r="F55" s="20">
        <v>9</v>
      </c>
      <c r="G55" s="8" t="s">
        <v>54</v>
      </c>
      <c r="H55" s="20">
        <v>9</v>
      </c>
      <c r="I55" s="8" t="s">
        <v>194</v>
      </c>
      <c r="J55" s="19">
        <v>0</v>
      </c>
      <c r="K55" s="8" t="s">
        <v>195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118</v>
      </c>
      <c r="B56" s="18">
        <v>52124</v>
      </c>
      <c r="C56" s="19">
        <v>0</v>
      </c>
      <c r="D56" s="8" t="s">
        <v>119</v>
      </c>
      <c r="E56" s="20">
        <v>0</v>
      </c>
      <c r="F56" s="20">
        <v>2</v>
      </c>
      <c r="G56" s="8" t="s">
        <v>54</v>
      </c>
      <c r="H56" s="20">
        <v>2</v>
      </c>
      <c r="I56" s="8" t="s">
        <v>120</v>
      </c>
      <c r="J56" s="19">
        <v>0</v>
      </c>
      <c r="K56" s="8" t="s">
        <v>121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52125</v>
      </c>
      <c r="C57" s="19">
        <v>0</v>
      </c>
      <c r="D57" s="8" t="s">
        <v>62</v>
      </c>
      <c r="E57" s="20">
        <v>0</v>
      </c>
      <c r="F57" s="20">
        <v>3</v>
      </c>
      <c r="G57" s="8" t="s">
        <v>54</v>
      </c>
      <c r="H57" s="20">
        <v>3</v>
      </c>
      <c r="I57" s="8" t="s">
        <v>63</v>
      </c>
      <c r="J57" s="19">
        <v>0</v>
      </c>
      <c r="K57" s="8" t="s">
        <v>196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52126</v>
      </c>
      <c r="C58" s="19">
        <v>0</v>
      </c>
      <c r="D58" s="8" t="s">
        <v>122</v>
      </c>
      <c r="E58" s="20">
        <v>0</v>
      </c>
      <c r="F58" s="20">
        <v>8</v>
      </c>
      <c r="G58" s="8" t="s">
        <v>54</v>
      </c>
      <c r="H58" s="20">
        <v>8</v>
      </c>
      <c r="I58" s="8" t="s">
        <v>123</v>
      </c>
      <c r="J58" s="19">
        <v>0</v>
      </c>
      <c r="K58" s="8" t="s">
        <v>228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52127</v>
      </c>
      <c r="C59" s="19">
        <v>0</v>
      </c>
      <c r="D59" s="8" t="s">
        <v>124</v>
      </c>
      <c r="E59" s="20">
        <v>0</v>
      </c>
      <c r="F59" s="20">
        <v>15</v>
      </c>
      <c r="G59" s="8" t="s">
        <v>54</v>
      </c>
      <c r="H59" s="20">
        <v>15</v>
      </c>
      <c r="I59" s="8" t="s">
        <v>125</v>
      </c>
      <c r="J59" s="19">
        <v>0</v>
      </c>
      <c r="K59" s="8" t="s">
        <v>229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52128</v>
      </c>
      <c r="C60" s="19">
        <v>0</v>
      </c>
      <c r="D60" s="8" t="s">
        <v>126</v>
      </c>
      <c r="E60" s="20">
        <v>0</v>
      </c>
      <c r="F60" s="20">
        <v>25</v>
      </c>
      <c r="G60" s="8" t="s">
        <v>54</v>
      </c>
      <c r="H60" s="20">
        <v>25</v>
      </c>
      <c r="I60" s="8" t="s">
        <v>127</v>
      </c>
      <c r="J60" s="19">
        <v>0</v>
      </c>
      <c r="K60" s="8" t="s">
        <v>230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52129</v>
      </c>
      <c r="C61" s="19">
        <v>0</v>
      </c>
      <c r="D61" s="8" t="s">
        <v>197</v>
      </c>
      <c r="E61" s="20">
        <v>0</v>
      </c>
      <c r="F61" s="20">
        <v>4</v>
      </c>
      <c r="G61" s="8" t="s">
        <v>54</v>
      </c>
      <c r="H61" s="20">
        <v>4</v>
      </c>
      <c r="I61" s="8" t="s">
        <v>198</v>
      </c>
      <c r="J61" s="19">
        <v>0</v>
      </c>
      <c r="K61" s="8" t="s">
        <v>231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52133</v>
      </c>
      <c r="C62" s="19">
        <v>0</v>
      </c>
      <c r="D62" s="8" t="s">
        <v>128</v>
      </c>
      <c r="E62" s="20">
        <v>0</v>
      </c>
      <c r="F62" s="20">
        <v>1</v>
      </c>
      <c r="G62" s="8" t="s">
        <v>54</v>
      </c>
      <c r="H62" s="20">
        <v>1</v>
      </c>
      <c r="I62" s="8" t="s">
        <v>129</v>
      </c>
      <c r="J62" s="19">
        <v>0</v>
      </c>
      <c r="K62" s="8" t="s">
        <v>130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64</v>
      </c>
      <c r="B63" s="18">
        <v>52134</v>
      </c>
      <c r="C63" s="19">
        <v>0</v>
      </c>
      <c r="D63" s="8" t="s">
        <v>199</v>
      </c>
      <c r="E63" s="20">
        <v>0</v>
      </c>
      <c r="F63" s="20">
        <v>4</v>
      </c>
      <c r="G63" s="8" t="s">
        <v>54</v>
      </c>
      <c r="H63" s="20">
        <v>4</v>
      </c>
      <c r="I63" s="8" t="s">
        <v>200</v>
      </c>
      <c r="J63" s="19">
        <v>0</v>
      </c>
      <c r="K63" s="8" t="s">
        <v>201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52135</v>
      </c>
      <c r="C64" s="19">
        <v>0</v>
      </c>
      <c r="D64" s="8" t="s">
        <v>131</v>
      </c>
      <c r="E64" s="20">
        <v>0</v>
      </c>
      <c r="F64" s="20">
        <v>1</v>
      </c>
      <c r="G64" s="8" t="s">
        <v>54</v>
      </c>
      <c r="H64" s="20">
        <v>1</v>
      </c>
      <c r="I64" s="8" t="s">
        <v>132</v>
      </c>
      <c r="J64" s="19">
        <v>0</v>
      </c>
      <c r="K64" s="8" t="s">
        <v>133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52136</v>
      </c>
      <c r="C65" s="19">
        <v>0</v>
      </c>
      <c r="D65" s="8" t="s">
        <v>134</v>
      </c>
      <c r="E65" s="20">
        <v>0</v>
      </c>
      <c r="F65" s="20">
        <v>0</v>
      </c>
      <c r="G65" s="8" t="s">
        <v>54</v>
      </c>
      <c r="H65" s="20">
        <v>0</v>
      </c>
      <c r="I65" s="8" t="s">
        <v>135</v>
      </c>
      <c r="J65" s="19">
        <v>0</v>
      </c>
      <c r="K65" s="8" t="s">
        <v>136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118</v>
      </c>
      <c r="B66" s="18">
        <v>52137</v>
      </c>
      <c r="C66" s="19">
        <v>0</v>
      </c>
      <c r="D66" s="8" t="s">
        <v>137</v>
      </c>
      <c r="E66" s="20">
        <v>0</v>
      </c>
      <c r="F66" s="20">
        <v>2</v>
      </c>
      <c r="G66" s="8" t="s">
        <v>54</v>
      </c>
      <c r="H66" s="20">
        <v>2</v>
      </c>
      <c r="I66" s="8" t="s">
        <v>138</v>
      </c>
      <c r="J66" s="19">
        <v>0</v>
      </c>
      <c r="K66" s="8" t="s">
        <v>139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64</v>
      </c>
      <c r="B67" s="18">
        <v>52138</v>
      </c>
      <c r="C67" s="19">
        <v>0</v>
      </c>
      <c r="D67" s="8" t="s">
        <v>140</v>
      </c>
      <c r="E67" s="20">
        <v>0</v>
      </c>
      <c r="F67" s="20">
        <v>10</v>
      </c>
      <c r="G67" s="8" t="s">
        <v>54</v>
      </c>
      <c r="H67" s="20">
        <v>10</v>
      </c>
      <c r="I67" s="8" t="s">
        <v>141</v>
      </c>
      <c r="J67" s="19">
        <v>0</v>
      </c>
      <c r="K67" s="8" t="s">
        <v>142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52139</v>
      </c>
      <c r="C68" s="19">
        <v>0</v>
      </c>
      <c r="D68" s="8" t="s">
        <v>143</v>
      </c>
      <c r="E68" s="20">
        <v>0</v>
      </c>
      <c r="F68" s="20">
        <v>0</v>
      </c>
      <c r="G68" s="8" t="s">
        <v>54</v>
      </c>
      <c r="H68" s="20">
        <v>0</v>
      </c>
      <c r="I68" s="8" t="s">
        <v>144</v>
      </c>
      <c r="J68" s="19">
        <v>0</v>
      </c>
      <c r="K68" s="8" t="s">
        <v>143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64</v>
      </c>
      <c r="B69" s="18">
        <v>52140</v>
      </c>
      <c r="C69" s="19">
        <v>0</v>
      </c>
      <c r="D69" s="8" t="s">
        <v>145</v>
      </c>
      <c r="E69" s="20">
        <v>0</v>
      </c>
      <c r="F69" s="20">
        <v>40</v>
      </c>
      <c r="G69" s="8" t="s">
        <v>54</v>
      </c>
      <c r="H69" s="20">
        <v>40</v>
      </c>
      <c r="I69" s="8" t="s">
        <v>146</v>
      </c>
      <c r="J69" s="19">
        <v>0</v>
      </c>
      <c r="K69" s="8" t="s">
        <v>147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52141</v>
      </c>
      <c r="C70" s="19">
        <v>0</v>
      </c>
      <c r="D70" s="8" t="s">
        <v>148</v>
      </c>
      <c r="E70" s="20">
        <v>0</v>
      </c>
      <c r="F70" s="20">
        <v>0</v>
      </c>
      <c r="G70" s="8" t="s">
        <v>54</v>
      </c>
      <c r="H70" s="20">
        <v>0</v>
      </c>
      <c r="I70" s="8" t="s">
        <v>149</v>
      </c>
      <c r="J70" s="19">
        <v>0</v>
      </c>
      <c r="K70" s="8" t="s">
        <v>148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52142</v>
      </c>
      <c r="C71" s="19">
        <v>0</v>
      </c>
      <c r="D71" s="8" t="s">
        <v>232</v>
      </c>
      <c r="E71" s="20">
        <v>0</v>
      </c>
      <c r="F71" s="20">
        <v>2</v>
      </c>
      <c r="G71" s="8" t="s">
        <v>54</v>
      </c>
      <c r="H71" s="20">
        <v>2</v>
      </c>
      <c r="I71" s="8" t="s">
        <v>233</v>
      </c>
      <c r="J71" s="19">
        <v>0</v>
      </c>
      <c r="K71" s="8" t="s">
        <v>234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52143</v>
      </c>
      <c r="C72" s="19">
        <v>0</v>
      </c>
      <c r="D72" s="8" t="s">
        <v>235</v>
      </c>
      <c r="E72" s="20">
        <v>0</v>
      </c>
      <c r="F72" s="20">
        <v>2</v>
      </c>
      <c r="G72" s="8" t="s">
        <v>54</v>
      </c>
      <c r="H72" s="20">
        <v>2</v>
      </c>
      <c r="I72" s="8" t="s">
        <v>236</v>
      </c>
      <c r="J72" s="19">
        <v>0</v>
      </c>
      <c r="K72" s="8" t="s">
        <v>237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52144</v>
      </c>
      <c r="C73" s="19">
        <v>0</v>
      </c>
      <c r="D73" s="8" t="s">
        <v>65</v>
      </c>
      <c r="E73" s="20">
        <v>0</v>
      </c>
      <c r="F73" s="20">
        <v>0</v>
      </c>
      <c r="G73" s="8" t="s">
        <v>54</v>
      </c>
      <c r="H73" s="20">
        <v>0</v>
      </c>
      <c r="I73" s="8" t="s">
        <v>66</v>
      </c>
      <c r="J73" s="19">
        <v>0</v>
      </c>
      <c r="K73" s="8" t="s">
        <v>67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68</v>
      </c>
      <c r="B74" s="18">
        <v>52145</v>
      </c>
      <c r="C74" s="19">
        <v>0</v>
      </c>
      <c r="D74" s="8" t="s">
        <v>69</v>
      </c>
      <c r="E74" s="20">
        <v>0</v>
      </c>
      <c r="F74" s="20">
        <v>4</v>
      </c>
      <c r="G74" s="8" t="s">
        <v>54</v>
      </c>
      <c r="H74" s="20">
        <v>4</v>
      </c>
      <c r="I74" s="8" t="s">
        <v>70</v>
      </c>
      <c r="J74" s="19">
        <v>0</v>
      </c>
      <c r="K74" s="8" t="s">
        <v>71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68</v>
      </c>
      <c r="B75" s="18">
        <v>52146</v>
      </c>
      <c r="C75" s="19">
        <v>0</v>
      </c>
      <c r="D75" s="8" t="s">
        <v>202</v>
      </c>
      <c r="E75" s="20">
        <v>0</v>
      </c>
      <c r="F75" s="20">
        <v>3</v>
      </c>
      <c r="G75" s="8" t="s">
        <v>54</v>
      </c>
      <c r="H75" s="20">
        <v>3</v>
      </c>
      <c r="I75" s="8" t="s">
        <v>203</v>
      </c>
      <c r="J75" s="19">
        <v>0</v>
      </c>
      <c r="K75" s="8" t="s">
        <v>204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68</v>
      </c>
      <c r="B76" s="18">
        <v>52147</v>
      </c>
      <c r="C76" s="19">
        <v>0</v>
      </c>
      <c r="D76" s="8" t="s">
        <v>205</v>
      </c>
      <c r="E76" s="20">
        <v>0</v>
      </c>
      <c r="F76" s="20">
        <v>3</v>
      </c>
      <c r="G76" s="8" t="s">
        <v>54</v>
      </c>
      <c r="H76" s="20">
        <v>3</v>
      </c>
      <c r="I76" s="8" t="s">
        <v>206</v>
      </c>
      <c r="J76" s="19">
        <v>0</v>
      </c>
      <c r="K76" s="8" t="s">
        <v>207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/>
    <row r="78" spans="1:14" ht="12.75" customHeight="1" x14ac:dyDescent="0.2">
      <c r="B78" s="8" t="s">
        <v>16</v>
      </c>
      <c r="C78" s="8" t="s">
        <v>208</v>
      </c>
      <c r="E78" s="8" t="s">
        <v>19</v>
      </c>
      <c r="F78" s="8" t="s">
        <v>19</v>
      </c>
      <c r="G78" s="8" t="s">
        <v>21</v>
      </c>
      <c r="H78" s="8" t="s">
        <v>19</v>
      </c>
      <c r="J78" s="8" t="s">
        <v>19</v>
      </c>
    </row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N1 OR N10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5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N8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26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 &amp; SHELL REPADS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.261</v>
      </c>
      <c r="C98" s="40" t="str">
        <f>'Build Plan w Hours'!D23</f>
        <v>Miscellaneous Fabrication - Braces, Mounting Plates, Cone Outlet Necks_x000D_
FORM N10 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(2) DOUBLE SHELL &amp; (1) SINGLE SHELL  **NOTE BOTTOM HEAD SLOPE**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13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***WELD LONG SEAMS W COBOT***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9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CABLE SUPPORT AND HATCH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CABLE SUPPORT AND HATCH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.370</v>
      </c>
      <c r="C152" s="40" t="str">
        <f>'Build Plan w Hours'!D32</f>
        <v>Install and weld out repads - top head_x000D_
FOR CABLE SUPPORT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6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AND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9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6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6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CLEAN UP HOLES CUT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HANDLE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tack_x000D_
AND WELD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.645</v>
      </c>
      <c r="C230" s="40" t="str">
        <f>'Build Plan w Hours'!D45</f>
        <v>Weld all outside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9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.717</v>
      </c>
      <c r="C242" s="40" t="str">
        <f>'Build Plan w Hours'!D47</f>
        <v>Install lift lugs on shell_x000D_
AND TIE-OFF LUGS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.720</v>
      </c>
      <c r="C248" s="40" t="str">
        <f>'Build Plan w Hours'!D48</f>
        <v>Install supports - legs, lugs, anchors, saddles, skirt_x000D_
AND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.725</v>
      </c>
      <c r="C254" s="40" t="str">
        <f>'Build Plan w Hours'!D49</f>
        <v>Set nozzles in shell - tack_x000D_
INCL ADD FLANGE TO N1 &amp; N10, PLUS HANDLE AND HOOK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15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.726</v>
      </c>
      <c r="C260" s="40" t="str">
        <f>'Build Plan w Hours'!D50</f>
        <v>Weld shell nozzles, manways, etc._x000D_
INCL WELD FLANGE TO N1 &amp; N10, PLUS HANDLE AND HOOK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25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.730</v>
      </c>
      <c r="C266" s="40" t="str">
        <f>'Build Plan w Hours'!D51</f>
        <v>Add repads and weld_x000D_
(4) SHELL REPADS; SEE DWG FOR LOCATIONS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4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.900</v>
      </c>
      <c r="C278" s="40" t="str">
        <f>'Build Plan w Hours'!D53</f>
        <v>Dye pen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4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.801</v>
      </c>
      <c r="C296" s="40" t="str">
        <f>'Build Plan w Hours'!D56</f>
        <v>Move to shop test area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.910</v>
      </c>
      <c r="C302" s="40" t="str">
        <f>'Build Plan w Hours'!D57</f>
        <v>Test tank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10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.QC7</v>
      </c>
      <c r="C308" s="40" t="str">
        <f>'Build Plan w Hours'!D58</f>
        <v>QC Inspection - Test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.920</v>
      </c>
      <c r="C314" s="40" t="str">
        <f>'Build Plan w Hours'!D59</f>
        <v>Clean tank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40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.QC8</v>
      </c>
      <c r="C320" s="40" t="str">
        <f>'Build Plan w Hours'!D60</f>
        <v>QC Inspection - Clean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.940</v>
      </c>
      <c r="C326" s="40" t="str">
        <f>'Build Plan w Hours'!D61</f>
        <v>Prepare tank for shipment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.950</v>
      </c>
      <c r="C332" s="40" t="str">
        <f>'Build Plan w Hours'!D62</f>
        <v>Check bill of materials and pack loose parts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.QC95</v>
      </c>
      <c r="C338" s="40" t="str">
        <f>'Build Plan w Hours'!D63</f>
        <v>QC Inspection - Final &amp; Loose Items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.960</v>
      </c>
      <c r="C344" s="40" t="str">
        <f>'Build Plan w Hours'!D64</f>
        <v>Load on truck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4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.970</v>
      </c>
      <c r="C350" s="40" t="str">
        <f>'Build Plan w Hours'!D65</f>
        <v>Take parts to galvanizers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.972</v>
      </c>
      <c r="C356" s="40" t="str">
        <f>'Build Plan w Hours'!D66</f>
        <v>Pick up parts from galvanizers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3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 t="str">
        <f>'Build Plan w Hours'!E68</f>
        <v/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N1 OR N10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N8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 &amp; SHELL REPADS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.261</v>
      </c>
      <c r="C98" s="40" t="str">
        <f>'Build Plan w Hours'!D23</f>
        <v>Miscellaneous Fabrication - Braces, Mounting Plates, Cone Outlet Necks_x000D_
FORM N10 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(2) DOUBLE SHELL &amp; (1) SINGLE SHELL  **NOTE BOTTOM HEAD SLOPE**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***WELD LONG SEAMS W COBOT***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CABLE SUPPORT AND HATCH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CABLE SUPPORT AND HATCH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.370</v>
      </c>
      <c r="C152" s="40" t="str">
        <f>'Build Plan w Hours'!D32</f>
        <v>Install and weld out repads - top head_x000D_
FOR CABLE SUPPORT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.455</v>
      </c>
      <c r="C170" s="40" t="str">
        <f>'Build Plan w Hours'!D35</f>
        <v>Lay out bottom head, burn and clean holes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AND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CLEAN UP HOLES CUT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HANDLE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tack_x000D_
AND WELD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.645</v>
      </c>
      <c r="C230" s="40" t="str">
        <f>'Build Plan w Hours'!D45</f>
        <v>Weld all outside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.717</v>
      </c>
      <c r="C242" s="40" t="str">
        <f>'Build Plan w Hours'!D47</f>
        <v>Install lift lugs on shell_x000D_
AND TIE-OFF LUGS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.720</v>
      </c>
      <c r="C248" s="40" t="str">
        <f>'Build Plan w Hours'!D48</f>
        <v>Install supports - legs, lugs, anchors, saddles, skirt_x000D_
AND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.725</v>
      </c>
      <c r="C254" s="40" t="str">
        <f>'Build Plan w Hours'!D49</f>
        <v>Set nozzles in shell - tack_x000D_
INCL ADD FLANGE TO N1 &amp; N10, PLUS HANDLE AND HOOK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.726</v>
      </c>
      <c r="C260" s="40" t="str">
        <f>'Build Plan w Hours'!D50</f>
        <v>Weld shell nozzles, manways, etc._x000D_
INCL WELD FLANGE TO N1 &amp; N10, PLUS HANDLE AND HOOK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.730</v>
      </c>
      <c r="C266" s="40" t="str">
        <f>'Build Plan w Hours'!D51</f>
        <v>Add repads and weld_x000D_
(4) SHELL REPADS; SEE DWG FOR LOCATIONS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.900</v>
      </c>
      <c r="C278" s="40" t="str">
        <f>'Build Plan w Hours'!D53</f>
        <v>Dye pen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.801</v>
      </c>
      <c r="C296" s="40" t="str">
        <f>'Build Plan w Hours'!D56</f>
        <v>Move to shop test area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.910</v>
      </c>
      <c r="C302" s="40" t="str">
        <f>'Build Plan w Hours'!D57</f>
        <v>Test tank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.QC7</v>
      </c>
      <c r="C308" s="40" t="str">
        <f>'Build Plan w Hours'!D58</f>
        <v>QC Inspection - Test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.920</v>
      </c>
      <c r="C314" s="40" t="str">
        <f>'Build Plan w Hours'!D59</f>
        <v>Clean tank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.QC8</v>
      </c>
      <c r="C320" s="40" t="str">
        <f>'Build Plan w Hours'!D60</f>
        <v>QC Inspection - Clean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.940</v>
      </c>
      <c r="C326" s="40" t="str">
        <f>'Build Plan w Hours'!D61</f>
        <v>Prepare tank for shipment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.950</v>
      </c>
      <c r="C332" s="40" t="str">
        <f>'Build Plan w Hours'!D62</f>
        <v>Check bill of materials and pack loose parts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.QC95</v>
      </c>
      <c r="C338" s="40" t="str">
        <f>'Build Plan w Hours'!D63</f>
        <v>QC Inspection - Final &amp; Loose Items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.960</v>
      </c>
      <c r="C344" s="40" t="str">
        <f>'Build Plan w Hours'!D64</f>
        <v>Load on truck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.970</v>
      </c>
      <c r="C350" s="40" t="str">
        <f>'Build Plan w Hours'!D65</f>
        <v>Take parts to galvanizers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.972</v>
      </c>
      <c r="C356" s="40" t="str">
        <f>'Build Plan w Hours'!D66</f>
        <v>Pick up parts from galvanizers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2025-06-13T17:17:19Z</cp:lastPrinted>
  <dcterms:created xsi:type="dcterms:W3CDTF">2016-06-28T20:53:17Z</dcterms:created>
  <dcterms:modified xsi:type="dcterms:W3CDTF">2025-06-13T17:17:45Z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