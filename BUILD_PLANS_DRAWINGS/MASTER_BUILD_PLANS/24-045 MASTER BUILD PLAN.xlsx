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5-24 Pistols Industrial - Oil_Water Separation Tank\"/>
    </mc:Choice>
  </mc:AlternateContent>
  <xr:revisionPtr revIDLastSave="0" documentId="8_{213984F7-D67E-4F6C-A267-9A2F1003942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<sst xmlns="http://schemas.openxmlformats.org/spreadsheetml/2006/main" count="1694" uniqueCount="205">
  <si>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</si>
  <si>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</si>
  <si>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</si>
  <si>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</si>
  <si>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</si>
  <si>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</si>
  <si>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</si>
  <si>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</si>
  <si>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</si>
  <si>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</si>
  <si>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</si>
  <si>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</si>
  <si>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</si>
  <si>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</si>
  <si>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</si>
  <si>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</si>
  <si>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</si>
  <si>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</si>
  <si>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</si>
  <si>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</si>
  <si>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</si>
  <si>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</si>
  <si>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</si>
  <si>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</si>
  <si>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</si>
  <si>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</si>
  <si>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</si>
  <si>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</si>
  <si>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</si>
  <si>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</si>
  <si>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</si>
  <si>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</si>
  <si>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</si>
  <si>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</si>
  <si>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</si>
  <si>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</si>
  <si>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</si>
  <si>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</si>
  <si>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</si>
  <si>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</si>
  <si>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</si>
  <si>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</si>
  <si>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</si>
  <si>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</si>
  <si>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</si>
  <si>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</si>
  <si>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</si>
  <si>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</si>
  <si>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</si>
  <si>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</si>
  <si>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</si>
  <si>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</si>
  <si>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</si>
  <si>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</si>
  <si>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</si>
  <si>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</si>
  <si>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</si>
  <si>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</si>
  <si>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</si>
  <si>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</si>
  <si>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</si>
  <si>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</si>
  <si>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</si>
  <si>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</si>
  <si>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</si>
  <si>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</si>
  <si>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</si>
  <si>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</si>
  <si>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</si>
  <si>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</si>
  <si>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</si>
  <si>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</si>
  <si>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</si>
  <si>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</si>
  <si>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</si>
  <si>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</si>
  <si>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</si>
  <si>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</si>
  <si>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</si>
  <si>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</si>
  <si>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</si>
  <si>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</si>
  <si>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</si>
  <si>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</si>
  <si>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</si>
  <si>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</si>
  <si>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</si>
  <si>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</si>
  <si>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</si>
  <si>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</si>
  <si>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</si>
  <si>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</si>
  <si>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</si>
  <si>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</si>
  <si>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</si>
  <si>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</si>
  <si>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</si>
  <si>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</si>
  <si>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</si>
  <si>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</si>
  <si>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</si>
  <si>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</si>
  <si>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</si>
  <si>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</si>
  <si>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</si>
  <si>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</si>
  <si>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</si>
  <si>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</si>
  <si>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</si>
  <si>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</si>
  <si>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</si>
  <si>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</si>
  <si>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</si>
  <si>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</si>
  <si>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</si>
  <si>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</si>
  <si>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</si>
  <si>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</si>
  <si>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</si>
  <si>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</si>
  <si>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</si>
  <si>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</si>
  <si>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</si>
  <si>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</si>
  <si>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</si>
  <si>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</si>
  <si>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</si>
  <si>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</si>
  <si>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</si>
  <si>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</si>
  <si>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</si>
  <si>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</si>
  <si>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</si>
  <si>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</si>
  <si>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</si>
  <si>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</si>
  <si>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</si>
  <si>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</si>
  <si>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</si>
  <si>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</si>
  <si>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</si>
  <si>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</si>
  <si>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</si>
  <si>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</si>
  <si>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</si>
  <si>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</si>
  <si>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</si>
  <si>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</si>
  <si>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</si>
  <si>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</si>
  <si>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</si>
  <si>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</si>
  <si>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</si>
  <si>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</si>
  <si>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</si>
  <si>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</si>
  <si>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</si>
  <si>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</si>
  <si>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</si>
  <si>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</si>
  <si>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</si>
  <si>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</si>
  <si>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</si>
  <si>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</si>
  <si>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repads: drill and tap _x000D_
FOR LIFT LUGS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</si>
  <si>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</si>
  <si>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</si>
  <si>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</si>
  <si>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</si>
  <si>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</si>
  <si>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</si>
  <si>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</si>
  <si>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</si>
  <si>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</si>
  <si>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</si>
  <si>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</si>
  <si>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</si>
  <si>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</si>
  <si>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</si>
  <si>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</si>
  <si>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</si>
  <si>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</si>
  <si>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</si>
  <si>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</si>
  <si>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OIL/WATER SEPARATION TANK</t>
  </si>
  <si>
    <t>701890</t>
  </si>
  <si>
    <t>8922.1</t>
  </si>
  <si>
    <t>Cut Parts on Burn Table</t>
  </si>
  <si>
    <t>Clean &amp; Prep Parts</t>
  </si>
  <si>
    <t>.156</t>
  </si>
  <si>
    <t>Build supports: legs, lugs, saddles_x000D_
TACK ONLY</t>
  </si>
  <si>
    <t>Fabricate miscellaneous parts_x000D_
BUILD (2) PIPING HANGERS</t>
  </si>
  <si>
    <t>Shells: bring in plate, square, trim and clean_x000D_
PREP (1) DOUBLE SHELL</t>
  </si>
  <si>
    <t>Roll shells, tack and weld inside seams_x000D_
ROLL (1) DOUBLE SHELL</t>
  </si>
  <si>
    <t>Lay out top head, burn and clean holes_x000D_
CUT HOLES ON BURN TABLE</t>
  </si>
  <si>
    <t>Weld out top head nozzles, etc. _x000D_
***WATCH HEAT INPUT - DO NOT WARP TOP***</t>
  </si>
  <si>
    <t>Build bottom head/cone</t>
  </si>
  <si>
    <t>Fit bottom head to shell_x000D_
AND WELD INSIDE &amp; OUTSIDE</t>
  </si>
  <si>
    <t>Lay out shell, burn and clean holes_x000D_
CLEAN UP HOLES CUT ON BURN TABLE</t>
  </si>
  <si>
    <t>Install Insul/Vac Rings</t>
  </si>
  <si>
    <t>.715</t>
  </si>
  <si>
    <t>Install insulation/vacuum rings - tack_x000D_
AND WELD</t>
  </si>
  <si>
    <t>Set nozzles in shell - tack</t>
  </si>
  <si>
    <t>Weld shell nozzles, manways, etc._x000D_
INCL HOLE WATCH &amp; 2ND FLANGE ON NOZZ B</t>
  </si>
  <si>
    <t>045-24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</si>
</sst>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OIL/WATER SEPARATION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8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8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LIFT LUGS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.205</v>
      </c>
      <c r="D21" s="22" t="str">
        <f>'Sheet2-PASTE HERE!'!K31</f>
        <v>Roll rim angle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.252</v>
      </c>
      <c r="D22" s="22" t="str">
        <f>'Sheet2-PASTE HERE!'!K32</f>
        <v>Fabricate miscellaneous parts_x000D_
BUILD (2) PIPING HANGERS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.QC3</v>
      </c>
      <c r="D23" s="22" t="str">
        <f>'Sheet2-PASTE HERE!'!K33</f>
        <v>UT Shells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.305</v>
      </c>
      <c r="D24" s="22" t="str">
        <f>'Sheet2-PASTE HERE!'!K34</f>
        <v>Shells: bring in plate, square, trim and clean_x000D_
PREP (1) DOUBLE SHELL</v>
      </c>
      <c r="E24" s="13">
        <f>'Sheet2-PASTE HERE!'!F34</f>
        <v>5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seams_x000D_
ROLL (1) DOUBLE SHELL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7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CUT HOLES ON BURN TABLE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 _x000D_
***WATCH HEAT INPUT - DO NOT WARP TOP***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.450</v>
      </c>
      <c r="D31" s="22" t="str">
        <f>'Sheet2-PASTE HERE!'!K41</f>
        <v>Build bottom head/cone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.600</v>
      </c>
      <c r="D33" s="22" t="str">
        <f>'Sheet2-PASTE HERE!'!K43</f>
        <v>Fit bottom head to shell_x000D_
AND WELD INSIDE &amp; OUTSIDE</v>
      </c>
      <c r="E33" s="13">
        <f>'Sheet2-PASTE HERE!'!F43</f>
        <v>8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CLEAN UP HOLES CUT ON BURN TABLE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6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MOVE TANK</v>
      </c>
      <c r="B39" s="11"/>
      <c r="C39" s="17" t="str">
        <f>'Sheet2-PASTE HERE!'!I49</f>
        <v>.800</v>
      </c>
      <c r="D39" s="22" t="str">
        <f>'Sheet2-PASTE HERE!'!K49</f>
        <v>Move tank to detail rolls</v>
      </c>
      <c r="E39" s="13">
        <f>'Sheet2-PASTE HERE!'!F49</f>
        <v>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.715</v>
      </c>
      <c r="D40" s="22" t="str">
        <f>'Sheet2-PASTE HERE!'!K50</f>
        <v>Install insulation/vacuum rings - tack_x000D_
AND WELD</v>
      </c>
      <c r="E40" s="13">
        <f>'Sheet2-PASTE HERE!'!F50</f>
        <v>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shell_x000D_
INCL REPADS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8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INCL HOLE WATCH &amp; 2ND FLANGE ON NOZZ B</v>
      </c>
      <c r="E44" s="13">
        <f>'Sheet2-PASTE HERE!'!F54</f>
        <v>16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MOVE TANK</v>
      </c>
      <c r="B48" s="11"/>
      <c r="C48" s="17" t="str">
        <f>'Sheet2-PASTE HERE!'!I58</f>
        <v>.801</v>
      </c>
      <c r="D48" s="22" t="str">
        <f>'Sheet2-PASTE HERE!'!K58</f>
        <v>Move to shop test area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.910</v>
      </c>
      <c r="D49" s="22" t="str">
        <f>'Sheet2-PASTE HERE!'!K59</f>
        <v>Test tank</v>
      </c>
      <c r="E49" s="13">
        <f>'Sheet2-PASTE HERE!'!F59</f>
        <v>9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.QC7</v>
      </c>
      <c r="D50" s="22" t="str">
        <f>'Sheet2-PASTE HERE!'!K60</f>
        <v>QC Inspection - Test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.920</v>
      </c>
      <c r="D51" s="22" t="str">
        <f>'Sheet2-PASTE HERE!'!K61</f>
        <v>Clean tank complete</v>
      </c>
      <c r="E51" s="13">
        <f>'Sheet2-PASTE HERE!'!F61</f>
        <v>15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.QC8</v>
      </c>
      <c r="D52" s="22" t="str">
        <f>'Sheet2-PASTE HERE!'!K62</f>
        <v>QC Inspection - Clean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.940</v>
      </c>
      <c r="D53" s="22" t="str">
        <f>'Sheet2-PASTE HERE!'!K63</f>
        <v>Prepare tank for shipment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.QC95</v>
      </c>
      <c r="D54" s="22" t="str">
        <f>'Sheet2-PASTE HERE!'!K64</f>
        <v>QC Inspection - Final &amp; Loose Items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SHIPPING</v>
      </c>
      <c r="B55" s="11"/>
      <c r="C55" s="17" t="str">
        <f>'Sheet2-PASTE HERE!'!I65</f>
        <v>.960</v>
      </c>
      <c r="D55" s="22" t="str">
        <f>'Sheet2-PASTE HERE!'!K65</f>
        <v>Load on truck</v>
      </c>
      <c r="E55" s="13">
        <f>'Sheet2-PASTE HERE!'!F65</f>
        <v>3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 t="str">
        <f>'Sheet2-PASTE HERE!'!F67</f>
        <v/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OIL/WATER SEPARATION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8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8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LIFT LUGS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.205</v>
      </c>
      <c r="D21" s="22" t="str">
        <f>'Sheet2-PASTE HERE!'!K31</f>
        <v>Roll rim angle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.252</v>
      </c>
      <c r="D22" s="22" t="str">
        <f>'Sheet2-PASTE HERE!'!K32</f>
        <v>Fabricate miscellaneous parts_x000D_
BUILD (2) PIPING HANGERS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.QC3</v>
      </c>
      <c r="D23" s="22" t="str">
        <f>'Sheet2-PASTE HERE!'!K33</f>
        <v>UT Shells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.305</v>
      </c>
      <c r="D24" s="22" t="str">
        <f>'Sheet2-PASTE HERE!'!K34</f>
        <v>Shells: bring in plate, square, trim and clean_x000D_
PREP (1) DOUBLE SHELL</v>
      </c>
      <c r="E24" s="13">
        <f>'Sheet2-PASTE HERE!'!F34</f>
        <v>5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seams_x000D_
ROLL (1) DOUBLE SHELL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7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CUT HOLES ON BURN TABLE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 _x000D_
***WATCH HEAT INPUT - DO NOT WARP TOP***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.450</v>
      </c>
      <c r="D31" s="22" t="str">
        <f>'Sheet2-PASTE HERE!'!K41</f>
        <v>Build bottom head/cone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.600</v>
      </c>
      <c r="D33" s="22" t="str">
        <f>'Sheet2-PASTE HERE!'!K43</f>
        <v>Fit bottom head to shell_x000D_
AND WELD INSIDE &amp; OUTSIDE</v>
      </c>
      <c r="E33" s="13">
        <f>'Sheet2-PASTE HERE!'!F43</f>
        <v>8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CLEAN UP HOLES CUT ON BURN TABLE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6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MOVE TANK</v>
      </c>
      <c r="B39" s="11"/>
      <c r="C39" s="17" t="str">
        <f>'Sheet2-PASTE HERE!'!I49</f>
        <v>.800</v>
      </c>
      <c r="D39" s="22" t="str">
        <f>'Sheet2-PASTE HERE!'!K49</f>
        <v>Move tank to detail rolls</v>
      </c>
      <c r="E39" s="13">
        <f>'Sheet2-PASTE HERE!'!F49</f>
        <v>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.715</v>
      </c>
      <c r="D40" s="22" t="str">
        <f>'Sheet2-PASTE HERE!'!K50</f>
        <v>Install insulation/vacuum rings - tack_x000D_
AND WELD</v>
      </c>
      <c r="E40" s="13">
        <f>'Sheet2-PASTE HERE!'!F50</f>
        <v>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shell_x000D_
INCL REPADS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8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INCL HOLE WATCH &amp; 2ND FLANGE ON NOZZ B</v>
      </c>
      <c r="E44" s="13">
        <f>'Sheet2-PASTE HERE!'!F54</f>
        <v>16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MOVE TANK</v>
      </c>
      <c r="B48" s="11"/>
      <c r="C48" s="17" t="str">
        <f>'Sheet2-PASTE HERE!'!I58</f>
        <v>.801</v>
      </c>
      <c r="D48" s="22" t="str">
        <f>'Sheet2-PASTE HERE!'!K58</f>
        <v>Move to shop test area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.910</v>
      </c>
      <c r="D49" s="22" t="str">
        <f>'Sheet2-PASTE HERE!'!K59</f>
        <v>Test tank</v>
      </c>
      <c r="E49" s="13">
        <f>'Sheet2-PASTE HERE!'!F59</f>
        <v>9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.QC7</v>
      </c>
      <c r="D50" s="22" t="str">
        <f>'Sheet2-PASTE HERE!'!K60</f>
        <v>QC Inspection - Test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.920</v>
      </c>
      <c r="D51" s="22" t="str">
        <f>'Sheet2-PASTE HERE!'!K61</f>
        <v>Clean tank complete</v>
      </c>
      <c r="E51" s="13">
        <f>'Sheet2-PASTE HERE!'!F61</f>
        <v>15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.QC8</v>
      </c>
      <c r="D52" s="22" t="str">
        <f>'Sheet2-PASTE HERE!'!K62</f>
        <v>QC Inspection - Clean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.940</v>
      </c>
      <c r="D53" s="22" t="str">
        <f>'Sheet2-PASTE HERE!'!K63</f>
        <v>Prepare tank for shipment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.QC95</v>
      </c>
      <c r="D54" s="22" t="str">
        <f>'Sheet2-PASTE HERE!'!K64</f>
        <v>QC Inspection - Final &amp; Loose Items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SHIPPING</v>
      </c>
      <c r="B55" s="11"/>
      <c r="C55" s="17" t="str">
        <f>'Sheet2-PASTE HERE!'!I65</f>
        <v>.960</v>
      </c>
      <c r="D55" s="22" t="str">
        <f>'Sheet2-PASTE HERE!'!K65</f>
        <v>Load on truck</v>
      </c>
      <c r="E55" s="13">
        <f>'Sheet2-PASTE HERE!'!F65</f>
        <v>3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 t="str">
        <f>'Sheet2-PASTE HERE!'!F67</f>
        <v/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184</v>
      </c>
      <c r="C1" s="8" t="s">
        <v>17</v>
      </c>
      <c r="D1" s="8" t="s">
        <v>185</v>
      </c>
      <c r="E1" s="8" t="s">
        <v>18</v>
      </c>
      <c r="F1" s="8" t="s">
        <v>186</v>
      </c>
      <c r="G1" s="8" t="s">
        <v>184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45519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177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49798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49799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49800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49801</v>
      </c>
      <c r="C20" s="19">
        <v>0</v>
      </c>
      <c r="D20" s="8" t="s">
        <v>83</v>
      </c>
      <c r="E20" s="20">
        <v>0</v>
      </c>
      <c r="F20" s="20">
        <v>7</v>
      </c>
      <c r="G20" s="8" t="s">
        <v>54</v>
      </c>
      <c r="H20" s="20">
        <v>7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49802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49803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49804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49805</v>
      </c>
      <c r="C24" s="19">
        <v>0</v>
      </c>
      <c r="D24" s="8" t="s">
        <v>95</v>
      </c>
      <c r="E24" s="20">
        <v>0</v>
      </c>
      <c r="F24" s="20">
        <v>4</v>
      </c>
      <c r="G24" s="8" t="s">
        <v>54</v>
      </c>
      <c r="H24" s="20">
        <v>4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49806</v>
      </c>
      <c r="C25" s="19">
        <v>0</v>
      </c>
      <c r="D25" s="8" t="s">
        <v>98</v>
      </c>
      <c r="E25" s="20">
        <v>0</v>
      </c>
      <c r="F25" s="20">
        <v>4</v>
      </c>
      <c r="G25" s="8" t="s">
        <v>54</v>
      </c>
      <c r="H25" s="20">
        <v>4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49807</v>
      </c>
      <c r="C26" s="19">
        <v>0</v>
      </c>
      <c r="D26" s="8" t="s">
        <v>187</v>
      </c>
      <c r="E26" s="20">
        <v>0</v>
      </c>
      <c r="F26" s="20">
        <v>8</v>
      </c>
      <c r="G26" s="8" t="s">
        <v>54</v>
      </c>
      <c r="H26" s="20">
        <v>8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49808</v>
      </c>
      <c r="C27" s="19">
        <v>0</v>
      </c>
      <c r="D27" s="8" t="s">
        <v>188</v>
      </c>
      <c r="E27" s="20">
        <v>0</v>
      </c>
      <c r="F27" s="20">
        <v>8</v>
      </c>
      <c r="G27" s="8" t="s">
        <v>54</v>
      </c>
      <c r="H27" s="20">
        <v>8</v>
      </c>
      <c r="I27" s="8" t="s">
        <v>189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49809</v>
      </c>
      <c r="C28" s="19">
        <v>0</v>
      </c>
      <c r="D28" s="8" t="s">
        <v>60</v>
      </c>
      <c r="E28" s="20">
        <v>0</v>
      </c>
      <c r="F28" s="20">
        <v>3</v>
      </c>
      <c r="G28" s="8" t="s">
        <v>54</v>
      </c>
      <c r="H28" s="20">
        <v>3</v>
      </c>
      <c r="I28" s="8" t="s">
        <v>61</v>
      </c>
      <c r="J28" s="19">
        <v>0</v>
      </c>
      <c r="K28" s="8" t="s">
        <v>190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49810</v>
      </c>
      <c r="C29" s="19">
        <v>0</v>
      </c>
      <c r="D29" s="8" t="s">
        <v>102</v>
      </c>
      <c r="E29" s="20">
        <v>0</v>
      </c>
      <c r="F29" s="20">
        <v>2</v>
      </c>
      <c r="G29" s="8" t="s">
        <v>54</v>
      </c>
      <c r="H29" s="20">
        <v>2</v>
      </c>
      <c r="I29" s="8" t="s">
        <v>103</v>
      </c>
      <c r="J29" s="19">
        <v>0</v>
      </c>
      <c r="K29" s="8" t="s">
        <v>164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49811</v>
      </c>
      <c r="C30" s="19">
        <v>0</v>
      </c>
      <c r="D30" s="8" t="s">
        <v>104</v>
      </c>
      <c r="E30" s="20">
        <v>0</v>
      </c>
      <c r="F30" s="20">
        <v>2</v>
      </c>
      <c r="G30" s="8" t="s">
        <v>54</v>
      </c>
      <c r="H30" s="20">
        <v>2</v>
      </c>
      <c r="I30" s="8" t="s">
        <v>105</v>
      </c>
      <c r="J30" s="19">
        <v>0</v>
      </c>
      <c r="K30" s="8" t="s">
        <v>106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49812</v>
      </c>
      <c r="C31" s="19">
        <v>0</v>
      </c>
      <c r="D31" s="8" t="s">
        <v>165</v>
      </c>
      <c r="E31" s="20">
        <v>0</v>
      </c>
      <c r="F31" s="20">
        <v>3</v>
      </c>
      <c r="G31" s="8" t="s">
        <v>54</v>
      </c>
      <c r="H31" s="20">
        <v>3</v>
      </c>
      <c r="I31" s="8" t="s">
        <v>166</v>
      </c>
      <c r="J31" s="19">
        <v>0</v>
      </c>
      <c r="K31" s="8" t="s">
        <v>167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49843</v>
      </c>
      <c r="C32" s="19">
        <v>0</v>
      </c>
      <c r="D32" s="8" t="s">
        <v>168</v>
      </c>
      <c r="E32" s="20">
        <v>0</v>
      </c>
      <c r="F32" s="20">
        <v>2</v>
      </c>
      <c r="G32" s="8" t="s">
        <v>54</v>
      </c>
      <c r="H32" s="20">
        <v>2</v>
      </c>
      <c r="I32" s="8" t="s">
        <v>169</v>
      </c>
      <c r="J32" s="19">
        <v>0</v>
      </c>
      <c r="K32" s="8" t="s">
        <v>191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49813</v>
      </c>
      <c r="C33" s="19">
        <v>0</v>
      </c>
      <c r="D33" s="8" t="s">
        <v>107</v>
      </c>
      <c r="E33" s="20">
        <v>0</v>
      </c>
      <c r="F33" s="20">
        <v>0</v>
      </c>
      <c r="G33" s="8" t="s">
        <v>54</v>
      </c>
      <c r="H33" s="20">
        <v>0</v>
      </c>
      <c r="I33" s="8" t="s">
        <v>108</v>
      </c>
      <c r="J33" s="19">
        <v>0</v>
      </c>
      <c r="K33" s="8" t="s">
        <v>107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49814</v>
      </c>
      <c r="C34" s="19">
        <v>0</v>
      </c>
      <c r="D34" s="8" t="s">
        <v>109</v>
      </c>
      <c r="E34" s="20">
        <v>0</v>
      </c>
      <c r="F34" s="20">
        <v>5</v>
      </c>
      <c r="G34" s="8" t="s">
        <v>54</v>
      </c>
      <c r="H34" s="20">
        <v>5</v>
      </c>
      <c r="I34" s="8" t="s">
        <v>110</v>
      </c>
      <c r="J34" s="19">
        <v>0</v>
      </c>
      <c r="K34" s="8" t="s">
        <v>192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49815</v>
      </c>
      <c r="C35" s="19">
        <v>0</v>
      </c>
      <c r="D35" s="8" t="s">
        <v>111</v>
      </c>
      <c r="E35" s="20">
        <v>0</v>
      </c>
      <c r="F35" s="20">
        <v>4</v>
      </c>
      <c r="G35" s="8" t="s">
        <v>54</v>
      </c>
      <c r="H35" s="20">
        <v>4</v>
      </c>
      <c r="I35" s="8" t="s">
        <v>112</v>
      </c>
      <c r="J35" s="19">
        <v>0</v>
      </c>
      <c r="K35" s="8" t="s">
        <v>193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49816</v>
      </c>
      <c r="C36" s="19">
        <v>0</v>
      </c>
      <c r="D36" s="8" t="s">
        <v>170</v>
      </c>
      <c r="E36" s="20">
        <v>0</v>
      </c>
      <c r="F36" s="20">
        <v>7</v>
      </c>
      <c r="G36" s="8" t="s">
        <v>54</v>
      </c>
      <c r="H36" s="20">
        <v>7</v>
      </c>
      <c r="I36" s="8" t="s">
        <v>171</v>
      </c>
      <c r="J36" s="19">
        <v>0</v>
      </c>
      <c r="K36" s="8" t="s">
        <v>172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49817</v>
      </c>
      <c r="C37" s="19">
        <v>0</v>
      </c>
      <c r="D37" s="8" t="s">
        <v>113</v>
      </c>
      <c r="E37" s="20">
        <v>0</v>
      </c>
      <c r="F37" s="20">
        <v>0</v>
      </c>
      <c r="G37" s="8" t="s">
        <v>54</v>
      </c>
      <c r="H37" s="20">
        <v>0</v>
      </c>
      <c r="I37" s="8" t="s">
        <v>114</v>
      </c>
      <c r="J37" s="19">
        <v>0</v>
      </c>
      <c r="K37" s="8" t="s">
        <v>115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49818</v>
      </c>
      <c r="C38" s="19">
        <v>0</v>
      </c>
      <c r="D38" s="8" t="s">
        <v>116</v>
      </c>
      <c r="E38" s="20">
        <v>0</v>
      </c>
      <c r="F38" s="20">
        <v>2</v>
      </c>
      <c r="G38" s="8" t="s">
        <v>54</v>
      </c>
      <c r="H38" s="20">
        <v>2</v>
      </c>
      <c r="I38" s="8" t="s">
        <v>117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49819</v>
      </c>
      <c r="C39" s="19">
        <v>0</v>
      </c>
      <c r="D39" s="8" t="s">
        <v>118</v>
      </c>
      <c r="E39" s="20">
        <v>0</v>
      </c>
      <c r="F39" s="20">
        <v>2</v>
      </c>
      <c r="G39" s="8" t="s">
        <v>54</v>
      </c>
      <c r="H39" s="20">
        <v>2</v>
      </c>
      <c r="I39" s="8" t="s">
        <v>119</v>
      </c>
      <c r="J39" s="19">
        <v>0</v>
      </c>
      <c r="K39" s="8" t="s">
        <v>120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49820</v>
      </c>
      <c r="C40" s="19">
        <v>0</v>
      </c>
      <c r="D40" s="8" t="s">
        <v>121</v>
      </c>
      <c r="E40" s="20">
        <v>0</v>
      </c>
      <c r="F40" s="20">
        <v>3</v>
      </c>
      <c r="G40" s="8" t="s">
        <v>54</v>
      </c>
      <c r="H40" s="20">
        <v>3</v>
      </c>
      <c r="I40" s="8" t="s">
        <v>122</v>
      </c>
      <c r="J40" s="19">
        <v>0</v>
      </c>
      <c r="K40" s="8" t="s">
        <v>195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49821</v>
      </c>
      <c r="C41" s="19">
        <v>0</v>
      </c>
      <c r="D41" s="8" t="s">
        <v>173</v>
      </c>
      <c r="E41" s="20">
        <v>0</v>
      </c>
      <c r="F41" s="20">
        <v>1</v>
      </c>
      <c r="G41" s="8" t="s">
        <v>54</v>
      </c>
      <c r="H41" s="20">
        <v>1</v>
      </c>
      <c r="I41" s="8" t="s">
        <v>174</v>
      </c>
      <c r="J41" s="19">
        <v>0</v>
      </c>
      <c r="K41" s="8" t="s">
        <v>196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49822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76</v>
      </c>
      <c r="B43" s="18">
        <v>49823</v>
      </c>
      <c r="C43" s="19">
        <v>0</v>
      </c>
      <c r="D43" s="8" t="s">
        <v>123</v>
      </c>
      <c r="E43" s="20">
        <v>0</v>
      </c>
      <c r="F43" s="20">
        <v>8</v>
      </c>
      <c r="G43" s="8" t="s">
        <v>54</v>
      </c>
      <c r="H43" s="20">
        <v>8</v>
      </c>
      <c r="I43" s="8" t="s">
        <v>124</v>
      </c>
      <c r="J43" s="19">
        <v>0</v>
      </c>
      <c r="K43" s="8" t="s">
        <v>197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76</v>
      </c>
      <c r="B44" s="18">
        <v>49824</v>
      </c>
      <c r="C44" s="19">
        <v>0</v>
      </c>
      <c r="D44" s="8" t="s">
        <v>175</v>
      </c>
      <c r="E44" s="20">
        <v>0</v>
      </c>
      <c r="F44" s="20">
        <v>3</v>
      </c>
      <c r="G44" s="8" t="s">
        <v>54</v>
      </c>
      <c r="H44" s="20">
        <v>3</v>
      </c>
      <c r="I44" s="8" t="s">
        <v>176</v>
      </c>
      <c r="J44" s="19">
        <v>0</v>
      </c>
      <c r="K44" s="8" t="s">
        <v>177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76</v>
      </c>
      <c r="B45" s="18">
        <v>49825</v>
      </c>
      <c r="C45" s="19">
        <v>0</v>
      </c>
      <c r="D45" s="8" t="s">
        <v>178</v>
      </c>
      <c r="E45" s="20">
        <v>0</v>
      </c>
      <c r="F45" s="20">
        <v>4</v>
      </c>
      <c r="G45" s="8" t="s">
        <v>54</v>
      </c>
      <c r="H45" s="20">
        <v>4</v>
      </c>
      <c r="I45" s="8" t="s">
        <v>179</v>
      </c>
      <c r="J45" s="19">
        <v>0</v>
      </c>
      <c r="K45" s="8" t="s">
        <v>180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76</v>
      </c>
      <c r="B46" s="18">
        <v>49826</v>
      </c>
      <c r="C46" s="19">
        <v>0</v>
      </c>
      <c r="D46" s="8" t="s">
        <v>125</v>
      </c>
      <c r="E46" s="20">
        <v>0</v>
      </c>
      <c r="F46" s="20">
        <v>3</v>
      </c>
      <c r="G46" s="8" t="s">
        <v>54</v>
      </c>
      <c r="H46" s="20">
        <v>3</v>
      </c>
      <c r="I46" s="8" t="s">
        <v>126</v>
      </c>
      <c r="J46" s="19">
        <v>0</v>
      </c>
      <c r="K46" s="8" t="s">
        <v>198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49827</v>
      </c>
      <c r="C47" s="19">
        <v>0</v>
      </c>
      <c r="D47" s="8" t="s">
        <v>127</v>
      </c>
      <c r="E47" s="20">
        <v>0</v>
      </c>
      <c r="F47" s="20">
        <v>0</v>
      </c>
      <c r="G47" s="8" t="s">
        <v>54</v>
      </c>
      <c r="H47" s="20">
        <v>0</v>
      </c>
      <c r="I47" s="8" t="s">
        <v>128</v>
      </c>
      <c r="J47" s="19">
        <v>0</v>
      </c>
      <c r="K47" s="8" t="s">
        <v>127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49828</v>
      </c>
      <c r="C48" s="19">
        <v>0</v>
      </c>
      <c r="D48" s="8" t="s">
        <v>129</v>
      </c>
      <c r="E48" s="20">
        <v>0</v>
      </c>
      <c r="F48" s="20">
        <v>6</v>
      </c>
      <c r="G48" s="8" t="s">
        <v>54</v>
      </c>
      <c r="H48" s="20">
        <v>6</v>
      </c>
      <c r="I48" s="8" t="s">
        <v>130</v>
      </c>
      <c r="J48" s="19">
        <v>0</v>
      </c>
      <c r="K48" s="8" t="s">
        <v>181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131</v>
      </c>
      <c r="B49" s="18">
        <v>49829</v>
      </c>
      <c r="C49" s="19">
        <v>0</v>
      </c>
      <c r="D49" s="8" t="s">
        <v>132</v>
      </c>
      <c r="E49" s="20">
        <v>0</v>
      </c>
      <c r="F49" s="20">
        <v>2</v>
      </c>
      <c r="G49" s="8" t="s">
        <v>54</v>
      </c>
      <c r="H49" s="20">
        <v>2</v>
      </c>
      <c r="I49" s="8" t="s">
        <v>133</v>
      </c>
      <c r="J49" s="19">
        <v>0</v>
      </c>
      <c r="K49" s="8" t="s">
        <v>134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76</v>
      </c>
      <c r="B50" s="18">
        <v>49844</v>
      </c>
      <c r="C50" s="19">
        <v>0</v>
      </c>
      <c r="D50" s="8" t="s">
        <v>199</v>
      </c>
      <c r="E50" s="20">
        <v>0</v>
      </c>
      <c r="F50" s="20">
        <v>5</v>
      </c>
      <c r="G50" s="8" t="s">
        <v>54</v>
      </c>
      <c r="H50" s="20">
        <v>5</v>
      </c>
      <c r="I50" s="8" t="s">
        <v>200</v>
      </c>
      <c r="J50" s="19">
        <v>0</v>
      </c>
      <c r="K50" s="8" t="s">
        <v>201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49830</v>
      </c>
      <c r="C51" s="19">
        <v>0</v>
      </c>
      <c r="D51" s="8" t="s">
        <v>62</v>
      </c>
      <c r="E51" s="20">
        <v>0</v>
      </c>
      <c r="F51" s="20">
        <v>3</v>
      </c>
      <c r="G51" s="8" t="s">
        <v>54</v>
      </c>
      <c r="H51" s="20">
        <v>3</v>
      </c>
      <c r="I51" s="8" t="s">
        <v>63</v>
      </c>
      <c r="J51" s="19">
        <v>0</v>
      </c>
      <c r="K51" s="8" t="s">
        <v>182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76</v>
      </c>
      <c r="B52" s="18">
        <v>49831</v>
      </c>
      <c r="C52" s="19">
        <v>0</v>
      </c>
      <c r="D52" s="8" t="s">
        <v>135</v>
      </c>
      <c r="E52" s="20">
        <v>0</v>
      </c>
      <c r="F52" s="20">
        <v>8</v>
      </c>
      <c r="G52" s="8" t="s">
        <v>54</v>
      </c>
      <c r="H52" s="20">
        <v>8</v>
      </c>
      <c r="I52" s="8" t="s">
        <v>136</v>
      </c>
      <c r="J52" s="19">
        <v>0</v>
      </c>
      <c r="K52" s="8" t="s">
        <v>183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49832</v>
      </c>
      <c r="C53" s="19">
        <v>0</v>
      </c>
      <c r="D53" s="8" t="s">
        <v>137</v>
      </c>
      <c r="E53" s="20">
        <v>0</v>
      </c>
      <c r="F53" s="20">
        <v>8</v>
      </c>
      <c r="G53" s="8" t="s">
        <v>54</v>
      </c>
      <c r="H53" s="20">
        <v>8</v>
      </c>
      <c r="I53" s="8" t="s">
        <v>138</v>
      </c>
      <c r="J53" s="19">
        <v>0</v>
      </c>
      <c r="K53" s="8" t="s">
        <v>202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49833</v>
      </c>
      <c r="C54" s="19">
        <v>0</v>
      </c>
      <c r="D54" s="8" t="s">
        <v>139</v>
      </c>
      <c r="E54" s="20">
        <v>0</v>
      </c>
      <c r="F54" s="20">
        <v>16</v>
      </c>
      <c r="G54" s="8" t="s">
        <v>54</v>
      </c>
      <c r="H54" s="20">
        <v>16</v>
      </c>
      <c r="I54" s="8" t="s">
        <v>140</v>
      </c>
      <c r="J54" s="19">
        <v>0</v>
      </c>
      <c r="K54" s="8" t="s">
        <v>203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64</v>
      </c>
      <c r="B55" s="18">
        <v>49834</v>
      </c>
      <c r="C55" s="19">
        <v>0</v>
      </c>
      <c r="D55" s="8" t="s">
        <v>141</v>
      </c>
      <c r="E55" s="20">
        <v>0</v>
      </c>
      <c r="F55" s="20">
        <v>1</v>
      </c>
      <c r="G55" s="8" t="s">
        <v>54</v>
      </c>
      <c r="H55" s="20">
        <v>1</v>
      </c>
      <c r="I55" s="8" t="s">
        <v>142</v>
      </c>
      <c r="J55" s="19">
        <v>0</v>
      </c>
      <c r="K55" s="8" t="s">
        <v>143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49835</v>
      </c>
      <c r="C56" s="19">
        <v>0</v>
      </c>
      <c r="D56" s="8" t="s">
        <v>144</v>
      </c>
      <c r="E56" s="20">
        <v>0</v>
      </c>
      <c r="F56" s="20">
        <v>1</v>
      </c>
      <c r="G56" s="8" t="s">
        <v>54</v>
      </c>
      <c r="H56" s="20">
        <v>1</v>
      </c>
      <c r="I56" s="8" t="s">
        <v>145</v>
      </c>
      <c r="J56" s="19">
        <v>0</v>
      </c>
      <c r="K56" s="8" t="s">
        <v>146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49836</v>
      </c>
      <c r="C57" s="19">
        <v>0</v>
      </c>
      <c r="D57" s="8" t="s">
        <v>147</v>
      </c>
      <c r="E57" s="20">
        <v>0</v>
      </c>
      <c r="F57" s="20">
        <v>0</v>
      </c>
      <c r="G57" s="8" t="s">
        <v>54</v>
      </c>
      <c r="H57" s="20">
        <v>0</v>
      </c>
      <c r="I57" s="8" t="s">
        <v>148</v>
      </c>
      <c r="J57" s="19">
        <v>0</v>
      </c>
      <c r="K57" s="8" t="s">
        <v>149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131</v>
      </c>
      <c r="B58" s="18">
        <v>49837</v>
      </c>
      <c r="C58" s="19">
        <v>0</v>
      </c>
      <c r="D58" s="8" t="s">
        <v>150</v>
      </c>
      <c r="E58" s="20">
        <v>0</v>
      </c>
      <c r="F58" s="20">
        <v>2</v>
      </c>
      <c r="G58" s="8" t="s">
        <v>54</v>
      </c>
      <c r="H58" s="20">
        <v>2</v>
      </c>
      <c r="I58" s="8" t="s">
        <v>151</v>
      </c>
      <c r="J58" s="19">
        <v>0</v>
      </c>
      <c r="K58" s="8" t="s">
        <v>152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64</v>
      </c>
      <c r="B59" s="18">
        <v>49838</v>
      </c>
      <c r="C59" s="19">
        <v>0</v>
      </c>
      <c r="D59" s="8" t="s">
        <v>153</v>
      </c>
      <c r="E59" s="20">
        <v>0</v>
      </c>
      <c r="F59" s="20">
        <v>9</v>
      </c>
      <c r="G59" s="8" t="s">
        <v>54</v>
      </c>
      <c r="H59" s="20">
        <v>9</v>
      </c>
      <c r="I59" s="8" t="s">
        <v>154</v>
      </c>
      <c r="J59" s="19">
        <v>0</v>
      </c>
      <c r="K59" s="8" t="s">
        <v>155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49839</v>
      </c>
      <c r="C60" s="19">
        <v>0</v>
      </c>
      <c r="D60" s="8" t="s">
        <v>156</v>
      </c>
      <c r="E60" s="20">
        <v>0</v>
      </c>
      <c r="F60" s="20">
        <v>0</v>
      </c>
      <c r="G60" s="8" t="s">
        <v>54</v>
      </c>
      <c r="H60" s="20">
        <v>0</v>
      </c>
      <c r="I60" s="8" t="s">
        <v>157</v>
      </c>
      <c r="J60" s="19">
        <v>0</v>
      </c>
      <c r="K60" s="8" t="s">
        <v>156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49845</v>
      </c>
      <c r="C61" s="19">
        <v>0</v>
      </c>
      <c r="D61" s="8" t="s">
        <v>158</v>
      </c>
      <c r="E61" s="20">
        <v>0</v>
      </c>
      <c r="F61" s="20">
        <v>15</v>
      </c>
      <c r="G61" s="8" t="s">
        <v>54</v>
      </c>
      <c r="H61" s="20">
        <v>15</v>
      </c>
      <c r="I61" s="8" t="s">
        <v>159</v>
      </c>
      <c r="J61" s="19">
        <v>0</v>
      </c>
      <c r="K61" s="8" t="s">
        <v>160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49840</v>
      </c>
      <c r="C62" s="19">
        <v>0</v>
      </c>
      <c r="D62" s="8" t="s">
        <v>161</v>
      </c>
      <c r="E62" s="20">
        <v>0</v>
      </c>
      <c r="F62" s="20">
        <v>0</v>
      </c>
      <c r="G62" s="8" t="s">
        <v>54</v>
      </c>
      <c r="H62" s="20">
        <v>0</v>
      </c>
      <c r="I62" s="8" t="s">
        <v>162</v>
      </c>
      <c r="J62" s="19">
        <v>0</v>
      </c>
      <c r="K62" s="8" t="s">
        <v>161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64</v>
      </c>
      <c r="B63" s="18">
        <v>49846</v>
      </c>
      <c r="C63" s="19">
        <v>0</v>
      </c>
      <c r="D63" s="8" t="s">
        <v>65</v>
      </c>
      <c r="E63" s="20">
        <v>0</v>
      </c>
      <c r="F63" s="20">
        <v>2</v>
      </c>
      <c r="G63" s="8" t="s">
        <v>54</v>
      </c>
      <c r="H63" s="20">
        <v>2</v>
      </c>
      <c r="I63" s="8" t="s">
        <v>66</v>
      </c>
      <c r="J63" s="19">
        <v>0</v>
      </c>
      <c r="K63" s="8" t="s">
        <v>163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49841</v>
      </c>
      <c r="C64" s="19">
        <v>0</v>
      </c>
      <c r="D64" s="8" t="s">
        <v>67</v>
      </c>
      <c r="E64" s="20">
        <v>0</v>
      </c>
      <c r="F64" s="20">
        <v>0</v>
      </c>
      <c r="G64" s="8" t="s">
        <v>54</v>
      </c>
      <c r="H64" s="20">
        <v>0</v>
      </c>
      <c r="I64" s="8" t="s">
        <v>68</v>
      </c>
      <c r="J64" s="19">
        <v>0</v>
      </c>
      <c r="K64" s="8" t="s">
        <v>69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70</v>
      </c>
      <c r="B65" s="18">
        <v>49842</v>
      </c>
      <c r="C65" s="19">
        <v>0</v>
      </c>
      <c r="D65" s="8" t="s">
        <v>71</v>
      </c>
      <c r="E65" s="20">
        <v>0</v>
      </c>
      <c r="F65" s="20">
        <v>3</v>
      </c>
      <c r="G65" s="8" t="s">
        <v>54</v>
      </c>
      <c r="H65" s="20">
        <v>3</v>
      </c>
      <c r="I65" s="8" t="s">
        <v>72</v>
      </c>
      <c r="J65" s="19">
        <v>0</v>
      </c>
      <c r="K65" s="8" t="s">
        <v>73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/>
    <row r="67" spans="1:14" ht="12.75" customHeight="1" x14ac:dyDescent="0.2">
      <c r="B67" s="8" t="s">
        <v>16</v>
      </c>
      <c r="C67" s="8" t="s">
        <v>184</v>
      </c>
      <c r="E67" s="8" t="s">
        <v>19</v>
      </c>
      <c r="F67" s="8" t="s">
        <v>19</v>
      </c>
      <c r="G67" s="8" t="s">
        <v>21</v>
      </c>
      <c r="H67" s="8" t="s">
        <v>19</v>
      </c>
      <c r="J67" s="8" t="s">
        <v>19</v>
      </c>
    </row>
    <row r="68" spans="1:14" ht="12.75" customHeight="1" x14ac:dyDescent="0.2"/>
    <row r="69" spans="1:14" ht="12.75" customHeight="1" x14ac:dyDescent="0.2"/>
    <row r="70" spans="1:14" ht="12.75" customHeight="1" x14ac:dyDescent="0.2"/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7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8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8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LIFT LUGS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.205</v>
      </c>
      <c r="C86" s="40" t="str">
        <f>'Build Plan w Hours'!D21</f>
        <v>Roll rim angle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.252</v>
      </c>
      <c r="C92" s="40" t="str">
        <f>'Build Plan w Hours'!D22</f>
        <v>Fabricate miscellaneous parts_x000D_
BUILD (2) PIPING HANGERS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.QC3</v>
      </c>
      <c r="C98" s="40" t="str">
        <f>'Build Plan w Hours'!D23</f>
        <v>UT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.305</v>
      </c>
      <c r="C104" s="40" t="str">
        <f>'Build Plan w Hours'!D24</f>
        <v>Shells: bring in plate, square, trim and clean_x000D_
PREP (1) DOUBLE SHELL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5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seams_x000D_
ROLL (1) DOUBLE SHELL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7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CUT HOLES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 _x000D_
***WATCH HEAT INPUT - DO NOT WARP TOP***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.450</v>
      </c>
      <c r="C146" s="40" t="str">
        <f>'Build Plan w Hours'!D31</f>
        <v>Build bottom head/cone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.600</v>
      </c>
      <c r="C158" s="40" t="str">
        <f>'Build Plan w Hours'!D33</f>
        <v>Fit bottom head to shell_x000D_
AND WELD INSIDE &amp; OUTSIDE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8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CLEAN UP HOLES CUT 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6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.800</v>
      </c>
      <c r="C194" s="40" t="str">
        <f>'Build Plan w Hours'!D39</f>
        <v>Move tank to detail rolls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.715</v>
      </c>
      <c r="C200" s="40" t="str">
        <f>'Build Plan w Hours'!D40</f>
        <v>Install insulation/vacuum rings - tack_x000D_
AND WELD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shell_x000D_
INCL REPADS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8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INCL HOLE WATCH &amp; 2ND FLANGE ON NOZZ B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16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.801</v>
      </c>
      <c r="C248" s="40" t="str">
        <f>'Build Plan w Hours'!D48</f>
        <v>Move to shop test area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.910</v>
      </c>
      <c r="C254" s="40" t="str">
        <f>'Build Plan w Hours'!D49</f>
        <v>Test tank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9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.QC7</v>
      </c>
      <c r="C260" s="40" t="str">
        <f>'Build Plan w Hours'!D50</f>
        <v>QC Inspection -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.920</v>
      </c>
      <c r="C266" s="40" t="str">
        <f>'Build Plan w Hours'!D51</f>
        <v>Clean tank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15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.QC8</v>
      </c>
      <c r="C272" s="40" t="str">
        <f>'Build Plan w Hours'!D52</f>
        <v>QC Inspection - Clean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.940</v>
      </c>
      <c r="C278" s="40" t="str">
        <f>'Build Plan w Hours'!D53</f>
        <v>Prepare tank for shipment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.QC95</v>
      </c>
      <c r="C284" s="40" t="str">
        <f>'Build Plan w Hours'!D54</f>
        <v>QC Inspection - Final &amp; Loose Items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.960</v>
      </c>
      <c r="C290" s="40" t="str">
        <f>'Build Plan w Hours'!D55</f>
        <v>Load on truck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3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 t="str">
        <f>'Build Plan w Hours'!E57</f>
        <v/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LIFT LUGS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.205</v>
      </c>
      <c r="C86" s="40" t="str">
        <f>'Build Plan w Hours'!D21</f>
        <v>Roll rim angle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.252</v>
      </c>
      <c r="C92" s="40" t="str">
        <f>'Build Plan w Hours'!D22</f>
        <v>Fabricate miscellaneous parts_x000D_
BUILD (2) PIPING HANGERS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.QC3</v>
      </c>
      <c r="C98" s="40" t="str">
        <f>'Build Plan w Hours'!D23</f>
        <v>UT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.305</v>
      </c>
      <c r="C104" s="40" t="str">
        <f>'Build Plan w Hours'!D24</f>
        <v>Shells: bring in plate, square, trim and clean_x000D_
PREP (1) DOUBLE SHELL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seams_x000D_
ROLL (1) DOUBLE SHELL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CUT HOLES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 _x000D_
***WATCH HEAT INPUT - DO NOT WARP TOP***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.450</v>
      </c>
      <c r="C146" s="40" t="str">
        <f>'Build Plan w Hours'!D31</f>
        <v>Build bottom head/cone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.600</v>
      </c>
      <c r="C158" s="40" t="str">
        <f>'Build Plan w Hours'!D33</f>
        <v>Fit bottom head to shell_x000D_
AND WELD INSIDE &amp; OUTSIDE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CLEAN UP HOLES CUT 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.800</v>
      </c>
      <c r="C194" s="40" t="str">
        <f>'Build Plan w Hours'!D39</f>
        <v>Move tank to detail rolls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.715</v>
      </c>
      <c r="C200" s="40" t="str">
        <f>'Build Plan w Hours'!D40</f>
        <v>Install insulation/vacuum rings - tack_x000D_
AND WELD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shell_x000D_
INCL REPADS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INCL HOLE WATCH &amp; 2ND FLANGE ON NOZZ B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.801</v>
      </c>
      <c r="C248" s="40" t="str">
        <f>'Build Plan w Hours'!D48</f>
        <v>Move to shop test area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.910</v>
      </c>
      <c r="C254" s="40" t="str">
        <f>'Build Plan w Hours'!D49</f>
        <v>Test tank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.QC7</v>
      </c>
      <c r="C260" s="40" t="str">
        <f>'Build Plan w Hours'!D50</f>
        <v>QC Inspection -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.920</v>
      </c>
      <c r="C266" s="40" t="str">
        <f>'Build Plan w Hours'!D51</f>
        <v>Clean tank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.QC8</v>
      </c>
      <c r="C272" s="40" t="str">
        <f>'Build Plan w Hours'!D52</f>
        <v>QC Inspection - Clean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.940</v>
      </c>
      <c r="C278" s="40" t="str">
        <f>'Build Plan w Hours'!D53</f>
        <v>Prepare tank for shipment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.QC95</v>
      </c>
      <c r="C284" s="40" t="str">
        <f>'Build Plan w Hours'!D54</f>
        <v>QC Inspection - Final &amp; Loose Items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.960</v>
      </c>
      <c r="C290" s="40" t="str">
        <f>'Build Plan w Hours'!D55</f>
        <v>Load on truck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045-24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045-24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2024-09-19T12:58:48Z</cp:lastPrinted>
  <dcterms:created xsi:type="dcterms:W3CDTF">2016-06-28T20:53:17Z</dcterms:created>
  <dcterms:modified xsi:type="dcterms:W3CDTF">2024-09-19T12:59:31Z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