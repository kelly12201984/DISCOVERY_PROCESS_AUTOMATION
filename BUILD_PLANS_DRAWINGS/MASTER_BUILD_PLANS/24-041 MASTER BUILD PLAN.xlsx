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41-24 - Sherwin Williams - Caulk Hold Tank\"/>
    </mc:Choice>
  </mc:AlternateContent>
  <xr:revisionPtr revIDLastSave="0" documentId="8_{EA925C4E-EC68-48F2-9C40-04EE5977061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Hours'!$A$1:$H$59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<sst xmlns="http://schemas.openxmlformats.org/spreadsheetml/2006/main" count="1726" uniqueCount="210">
  <si>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</si>
  <si>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</si>
  <si>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</si>
  <si>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</si>
  <si>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</si>
  <si>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</si>
  <si>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</si>
  <si>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</si>
  <si>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</si>
  <si>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</si>
  <si>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</si>
  <si>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</si>
  <si>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</si>
  <si>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</si>
  <si>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</si>
  <si>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</si>
  <si>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</si>
  <si>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</si>
  <si>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</si>
  <si>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</si>
  <si>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</si>
  <si>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</si>
  <si>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</si>
  <si>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</si>
  <si>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</si>
  <si>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</si>
  <si>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</si>
  <si>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</si>
  <si>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</si>
  <si>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</si>
  <si>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</si>
  <si>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</si>
  <si>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</si>
  <si>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</si>
  <si>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</si>
  <si>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</si>
  <si>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</si>
  <si>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</si>
  <si>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</si>
  <si>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</si>
  <si>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</si>
  <si>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</si>
  <si>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</si>
  <si>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</si>
  <si>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</si>
  <si>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</si>
  <si>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</si>
  <si>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</si>
  <si>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</si>
  <si>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</si>
  <si>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</si>
  <si>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</si>
  <si>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</si>
  <si>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</si>
  <si>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</si>
  <si>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</si>
  <si>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</si>
  <si>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</si>
  <si>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</si>
  <si>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</si>
  <si>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Build Supports</t>
  </si>
  <si>
    <t>.165</t>
  </si>
  <si>
    <t>FINISHING</t>
  </si>
  <si>
    <t>Prepare Tank for Shipment</t>
  </si>
  <si>
    <t>.940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</si>
  <si>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</si>
  <si>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</si>
  <si>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</si>
  <si>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</si>
  <si>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</si>
  <si>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</si>
  <si>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</si>
  <si>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</si>
  <si>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</si>
  <si>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</si>
  <si>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</si>
  <si>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</si>
  <si>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</si>
  <si>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</si>
  <si>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</si>
  <si>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Cut nozzle pipe and clean</t>
  </si>
  <si>
    <t>Build Nozzles-Weld</t>
  </si>
  <si>
    <t>.105</t>
  </si>
  <si>
    <t>Build nozzles and weld</t>
  </si>
  <si>
    <t>Burn and clean parts:  lugs, supports, repads, base ring, etc. (CHECK!)</t>
  </si>
  <si>
    <t>Roll Repads-Drill &amp; Tap</t>
  </si>
  <si>
    <t>.170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</si>
  <si>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</si>
  <si>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</si>
  <si>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</si>
  <si>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</si>
  <si>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</si>
  <si>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</si>
  <si>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</si>
  <si>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</si>
  <si>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</si>
  <si>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QC Inspection -Top/Bot/Co</t>
  </si>
  <si>
    <t>.QC4</t>
  </si>
  <si>
    <t>QC Inspection - Top/Bottom/Cones</t>
  </si>
  <si>
    <t>L/O Top, B&amp;C Holes</t>
  </si>
  <si>
    <t>.355</t>
  </si>
  <si>
    <t>Set Nozzles &amp; Lugs - Top</t>
  </si>
  <si>
    <t>.365</t>
  </si>
  <si>
    <t>Set  nozzles, lift lugs, etc. in top head - tack</t>
  </si>
  <si>
    <t>Weld Nozzles - Top Head</t>
  </si>
  <si>
    <t>.366</t>
  </si>
  <si>
    <t>Weld out top head nozzles, etc.</t>
  </si>
  <si>
    <t>Fit Bottom Head to Shell</t>
  </si>
  <si>
    <t>.600</t>
  </si>
  <si>
    <t>L/O Shell, B&amp;C Holes</t>
  </si>
  <si>
    <t>.620</t>
  </si>
  <si>
    <t>QC Inspection - Internal</t>
  </si>
  <si>
    <t>.QC5</t>
  </si>
  <si>
    <t>Fit Top to Shell</t>
  </si>
  <si>
    <t>.640</t>
  </si>
  <si>
    <t>MOVE TANK</t>
  </si>
  <si>
    <t>Move Tank to Detail Rolls</t>
  </si>
  <si>
    <t>.800</t>
  </si>
  <si>
    <t>Move tank to detail rolls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</si>
  <si>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</si>
  <si>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</si>
  <si>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</si>
  <si>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</si>
  <si>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</si>
  <si>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</si>
  <si>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</si>
  <si>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</si>
  <si>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</si>
  <si>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</si>
  <si>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</si>
  <si>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</si>
  <si>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</si>
  <si>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</si>
  <si>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</si>
  <si>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</si>
  <si>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</si>
  <si>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</si>
  <si>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</si>
  <si>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</si>
  <si>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</si>
  <si>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</si>
  <si>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</si>
  <si>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</si>
  <si>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</si>
  <si>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</si>
  <si>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</si>
  <si>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</si>
  <si>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</si>
  <si>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</si>
  <si>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Prepare tank for shipment</t>
  </si>
  <si>
    <t>Fab Miscellaneous Parts</t>
  </si>
  <si>
    <t>.252</t>
  </si>
  <si>
    <t>Build Bottom Head/Cone</t>
  </si>
  <si>
    <t>.450</t>
  </si>
  <si>
    <t>CAULK HOLD TANK</t>
  </si>
  <si>
    <t>USPO1108854</t>
  </si>
  <si>
    <t>8656.1</t>
  </si>
  <si>
    <t>Cut Parts on Burn Table</t>
  </si>
  <si>
    <t>Clean &amp; Prep Parts</t>
  </si>
  <si>
    <t>.156</t>
  </si>
  <si>
    <t>Build supports: legs, lugs, saddles</t>
  </si>
  <si>
    <t>Roll repads: drill and tap</t>
  </si>
  <si>
    <t>Fabricate miscellaneous parts_x000D_
CUT ROUND BAR FOR MANWAY</t>
  </si>
  <si>
    <t>QC Inspection - Pre Sub C</t>
  </si>
  <si>
    <t>.QC2</t>
  </si>
  <si>
    <t>QC Inspection - Components prior to shipping to Subcontractor</t>
  </si>
  <si>
    <t>Wrap Top &amp; Bottom Heads</t>
  </si>
  <si>
    <t>.300</t>
  </si>
  <si>
    <t>Wrap top and bottom heads</t>
  </si>
  <si>
    <t>Shells: bring in plate, square, trim and clean_x000D_
PREP (1) DOUBLE SHELL</t>
  </si>
  <si>
    <t>Roll shells, tack and weld inside seams_x000D_
ROLL (1) DOUBLE SHELL</t>
  </si>
  <si>
    <t>Lay out top head, burn and clean holes_x000D_
CUT ON BURN TABLE</t>
  </si>
  <si>
    <t>Install Top Stiffeners</t>
  </si>
  <si>
    <t>.375</t>
  </si>
  <si>
    <t>Install top stiffeners_x000D_
INSTALL ROUND BAR IN MANWAY OPENING</t>
  </si>
  <si>
    <t>Build bottom head/cone_x000D_
ROLL/FORM BOTTOM CONE, FIT &amp; WELD COMPLETE</t>
  </si>
  <si>
    <t>Set Nozzles - Bottom Head</t>
  </si>
  <si>
    <t>.465</t>
  </si>
  <si>
    <t>Set  nozzles in bottom head - tack</t>
  </si>
  <si>
    <t>Weld Nozzles - Bot. Head</t>
  </si>
  <si>
    <t>.466</t>
  </si>
  <si>
    <t>Weld nozzles in bottom head; weld complete</t>
  </si>
  <si>
    <t>ASME Hold Point</t>
  </si>
  <si>
    <t>.OI1</t>
  </si>
  <si>
    <t>Fit bottom head to shell_x000D_
AND WELD INSIDE</t>
  </si>
  <si>
    <t>Lay out shell, burn and clean holes</t>
  </si>
  <si>
    <t>Fit top head to shell - tack</t>
  </si>
  <si>
    <t>Weld top to shell</t>
  </si>
  <si>
    <t>.641</t>
  </si>
  <si>
    <t>Weld top head to shell - inside_x000D_
INCL HOLE WATCH</t>
  </si>
  <si>
    <t>Weld all Outside Seams</t>
  </si>
  <si>
    <t>.645</t>
  </si>
  <si>
    <t>Weld all outside seams</t>
  </si>
  <si>
    <t>Install supports - legs, lugs, anchors, saddles, skirt</t>
  </si>
  <si>
    <t>Set nozzles in shell - tack</t>
  </si>
  <si>
    <t>Weld shell nozzles, manways, etc._x000D_
INCL HOLE WATCH</t>
  </si>
  <si>
    <t>UT Components</t>
  </si>
  <si>
    <t>.QC51</t>
  </si>
  <si>
    <t>Customer Inspection</t>
  </si>
  <si>
    <t>.OI4</t>
  </si>
  <si>
    <t>ASME Inspection Internal</t>
  </si>
  <si>
    <t>.OI2</t>
  </si>
  <si>
    <t>Move to Paint Area</t>
  </si>
  <si>
    <t>.802</t>
  </si>
  <si>
    <t>Move to paint area</t>
  </si>
  <si>
    <t>QC Inspection - Sandblast</t>
  </si>
  <si>
    <t>.QC9</t>
  </si>
  <si>
    <t>QC Inspection - Paint</t>
  </si>
  <si>
    <t>.QC90</t>
  </si>
  <si>
    <t>041-24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</si>
</sst>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59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CAULK HOLD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7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 t="str">
        <f>'Sheet2-PASTE HERE!'!K22</f>
        <v/>
      </c>
      <c r="E12" s="13">
        <f>'Sheet2-PASTE HERE!'!F22</f>
        <v>6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.165</v>
      </c>
      <c r="D13" s="22" t="str">
        <f>'Sheet2-PASTE HERE!'!K23</f>
        <v>Build supports: legs, lugs, saddles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.170</v>
      </c>
      <c r="D14" s="22" t="str">
        <f>'Sheet2-PASTE HERE!'!K24</f>
        <v>Roll repads: drill and tap</v>
      </c>
      <c r="E14" s="13">
        <f>'Sheet2-PASTE HERE!'!F24</f>
        <v>3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.200</v>
      </c>
      <c r="D15" s="22" t="str">
        <f>'Sheet2-PASTE HERE!'!K25</f>
        <v>Make lift lugs, ground lugs, etc.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.252</v>
      </c>
      <c r="D16" s="22" t="str">
        <f>'Sheet2-PASTE HERE!'!K26</f>
        <v>Fabricate miscellaneous parts_x000D_
CUT ROUND BAR FOR MANWAY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.QC2</v>
      </c>
      <c r="D17" s="22" t="str">
        <f>'Sheet2-PASTE HERE!'!K27</f>
        <v>QC Inspection - Components prior to shipping to Subcontractor</v>
      </c>
      <c r="E17" s="13">
        <f>'Sheet2-PASTE HERE!'!F27</f>
        <v>0</v>
      </c>
      <c r="F17" s="12"/>
      <c r="G17" s="12"/>
      <c r="H17" s="12"/>
      <c r="K17">
        <f t="shared" ref="K17:K80" si="2">IF(A17="INSPECTION",1,0)</f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.300</v>
      </c>
      <c r="D18" s="22" t="str">
        <f>'Sheet2-PASTE HERE!'!K28</f>
        <v>Wrap top and bottom heads</v>
      </c>
      <c r="E18" s="13">
        <f>'Sheet2-PASTE HERE!'!F28</f>
        <v>1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INSPECTION</v>
      </c>
      <c r="B19" s="11"/>
      <c r="C19" s="17" t="str">
        <f>'Sheet2-PASTE HERE!'!I29</f>
        <v>.QC3</v>
      </c>
      <c r="D19" s="22" t="str">
        <f>'Sheet2-PASTE HERE!'!K29</f>
        <v>UT Shells</v>
      </c>
      <c r="E19" s="13">
        <f>'Sheet2-PASTE HERE!'!F29</f>
        <v>0</v>
      </c>
      <c r="F19" s="12"/>
      <c r="G19" s="12"/>
      <c r="H19" s="12"/>
      <c r="K19">
        <f t="shared" si="2"/>
        <v>1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.305</v>
      </c>
      <c r="D20" s="22" t="str">
        <f>'Sheet2-PASTE HERE!'!K30</f>
        <v>Shells: bring in plate, square, trim and clean_x000D_
PREP (1) DOUBLE SHELL</v>
      </c>
      <c r="E20" s="13">
        <f>'Sheet2-PASTE HERE!'!F30</f>
        <v>5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ROLL (1) DOUBLE SHELL</v>
      </c>
      <c r="E21" s="13">
        <f>'Sheet2-PASTE HERE!'!F31</f>
        <v>4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2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holes_x000D_
CUT ON BURN TABLE</v>
      </c>
      <c r="E23" s="13">
        <f>'Sheet2-PASTE HERE!'!F33</f>
        <v>3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.365</v>
      </c>
      <c r="D24" s="22" t="str">
        <f>'Sheet2-PASTE HERE!'!K34</f>
        <v>Set  nozzles, lift lugs, etc. in top head - tack</v>
      </c>
      <c r="E24" s="13">
        <f>'Sheet2-PASTE HERE!'!F34</f>
        <v>4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.366</v>
      </c>
      <c r="D25" s="22" t="str">
        <f>'Sheet2-PASTE HERE!'!K35</f>
        <v>Weld out top head nozzles, etc.</v>
      </c>
      <c r="E25" s="13">
        <f>'Sheet2-PASTE HERE!'!F35</f>
        <v>7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.375</v>
      </c>
      <c r="D26" s="22" t="str">
        <f>'Sheet2-PASTE HERE!'!K36</f>
        <v>Install top stiffeners_x000D_
INSTALL ROUND BAR IN MANWAY OPENING</v>
      </c>
      <c r="E26" s="13">
        <f>'Sheet2-PASTE HERE!'!F36</f>
        <v>2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.450</v>
      </c>
      <c r="D27" s="22" t="str">
        <f>'Sheet2-PASTE HERE!'!K37</f>
        <v>Build bottom head/cone_x000D_
ROLL/FORM BOTTOM CONE, FIT &amp; WELD COMPLETE</v>
      </c>
      <c r="E27" s="13">
        <f>'Sheet2-PASTE HERE!'!F37</f>
        <v>24</v>
      </c>
      <c r="F27" s="12"/>
      <c r="G27" s="12"/>
      <c r="H27" s="12"/>
      <c r="K27">
        <f t="shared" si="2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.465</v>
      </c>
      <c r="D29" s="22" t="str">
        <f>'Sheet2-PASTE HERE!'!K39</f>
        <v>Set  nozzles in bottom head - tack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.466</v>
      </c>
      <c r="D30" s="22" t="str">
        <f>'Sheet2-PASTE HERE!'!K40</f>
        <v>Weld nozzles in bottom head; weld complete</v>
      </c>
      <c r="E30" s="13">
        <f>'Sheet2-PASTE HERE!'!F40</f>
        <v>2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.OI1</v>
      </c>
      <c r="D31" s="22" t="str">
        <f>'Sheet2-PASTE HERE!'!K41</f>
        <v>ASME Hold Point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1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.600</v>
      </c>
      <c r="D32" s="22" t="str">
        <f>'Sheet2-PASTE HERE!'!K42</f>
        <v>Fit bottom head to shell_x000D_
AND WELD INSIDE</v>
      </c>
      <c r="E32" s="13">
        <f>'Sheet2-PASTE HERE!'!F42</f>
        <v>8</v>
      </c>
      <c r="F32" s="12"/>
      <c r="G32" s="12"/>
      <c r="H32" s="12"/>
      <c r="K32">
        <f t="shared" si="2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.620</v>
      </c>
      <c r="D33" s="22" t="str">
        <f>'Sheet2-PASTE HERE!'!K43</f>
        <v>Lay out shell, burn and clean holes</v>
      </c>
      <c r="E33" s="13">
        <f>'Sheet2-PASTE HERE!'!F43</f>
        <v>1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.QC5</v>
      </c>
      <c r="D34" s="22" t="str">
        <f>'Sheet2-PASTE HERE!'!K44</f>
        <v>QC Inspection - Internal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.640</v>
      </c>
      <c r="D35" s="22" t="str">
        <f>'Sheet2-PASTE HERE!'!K45</f>
        <v>Fit top head to shell - tack</v>
      </c>
      <c r="E35" s="13">
        <f>'Sheet2-PASTE HERE!'!F45</f>
        <v>4</v>
      </c>
      <c r="F35" s="12"/>
      <c r="G35" s="12"/>
      <c r="H35" s="12"/>
      <c r="K35">
        <f t="shared" si="2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.641</v>
      </c>
      <c r="D36" s="22" t="str">
        <f>'Sheet2-PASTE HERE!'!K46</f>
        <v>Weld top head to shell - inside_x000D_
INCL HOLE WATCH</v>
      </c>
      <c r="E36" s="13">
        <f>'Sheet2-PASTE HERE!'!F46</f>
        <v>7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.645</v>
      </c>
      <c r="D37" s="22" t="str">
        <f>'Sheet2-PASTE HERE!'!K47</f>
        <v>Weld all outside seams</v>
      </c>
      <c r="E37" s="13">
        <f>'Sheet2-PASTE HERE!'!F47</f>
        <v>12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MOVE TANK</v>
      </c>
      <c r="B38" s="11"/>
      <c r="C38" s="17" t="str">
        <f>'Sheet2-PASTE HERE!'!I48</f>
        <v>.800</v>
      </c>
      <c r="D38" s="22" t="str">
        <f>'Sheet2-PASTE HERE!'!K48</f>
        <v>Move tank to detail rolls</v>
      </c>
      <c r="E38" s="13">
        <f>'Sheet2-PASTE HERE!'!F48</f>
        <v>2</v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.720</v>
      </c>
      <c r="D39" s="22" t="str">
        <f>'Sheet2-PASTE HERE!'!K49</f>
        <v>Install supports - legs, lugs, anchors, saddles, skirt</v>
      </c>
      <c r="E39" s="13">
        <f>'Sheet2-PASTE HERE!'!F49</f>
        <v>16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.725</v>
      </c>
      <c r="D40" s="22" t="str">
        <f>'Sheet2-PASTE HERE!'!K50</f>
        <v>Set nozzles in shell - tack</v>
      </c>
      <c r="E40" s="13">
        <f>'Sheet2-PASTE HERE!'!F50</f>
        <v>1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.726</v>
      </c>
      <c r="D41" s="22" t="str">
        <f>'Sheet2-PASTE HERE!'!K51</f>
        <v>Weld shell nozzles, manways, etc._x000D_
INCL HOLE WATCH</v>
      </c>
      <c r="E41" s="13">
        <f>'Sheet2-PASTE HERE!'!F51</f>
        <v>3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.QC51</v>
      </c>
      <c r="D42" s="22" t="str">
        <f>'Sheet2-PASTE HERE!'!K52</f>
        <v>UT Components</v>
      </c>
      <c r="E42" s="13">
        <f>'Sheet2-PASTE HERE!'!F52</f>
        <v>0</v>
      </c>
      <c r="F42" s="12"/>
      <c r="G42" s="12"/>
      <c r="H42" s="12"/>
      <c r="K42">
        <f t="shared" si="2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.765</v>
      </c>
      <c r="D43" s="22" t="str">
        <f>'Sheet2-PASTE HERE!'!K53</f>
        <v>Install name tag</v>
      </c>
      <c r="E43" s="13">
        <f>'Sheet2-PASTE HERE!'!F53</f>
        <v>1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.770</v>
      </c>
      <c r="D44" s="22" t="str">
        <f>'Sheet2-PASTE HERE!'!K54</f>
        <v>Inspect tank, make repairs, get QC inspector</v>
      </c>
      <c r="E44" s="13">
        <f>'Sheet2-PASTE HERE!'!F54</f>
        <v>1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.QC6</v>
      </c>
      <c r="D45" s="22" t="str">
        <f>'Sheet2-PASTE HERE!'!K55</f>
        <v>QC Inspection - Fabrication</v>
      </c>
      <c r="E45" s="13">
        <f>'Sheet2-PASTE HERE!'!F55</f>
        <v>0</v>
      </c>
      <c r="F45" s="12"/>
      <c r="G45" s="12"/>
      <c r="H45" s="12"/>
      <c r="K45">
        <f t="shared" si="2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.OI4</v>
      </c>
      <c r="D46" s="22" t="str">
        <f>'Sheet2-PASTE HERE!'!K56</f>
        <v>Customer Inspection</v>
      </c>
      <c r="E46" s="13">
        <f>'Sheet2-PASTE HERE!'!F56</f>
        <v>0</v>
      </c>
      <c r="F46" s="12"/>
      <c r="G46" s="12"/>
      <c r="H46" s="12"/>
      <c r="K46">
        <f t="shared" si="2"/>
        <v>1</v>
      </c>
      <c r="L46">
        <f t="shared" si="1"/>
        <v>1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.OI2</v>
      </c>
      <c r="D47" s="22" t="str">
        <f>'Sheet2-PASTE HERE!'!K57</f>
        <v>ASME Inspection Internal</v>
      </c>
      <c r="E47" s="13">
        <f>'Sheet2-PASTE HERE!'!F57</f>
        <v>0</v>
      </c>
      <c r="F47" s="12"/>
      <c r="G47" s="12"/>
      <c r="H47" s="12"/>
      <c r="K47">
        <f t="shared" si="2"/>
        <v>1</v>
      </c>
      <c r="L47">
        <f t="shared" si="1"/>
        <v>1</v>
      </c>
    </row>
    <row r="48" spans="1:12" ht="26.25" customHeight="1" x14ac:dyDescent="0.2">
      <c r="A48" s="10" t="str">
        <f>'Sheet2-PASTE HERE!'!A58</f>
        <v>MOVE TANK</v>
      </c>
      <c r="B48" s="11"/>
      <c r="C48" s="17" t="str">
        <f>'Sheet2-PASTE HERE!'!I58</f>
        <v>.801</v>
      </c>
      <c r="D48" s="22" t="str">
        <f>'Sheet2-PASTE HERE!'!K58</f>
        <v>Move to shop test area</v>
      </c>
      <c r="E48" s="13">
        <f>'Sheet2-PASTE HERE!'!F58</f>
        <v>2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.910</v>
      </c>
      <c r="D49" s="22" t="str">
        <f>'Sheet2-PASTE HERE!'!K59</f>
        <v>Test tank</v>
      </c>
      <c r="E49" s="13">
        <f>'Sheet2-PASTE HERE!'!F59</f>
        <v>8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.QC7</v>
      </c>
      <c r="D50" s="22" t="str">
        <f>'Sheet2-PASTE HERE!'!K60</f>
        <v>QC Inspection - Test</v>
      </c>
      <c r="E50" s="13">
        <f>'Sheet2-PASTE HERE!'!F60</f>
        <v>0</v>
      </c>
      <c r="F50" s="12"/>
      <c r="G50" s="12"/>
      <c r="H50" s="12"/>
      <c r="K50">
        <f t="shared" si="2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.OI3</v>
      </c>
      <c r="D51" s="22" t="str">
        <f>'Sheet2-PASTE HERE!'!K61</f>
        <v>ASME Inspection Test</v>
      </c>
      <c r="E51" s="13">
        <f>'Sheet2-PASTE HERE!'!F61</f>
        <v>0</v>
      </c>
      <c r="F51" s="12"/>
      <c r="G51" s="12"/>
      <c r="H51" s="12"/>
      <c r="K51">
        <f t="shared" si="2"/>
        <v>1</v>
      </c>
      <c r="L51">
        <f t="shared" si="1"/>
        <v>1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.920</v>
      </c>
      <c r="D52" s="22" t="str">
        <f>'Sheet2-PASTE HERE!'!K62</f>
        <v>Clean tank complete</v>
      </c>
      <c r="E52" s="13">
        <f>'Sheet2-PASTE HERE!'!F62</f>
        <v>22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.QC8</v>
      </c>
      <c r="D53" s="22" t="str">
        <f>'Sheet2-PASTE HERE!'!K63</f>
        <v>QC Inspection - Clean</v>
      </c>
      <c r="E53" s="13">
        <f>'Sheet2-PASTE HERE!'!F63</f>
        <v>0</v>
      </c>
      <c r="F53" s="12"/>
      <c r="G53" s="12"/>
      <c r="H53" s="12"/>
      <c r="K53">
        <f t="shared" si="2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MOVE TANK</v>
      </c>
      <c r="B54" s="11"/>
      <c r="C54" s="17" t="str">
        <f>'Sheet2-PASTE HERE!'!I64</f>
        <v>.802</v>
      </c>
      <c r="D54" s="22" t="str">
        <f>'Sheet2-PASTE HERE!'!K64</f>
        <v>Move to paint area</v>
      </c>
      <c r="E54" s="13">
        <f>'Sheet2-PASTE HERE!'!F64</f>
        <v>2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</v>
      </c>
      <c r="D55" s="22" t="str">
        <f>'Sheet2-PASTE HERE!'!K65</f>
        <v>QC Inspection - Sandblast</v>
      </c>
      <c r="E55" s="13">
        <f>'Sheet2-PASTE HERE!'!F65</f>
        <v>0</v>
      </c>
      <c r="F55" s="12"/>
      <c r="G55" s="12"/>
      <c r="H55" s="12"/>
      <c r="K55">
        <f t="shared" si="2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.QC90</v>
      </c>
      <c r="D56" s="22" t="str">
        <f>'Sheet2-PASTE HERE!'!K66</f>
        <v>QC Inspection - Paint</v>
      </c>
      <c r="E56" s="13">
        <f>'Sheet2-PASTE HERE!'!F66</f>
        <v>0</v>
      </c>
      <c r="F56" s="12"/>
      <c r="G56" s="12"/>
      <c r="H56" s="12"/>
      <c r="K56">
        <f t="shared" si="2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.940</v>
      </c>
      <c r="D57" s="22" t="str">
        <f>'Sheet2-PASTE HERE!'!K67</f>
        <v>Prepare tank for shipment</v>
      </c>
      <c r="E57" s="13">
        <f>'Sheet2-PASTE HERE!'!F67</f>
        <v>2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.QC95</v>
      </c>
      <c r="D58" s="22" t="str">
        <f>'Sheet2-PASTE HERE!'!K68</f>
        <v>QC Inspection - Final &amp; Loose Items</v>
      </c>
      <c r="E58" s="13">
        <f>'Sheet2-PASTE HERE!'!F68</f>
        <v>0</v>
      </c>
      <c r="F58" s="12"/>
      <c r="G58" s="12"/>
      <c r="H58" s="12"/>
      <c r="K58">
        <f t="shared" si="2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SHIPPING</v>
      </c>
      <c r="B59" s="11"/>
      <c r="C59" s="17" t="str">
        <f>'Sheet2-PASTE HERE!'!I69</f>
        <v>.960</v>
      </c>
      <c r="D59" s="22" t="str">
        <f>'Sheet2-PASTE HERE!'!K69</f>
        <v>Load on truck</v>
      </c>
      <c r="E59" s="13">
        <f>'Sheet2-PASTE HERE!'!F69</f>
        <v>3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 t="str">
        <f>'Sheet2-PASTE HERE!'!F71</f>
        <v/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B1" sqref="B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209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CAULK HOLD TANK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.105</v>
      </c>
      <c r="D10" s="22" t="str">
        <f>'Sheet2-PASTE HERE!'!K20</f>
        <v>Build nozzles and weld</v>
      </c>
      <c r="E10" s="13">
        <f>'Sheet2-PASTE HERE!'!F20</f>
        <v>4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.155</v>
      </c>
      <c r="D11" s="22" t="str">
        <f>'Sheet2-PASTE HERE!'!K21</f>
        <v>Burn and clean parts:  lugs, supports, repads, base ring, etc. (CHECK!)</v>
      </c>
      <c r="E11" s="13">
        <f>'Sheet2-PASTE HERE!'!F21</f>
        <v>7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.156</v>
      </c>
      <c r="D12" s="22" t="str">
        <f>'Sheet2-PASTE HERE!'!K22</f>
        <v/>
      </c>
      <c r="E12" s="13">
        <f>'Sheet2-PASTE HERE!'!F22</f>
        <v>6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.165</v>
      </c>
      <c r="D13" s="22" t="str">
        <f>'Sheet2-PASTE HERE!'!K23</f>
        <v>Build supports: legs, lugs, saddles</v>
      </c>
      <c r="E13" s="13">
        <f>'Sheet2-PASTE HERE!'!F23</f>
        <v>8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PRE FAB</v>
      </c>
      <c r="B14" s="11"/>
      <c r="C14" s="17" t="str">
        <f>'Sheet2-PASTE HERE!'!I24</f>
        <v>.170</v>
      </c>
      <c r="D14" s="22" t="str">
        <f>'Sheet2-PASTE HERE!'!K24</f>
        <v>Roll repads: drill and tap</v>
      </c>
      <c r="E14" s="13">
        <f>'Sheet2-PASTE HERE!'!F24</f>
        <v>3</v>
      </c>
      <c r="F14" s="12"/>
      <c r="G14" s="12"/>
      <c r="H14" s="12"/>
      <c r="K14">
        <f t="shared" si="0"/>
        <v>0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.200</v>
      </c>
      <c r="D15" s="22" t="str">
        <f>'Sheet2-PASTE HERE!'!K25</f>
        <v>Make lift lugs, ground lugs, etc.</v>
      </c>
      <c r="E15" s="13">
        <f>'Sheet2-PASTE HERE!'!F25</f>
        <v>2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.252</v>
      </c>
      <c r="D16" s="22" t="str">
        <f>'Sheet2-PASTE HERE!'!K26</f>
        <v>Fabricate miscellaneous parts_x000D_
CUT ROUND BAR FOR MANWAY</v>
      </c>
      <c r="E16" s="13">
        <f>'Sheet2-PASTE HERE!'!F26</f>
        <v>2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INSPECTION</v>
      </c>
      <c r="B17" s="11"/>
      <c r="C17" s="17" t="str">
        <f>'Sheet2-PASTE HERE!'!I27</f>
        <v>.QC2</v>
      </c>
      <c r="D17" s="22" t="str">
        <f>'Sheet2-PASTE HERE!'!K27</f>
        <v>QC Inspection - Components prior to shipping to Subcontractor</v>
      </c>
      <c r="E17" s="13">
        <f>'Sheet2-PASTE HERE!'!F27</f>
        <v>0</v>
      </c>
      <c r="F17" s="12"/>
      <c r="G17" s="12"/>
      <c r="H17" s="12"/>
      <c r="K17">
        <f t="shared" si="0"/>
        <v>1</v>
      </c>
      <c r="L17">
        <f t="shared" si="1"/>
        <v>0</v>
      </c>
    </row>
    <row r="18" spans="1:12" ht="26.25" customHeight="1" x14ac:dyDescent="0.2">
      <c r="A18" s="10" t="str">
        <f>'Sheet2-PASTE HERE!'!A28</f>
        <v>PRE FAB</v>
      </c>
      <c r="B18" s="11"/>
      <c r="C18" s="17" t="str">
        <f>'Sheet2-PASTE HERE!'!I28</f>
        <v>.300</v>
      </c>
      <c r="D18" s="22" t="str">
        <f>'Sheet2-PASTE HERE!'!K28</f>
        <v>Wrap top and bottom heads</v>
      </c>
      <c r="E18" s="13">
        <f>'Sheet2-PASTE HERE!'!F28</f>
        <v>1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INSPECTION</v>
      </c>
      <c r="B19" s="11"/>
      <c r="C19" s="17" t="str">
        <f>'Sheet2-PASTE HERE!'!I29</f>
        <v>.QC3</v>
      </c>
      <c r="D19" s="22" t="str">
        <f>'Sheet2-PASTE HERE!'!K29</f>
        <v>UT Shells</v>
      </c>
      <c r="E19" s="13">
        <f>'Sheet2-PASTE HERE!'!F29</f>
        <v>0</v>
      </c>
      <c r="F19" s="12"/>
      <c r="G19" s="12"/>
      <c r="H19" s="12"/>
      <c r="K19">
        <f t="shared" si="0"/>
        <v>1</v>
      </c>
      <c r="L19">
        <f t="shared" si="1"/>
        <v>0</v>
      </c>
    </row>
    <row r="20" spans="1:12" ht="26.25" customHeight="1" x14ac:dyDescent="0.2">
      <c r="A20" s="10" t="str">
        <f>'Sheet2-PASTE HERE!'!A30</f>
        <v>PRE FAB</v>
      </c>
      <c r="B20" s="11"/>
      <c r="C20" s="17" t="str">
        <f>'Sheet2-PASTE HERE!'!I30</f>
        <v>.305</v>
      </c>
      <c r="D20" s="22" t="str">
        <f>'Sheet2-PASTE HERE!'!K30</f>
        <v>Shells: bring in plate, square, trim and clean_x000D_
PREP (1) DOUBLE SHELL</v>
      </c>
      <c r="E20" s="13">
        <f>'Sheet2-PASTE HERE!'!F30</f>
        <v>5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PRE FAB</v>
      </c>
      <c r="B21" s="11"/>
      <c r="C21" s="17" t="str">
        <f>'Sheet2-PASTE HERE!'!I31</f>
        <v>.315</v>
      </c>
      <c r="D21" s="22" t="str">
        <f>'Sheet2-PASTE HERE!'!K31</f>
        <v>Roll shells, tack and weld inside seams_x000D_
ROLL (1) DOUBLE SHELL</v>
      </c>
      <c r="E21" s="13">
        <f>'Sheet2-PASTE HERE!'!F31</f>
        <v>4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INSPECTION</v>
      </c>
      <c r="B22" s="11"/>
      <c r="C22" s="17" t="str">
        <f>'Sheet2-PASTE HERE!'!I32</f>
        <v>.QC4</v>
      </c>
      <c r="D22" s="22" t="str">
        <f>'Sheet2-PASTE HERE!'!K32</f>
        <v>QC Inspection - Top/Bottom/Cones</v>
      </c>
      <c r="E22" s="13">
        <f>'Sheet2-PASTE HERE!'!F32</f>
        <v>0</v>
      </c>
      <c r="F22" s="12"/>
      <c r="G22" s="12"/>
      <c r="H22" s="12"/>
      <c r="K22">
        <f t="shared" si="0"/>
        <v>1</v>
      </c>
      <c r="L22">
        <f t="shared" si="1"/>
        <v>0</v>
      </c>
    </row>
    <row r="23" spans="1:12" ht="26.25" customHeight="1" x14ac:dyDescent="0.2">
      <c r="A23" s="10" t="str">
        <f>'Sheet2-PASTE HERE!'!A33</f>
        <v>PRE FAB</v>
      </c>
      <c r="B23" s="11"/>
      <c r="C23" s="17" t="str">
        <f>'Sheet2-PASTE HERE!'!I33</f>
        <v>.355</v>
      </c>
      <c r="D23" s="22" t="str">
        <f>'Sheet2-PASTE HERE!'!K33</f>
        <v>Lay out top head, burn and clean holes_x000D_
CUT ON BURN TABLE</v>
      </c>
      <c r="E23" s="13">
        <f>'Sheet2-PASTE HERE!'!F33</f>
        <v>3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PRE FAB</v>
      </c>
      <c r="B24" s="11"/>
      <c r="C24" s="17" t="str">
        <f>'Sheet2-PASTE HERE!'!I34</f>
        <v>.365</v>
      </c>
      <c r="D24" s="22" t="str">
        <f>'Sheet2-PASTE HERE!'!K34</f>
        <v>Set  nozzles, lift lugs, etc. in top head - tack</v>
      </c>
      <c r="E24" s="13">
        <f>'Sheet2-PASTE HERE!'!F34</f>
        <v>4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PRE FAB</v>
      </c>
      <c r="B25" s="11"/>
      <c r="C25" s="17" t="str">
        <f>'Sheet2-PASTE HERE!'!I35</f>
        <v>.366</v>
      </c>
      <c r="D25" s="22" t="str">
        <f>'Sheet2-PASTE HERE!'!K35</f>
        <v>Weld out top head nozzles, etc.</v>
      </c>
      <c r="E25" s="13">
        <f>'Sheet2-PASTE HERE!'!F35</f>
        <v>7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PRE FAB</v>
      </c>
      <c r="B26" s="11"/>
      <c r="C26" s="17" t="str">
        <f>'Sheet2-PASTE HERE!'!I36</f>
        <v>.375</v>
      </c>
      <c r="D26" s="22" t="str">
        <f>'Sheet2-PASTE HERE!'!K36</f>
        <v>Install top stiffeners_x000D_
INSTALL ROUND BAR IN MANWAY OPENING</v>
      </c>
      <c r="E26" s="13">
        <f>'Sheet2-PASTE HERE!'!F36</f>
        <v>2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PRE FAB</v>
      </c>
      <c r="B27" s="11"/>
      <c r="C27" s="17" t="str">
        <f>'Sheet2-PASTE HERE!'!I37</f>
        <v>.450</v>
      </c>
      <c r="D27" s="22" t="str">
        <f>'Sheet2-PASTE HERE!'!K37</f>
        <v>Build bottom head/cone_x000D_
ROLL/FORM BOTTOM CONE, FIT &amp; WELD COMPLETE</v>
      </c>
      <c r="E27" s="13">
        <f>'Sheet2-PASTE HERE!'!F37</f>
        <v>24</v>
      </c>
      <c r="F27" s="12"/>
      <c r="G27" s="12"/>
      <c r="H27" s="12"/>
      <c r="K27">
        <f t="shared" si="0"/>
        <v>0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.QC4</v>
      </c>
      <c r="D28" s="22" t="str">
        <f>'Sheet2-PASTE HERE!'!K38</f>
        <v>QC Inspection - Top/Bottom/Cones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0</v>
      </c>
    </row>
    <row r="29" spans="1:12" ht="26.25" customHeight="1" x14ac:dyDescent="0.2">
      <c r="A29" s="10" t="str">
        <f>'Sheet2-PASTE HERE!'!A39</f>
        <v>PRE FAB</v>
      </c>
      <c r="B29" s="11"/>
      <c r="C29" s="17" t="str">
        <f>'Sheet2-PASTE HERE!'!I39</f>
        <v>.465</v>
      </c>
      <c r="D29" s="22" t="str">
        <f>'Sheet2-PASTE HERE!'!K39</f>
        <v>Set  nozzles in bottom head - tack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PRE FAB</v>
      </c>
      <c r="B30" s="11"/>
      <c r="C30" s="17" t="str">
        <f>'Sheet2-PASTE HERE!'!I40</f>
        <v>.466</v>
      </c>
      <c r="D30" s="22" t="str">
        <f>'Sheet2-PASTE HERE!'!K40</f>
        <v>Weld nozzles in bottom head; weld complete</v>
      </c>
      <c r="E30" s="13">
        <f>'Sheet2-PASTE HERE!'!F40</f>
        <v>2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.OI1</v>
      </c>
      <c r="D31" s="22" t="str">
        <f>'Sheet2-PASTE HERE!'!K41</f>
        <v>ASME Hold Point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1</v>
      </c>
    </row>
    <row r="32" spans="1:12" ht="26.25" customHeight="1" x14ac:dyDescent="0.2">
      <c r="A32" s="10" t="str">
        <f>'Sheet2-PASTE HERE!'!A42</f>
        <v>FIT</v>
      </c>
      <c r="B32" s="11"/>
      <c r="C32" s="17" t="str">
        <f>'Sheet2-PASTE HERE!'!I42</f>
        <v>.600</v>
      </c>
      <c r="D32" s="22" t="str">
        <f>'Sheet2-PASTE HERE!'!K42</f>
        <v>Fit bottom head to shell_x000D_
AND WELD INSIDE</v>
      </c>
      <c r="E32" s="13">
        <f>'Sheet2-PASTE HERE!'!F42</f>
        <v>8</v>
      </c>
      <c r="F32" s="12"/>
      <c r="G32" s="12"/>
      <c r="H32" s="12"/>
      <c r="K32">
        <f t="shared" si="0"/>
        <v>0</v>
      </c>
      <c r="L32">
        <f t="shared" si="1"/>
        <v>0</v>
      </c>
    </row>
    <row r="33" spans="1:12" ht="26.25" customHeight="1" x14ac:dyDescent="0.2">
      <c r="A33" s="10" t="str">
        <f>'Sheet2-PASTE HERE!'!A43</f>
        <v>FIT</v>
      </c>
      <c r="B33" s="11"/>
      <c r="C33" s="17" t="str">
        <f>'Sheet2-PASTE HERE!'!I43</f>
        <v>.620</v>
      </c>
      <c r="D33" s="22" t="str">
        <f>'Sheet2-PASTE HERE!'!K43</f>
        <v>Lay out shell, burn and clean holes</v>
      </c>
      <c r="E33" s="13">
        <f>'Sheet2-PASTE HERE!'!F43</f>
        <v>1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.QC5</v>
      </c>
      <c r="D34" s="22" t="str">
        <f>'Sheet2-PASTE HERE!'!K44</f>
        <v>QC Inspection - Internal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FIT</v>
      </c>
      <c r="B35" s="11"/>
      <c r="C35" s="17" t="str">
        <f>'Sheet2-PASTE HERE!'!I45</f>
        <v>.640</v>
      </c>
      <c r="D35" s="22" t="str">
        <f>'Sheet2-PASTE HERE!'!K45</f>
        <v>Fit top head to shell - tack</v>
      </c>
      <c r="E35" s="13">
        <f>'Sheet2-PASTE HERE!'!F45</f>
        <v>4</v>
      </c>
      <c r="F35" s="12"/>
      <c r="G35" s="12"/>
      <c r="H35" s="12"/>
      <c r="K35">
        <f t="shared" si="0"/>
        <v>0</v>
      </c>
      <c r="L35">
        <f t="shared" si="1"/>
        <v>0</v>
      </c>
    </row>
    <row r="36" spans="1:12" ht="26.25" customHeight="1" x14ac:dyDescent="0.2">
      <c r="A36" s="10" t="str">
        <f>'Sheet2-PASTE HERE!'!A46</f>
        <v>FIT</v>
      </c>
      <c r="B36" s="11"/>
      <c r="C36" s="17" t="str">
        <f>'Sheet2-PASTE HERE!'!I46</f>
        <v>.641</v>
      </c>
      <c r="D36" s="22" t="str">
        <f>'Sheet2-PASTE HERE!'!K46</f>
        <v>Weld top head to shell - inside_x000D_
INCL HOLE WATCH</v>
      </c>
      <c r="E36" s="13">
        <f>'Sheet2-PASTE HERE!'!F46</f>
        <v>7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 t="str">
        <f>'Sheet2-PASTE HERE!'!A47</f>
        <v>FIT</v>
      </c>
      <c r="B37" s="11"/>
      <c r="C37" s="17" t="str">
        <f>'Sheet2-PASTE HERE!'!I47</f>
        <v>.645</v>
      </c>
      <c r="D37" s="22" t="str">
        <f>'Sheet2-PASTE HERE!'!K47</f>
        <v>Weld all outside seams</v>
      </c>
      <c r="E37" s="13">
        <f>'Sheet2-PASTE HERE!'!F47</f>
        <v>12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 t="str">
        <f>'Sheet2-PASTE HERE!'!A48</f>
        <v>MOVE TANK</v>
      </c>
      <c r="B38" s="11"/>
      <c r="C38" s="17" t="str">
        <f>'Sheet2-PASTE HERE!'!I48</f>
        <v>.800</v>
      </c>
      <c r="D38" s="22" t="str">
        <f>'Sheet2-PASTE HERE!'!K48</f>
        <v>Move tank to detail rolls</v>
      </c>
      <c r="E38" s="13">
        <f>'Sheet2-PASTE HERE!'!F48</f>
        <v>2</v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 t="str">
        <f>'Sheet2-PASTE HERE!'!A49</f>
        <v>FIT</v>
      </c>
      <c r="B39" s="11"/>
      <c r="C39" s="17" t="str">
        <f>'Sheet2-PASTE HERE!'!I49</f>
        <v>.720</v>
      </c>
      <c r="D39" s="22" t="str">
        <f>'Sheet2-PASTE HERE!'!K49</f>
        <v>Install supports - legs, lugs, anchors, saddles, skirt</v>
      </c>
      <c r="E39" s="13">
        <f>'Sheet2-PASTE HERE!'!F49</f>
        <v>16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 t="str">
        <f>'Sheet2-PASTE HERE!'!A50</f>
        <v>FIT</v>
      </c>
      <c r="B40" s="11"/>
      <c r="C40" s="17" t="str">
        <f>'Sheet2-PASTE HERE!'!I50</f>
        <v>.725</v>
      </c>
      <c r="D40" s="22" t="str">
        <f>'Sheet2-PASTE HERE!'!K50</f>
        <v>Set nozzles in shell - tack</v>
      </c>
      <c r="E40" s="13">
        <f>'Sheet2-PASTE HERE!'!F50</f>
        <v>1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 t="str">
        <f>'Sheet2-PASTE HERE!'!A51</f>
        <v>FIT</v>
      </c>
      <c r="B41" s="11"/>
      <c r="C41" s="17" t="str">
        <f>'Sheet2-PASTE HERE!'!I51</f>
        <v>.726</v>
      </c>
      <c r="D41" s="22" t="str">
        <f>'Sheet2-PASTE HERE!'!K51</f>
        <v>Weld shell nozzles, manways, etc._x000D_
INCL HOLE WATCH</v>
      </c>
      <c r="E41" s="13">
        <f>'Sheet2-PASTE HERE!'!F51</f>
        <v>3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 t="str">
        <f>'Sheet2-PASTE HERE!'!A52</f>
        <v>INSPECTION</v>
      </c>
      <c r="B42" s="11"/>
      <c r="C42" s="17" t="str">
        <f>'Sheet2-PASTE HERE!'!I52</f>
        <v>.QC51</v>
      </c>
      <c r="D42" s="22" t="str">
        <f>'Sheet2-PASTE HERE!'!K52</f>
        <v>UT Components</v>
      </c>
      <c r="E42" s="13">
        <f>'Sheet2-PASTE HERE!'!F52</f>
        <v>0</v>
      </c>
      <c r="F42" s="12"/>
      <c r="G42" s="12"/>
      <c r="H42" s="12"/>
      <c r="K42">
        <f t="shared" si="0"/>
        <v>1</v>
      </c>
      <c r="L42">
        <f t="shared" si="1"/>
        <v>0</v>
      </c>
    </row>
    <row r="43" spans="1:12" ht="26.25" customHeight="1" x14ac:dyDescent="0.2">
      <c r="A43" s="10" t="str">
        <f>'Sheet2-PASTE HERE!'!A53</f>
        <v>FINISHING</v>
      </c>
      <c r="B43" s="11"/>
      <c r="C43" s="17" t="str">
        <f>'Sheet2-PASTE HERE!'!I53</f>
        <v>.765</v>
      </c>
      <c r="D43" s="22" t="str">
        <f>'Sheet2-PASTE HERE!'!K53</f>
        <v>Install name tag</v>
      </c>
      <c r="E43" s="13">
        <f>'Sheet2-PASTE HERE!'!F53</f>
        <v>1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 t="str">
        <f>'Sheet2-PASTE HERE!'!A54</f>
        <v>FIT</v>
      </c>
      <c r="B44" s="11"/>
      <c r="C44" s="17" t="str">
        <f>'Sheet2-PASTE HERE!'!I54</f>
        <v>.770</v>
      </c>
      <c r="D44" s="22" t="str">
        <f>'Sheet2-PASTE HERE!'!K54</f>
        <v>Inspect tank, make repairs, get QC inspector</v>
      </c>
      <c r="E44" s="13">
        <f>'Sheet2-PASTE HERE!'!F54</f>
        <v>1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 t="str">
        <f>'Sheet2-PASTE HERE!'!A55</f>
        <v>INSPECTION</v>
      </c>
      <c r="B45" s="11"/>
      <c r="C45" s="17" t="str">
        <f>'Sheet2-PASTE HERE!'!I55</f>
        <v>.QC6</v>
      </c>
      <c r="D45" s="22" t="str">
        <f>'Sheet2-PASTE HERE!'!K55</f>
        <v>QC Inspection - Fabrication</v>
      </c>
      <c r="E45" s="13">
        <f>'Sheet2-PASTE HERE!'!F55</f>
        <v>0</v>
      </c>
      <c r="F45" s="12"/>
      <c r="G45" s="12"/>
      <c r="H45" s="12"/>
      <c r="K45">
        <f t="shared" si="0"/>
        <v>1</v>
      </c>
      <c r="L45">
        <f t="shared" si="1"/>
        <v>0</v>
      </c>
    </row>
    <row r="46" spans="1:12" ht="26.25" customHeight="1" x14ac:dyDescent="0.2">
      <c r="A46" s="10" t="str">
        <f>'Sheet2-PASTE HERE!'!A56</f>
        <v>INSPECTION</v>
      </c>
      <c r="B46" s="11"/>
      <c r="C46" s="17" t="str">
        <f>'Sheet2-PASTE HERE!'!I56</f>
        <v>.OI4</v>
      </c>
      <c r="D46" s="22" t="str">
        <f>'Sheet2-PASTE HERE!'!K56</f>
        <v>Customer Inspection</v>
      </c>
      <c r="E46" s="13">
        <f>'Sheet2-PASTE HERE!'!F56</f>
        <v>0</v>
      </c>
      <c r="F46" s="12"/>
      <c r="G46" s="12"/>
      <c r="H46" s="12"/>
      <c r="K46">
        <f t="shared" si="0"/>
        <v>1</v>
      </c>
      <c r="L46">
        <f t="shared" si="1"/>
        <v>1</v>
      </c>
    </row>
    <row r="47" spans="1:12" ht="26.25" customHeight="1" x14ac:dyDescent="0.2">
      <c r="A47" s="10" t="str">
        <f>'Sheet2-PASTE HERE!'!A57</f>
        <v>INSPECTION</v>
      </c>
      <c r="B47" s="11"/>
      <c r="C47" s="17" t="str">
        <f>'Sheet2-PASTE HERE!'!I57</f>
        <v>.OI2</v>
      </c>
      <c r="D47" s="22" t="str">
        <f>'Sheet2-PASTE HERE!'!K57</f>
        <v>ASME Inspection Internal</v>
      </c>
      <c r="E47" s="13">
        <f>'Sheet2-PASTE HERE!'!F57</f>
        <v>0</v>
      </c>
      <c r="F47" s="12"/>
      <c r="G47" s="12"/>
      <c r="H47" s="12"/>
      <c r="K47">
        <f t="shared" si="0"/>
        <v>1</v>
      </c>
      <c r="L47">
        <f t="shared" si="1"/>
        <v>1</v>
      </c>
    </row>
    <row r="48" spans="1:12" ht="26.25" customHeight="1" x14ac:dyDescent="0.2">
      <c r="A48" s="10" t="str">
        <f>'Sheet2-PASTE HERE!'!A58</f>
        <v>MOVE TANK</v>
      </c>
      <c r="B48" s="11"/>
      <c r="C48" s="17" t="str">
        <f>'Sheet2-PASTE HERE!'!I58</f>
        <v>.801</v>
      </c>
      <c r="D48" s="22" t="str">
        <f>'Sheet2-PASTE HERE!'!K58</f>
        <v>Move to shop test area</v>
      </c>
      <c r="E48" s="13">
        <f>'Sheet2-PASTE HERE!'!F58</f>
        <v>2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 t="str">
        <f>'Sheet2-PASTE HERE!'!A59</f>
        <v>FINISHING</v>
      </c>
      <c r="B49" s="11"/>
      <c r="C49" s="17" t="str">
        <f>'Sheet2-PASTE HERE!'!I59</f>
        <v>.910</v>
      </c>
      <c r="D49" s="22" t="str">
        <f>'Sheet2-PASTE HERE!'!K59</f>
        <v>Test tank</v>
      </c>
      <c r="E49" s="13">
        <f>'Sheet2-PASTE HERE!'!F59</f>
        <v>8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 t="str">
        <f>'Sheet2-PASTE HERE!'!A60</f>
        <v>INSPECTION</v>
      </c>
      <c r="B50" s="11"/>
      <c r="C50" s="17" t="str">
        <f>'Sheet2-PASTE HERE!'!I60</f>
        <v>.QC7</v>
      </c>
      <c r="D50" s="22" t="str">
        <f>'Sheet2-PASTE HERE!'!K60</f>
        <v>QC Inspection - Test</v>
      </c>
      <c r="E50" s="13">
        <f>'Sheet2-PASTE HERE!'!F60</f>
        <v>0</v>
      </c>
      <c r="F50" s="12"/>
      <c r="G50" s="12"/>
      <c r="H50" s="12"/>
      <c r="K50">
        <f t="shared" si="0"/>
        <v>1</v>
      </c>
      <c r="L50">
        <f t="shared" si="1"/>
        <v>0</v>
      </c>
    </row>
    <row r="51" spans="1:12" ht="26.25" customHeight="1" x14ac:dyDescent="0.2">
      <c r="A51" s="10" t="str">
        <f>'Sheet2-PASTE HERE!'!A61</f>
        <v>INSPECTION</v>
      </c>
      <c r="B51" s="11"/>
      <c r="C51" s="17" t="str">
        <f>'Sheet2-PASTE HERE!'!I61</f>
        <v>.OI3</v>
      </c>
      <c r="D51" s="22" t="str">
        <f>'Sheet2-PASTE HERE!'!K61</f>
        <v>ASME Inspection Test</v>
      </c>
      <c r="E51" s="13">
        <f>'Sheet2-PASTE HERE!'!F61</f>
        <v>0</v>
      </c>
      <c r="F51" s="12"/>
      <c r="G51" s="12"/>
      <c r="H51" s="12"/>
      <c r="K51">
        <f t="shared" si="0"/>
        <v>1</v>
      </c>
      <c r="L51">
        <f t="shared" si="1"/>
        <v>1</v>
      </c>
    </row>
    <row r="52" spans="1:12" ht="26.25" customHeight="1" x14ac:dyDescent="0.2">
      <c r="A52" s="10" t="str">
        <f>'Sheet2-PASTE HERE!'!A62</f>
        <v>FINISHING</v>
      </c>
      <c r="B52" s="11"/>
      <c r="C52" s="17" t="str">
        <f>'Sheet2-PASTE HERE!'!I62</f>
        <v>.920</v>
      </c>
      <c r="D52" s="22" t="str">
        <f>'Sheet2-PASTE HERE!'!K62</f>
        <v>Clean tank complete</v>
      </c>
      <c r="E52" s="13">
        <f>'Sheet2-PASTE HERE!'!F62</f>
        <v>22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 t="str">
        <f>'Sheet2-PASTE HERE!'!A63</f>
        <v>INSPECTION</v>
      </c>
      <c r="B53" s="11"/>
      <c r="C53" s="17" t="str">
        <f>'Sheet2-PASTE HERE!'!I63</f>
        <v>.QC8</v>
      </c>
      <c r="D53" s="22" t="str">
        <f>'Sheet2-PASTE HERE!'!K63</f>
        <v>QC Inspection - Clean</v>
      </c>
      <c r="E53" s="13">
        <f>'Sheet2-PASTE HERE!'!F63</f>
        <v>0</v>
      </c>
      <c r="F53" s="12"/>
      <c r="G53" s="12"/>
      <c r="H53" s="12"/>
      <c r="K53">
        <f t="shared" si="0"/>
        <v>1</v>
      </c>
      <c r="L53">
        <f t="shared" si="1"/>
        <v>0</v>
      </c>
    </row>
    <row r="54" spans="1:12" ht="26.25" customHeight="1" x14ac:dyDescent="0.2">
      <c r="A54" s="10" t="str">
        <f>'Sheet2-PASTE HERE!'!A64</f>
        <v>MOVE TANK</v>
      </c>
      <c r="B54" s="11"/>
      <c r="C54" s="17" t="str">
        <f>'Sheet2-PASTE HERE!'!I64</f>
        <v>.802</v>
      </c>
      <c r="D54" s="22" t="str">
        <f>'Sheet2-PASTE HERE!'!K64</f>
        <v>Move to paint area</v>
      </c>
      <c r="E54" s="13">
        <f>'Sheet2-PASTE HERE!'!F64</f>
        <v>2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 t="str">
        <f>'Sheet2-PASTE HERE!'!A65</f>
        <v>INSPECTION</v>
      </c>
      <c r="B55" s="11"/>
      <c r="C55" s="17" t="str">
        <f>'Sheet2-PASTE HERE!'!I65</f>
        <v>.QC9</v>
      </c>
      <c r="D55" s="22" t="str">
        <f>'Sheet2-PASTE HERE!'!K65</f>
        <v>QC Inspection - Sandblast</v>
      </c>
      <c r="E55" s="13">
        <f>'Sheet2-PASTE HERE!'!F65</f>
        <v>0</v>
      </c>
      <c r="F55" s="12"/>
      <c r="G55" s="12"/>
      <c r="H55" s="12"/>
      <c r="K55">
        <f t="shared" si="0"/>
        <v>1</v>
      </c>
      <c r="L55">
        <f t="shared" si="1"/>
        <v>0</v>
      </c>
    </row>
    <row r="56" spans="1:12" ht="26.25" customHeight="1" x14ac:dyDescent="0.2">
      <c r="A56" s="10" t="str">
        <f>'Sheet2-PASTE HERE!'!A66</f>
        <v>INSPECTION</v>
      </c>
      <c r="B56" s="11"/>
      <c r="C56" s="17" t="str">
        <f>'Sheet2-PASTE HERE!'!I66</f>
        <v>.QC90</v>
      </c>
      <c r="D56" s="22" t="str">
        <f>'Sheet2-PASTE HERE!'!K66</f>
        <v>QC Inspection - Paint</v>
      </c>
      <c r="E56" s="13">
        <f>'Sheet2-PASTE HERE!'!F66</f>
        <v>0</v>
      </c>
      <c r="F56" s="12"/>
      <c r="G56" s="12"/>
      <c r="H56" s="12"/>
      <c r="K56">
        <f t="shared" si="0"/>
        <v>1</v>
      </c>
      <c r="L56">
        <f t="shared" si="1"/>
        <v>0</v>
      </c>
    </row>
    <row r="57" spans="1:12" ht="26.25" customHeight="1" x14ac:dyDescent="0.2">
      <c r="A57" s="10" t="str">
        <f>'Sheet2-PASTE HERE!'!A67</f>
        <v>FINISHING</v>
      </c>
      <c r="B57" s="11"/>
      <c r="C57" s="17" t="str">
        <f>'Sheet2-PASTE HERE!'!I67</f>
        <v>.940</v>
      </c>
      <c r="D57" s="22" t="str">
        <f>'Sheet2-PASTE HERE!'!K67</f>
        <v>Prepare tank for shipment</v>
      </c>
      <c r="E57" s="13">
        <f>'Sheet2-PASTE HERE!'!F67</f>
        <v>2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 t="str">
        <f>'Sheet2-PASTE HERE!'!A68</f>
        <v>INSPECTION</v>
      </c>
      <c r="B58" s="11"/>
      <c r="C58" s="17" t="str">
        <f>'Sheet2-PASTE HERE!'!I68</f>
        <v>.QC95</v>
      </c>
      <c r="D58" s="22" t="str">
        <f>'Sheet2-PASTE HERE!'!K68</f>
        <v>QC Inspection - Final &amp; Loose Items</v>
      </c>
      <c r="E58" s="13">
        <f>'Sheet2-PASTE HERE!'!F68</f>
        <v>0</v>
      </c>
      <c r="F58" s="12"/>
      <c r="G58" s="12"/>
      <c r="H58" s="12"/>
      <c r="K58">
        <f t="shared" si="0"/>
        <v>1</v>
      </c>
      <c r="L58">
        <f t="shared" si="1"/>
        <v>0</v>
      </c>
    </row>
    <row r="59" spans="1:12" ht="26.25" customHeight="1" x14ac:dyDescent="0.2">
      <c r="A59" s="10" t="str">
        <f>'Sheet2-PASTE HERE!'!A69</f>
        <v>SHIPPING</v>
      </c>
      <c r="B59" s="11"/>
      <c r="C59" s="17" t="str">
        <f>'Sheet2-PASTE HERE!'!I69</f>
        <v>.960</v>
      </c>
      <c r="D59" s="22" t="str">
        <f>'Sheet2-PASTE HERE!'!K69</f>
        <v>Load on truck</v>
      </c>
      <c r="E59" s="13">
        <f>'Sheet2-PASTE HERE!'!F69</f>
        <v>3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 t="str">
        <f>'Sheet2-PASTE HERE!'!F71</f>
        <v/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154</v>
      </c>
      <c r="C1" s="8" t="s">
        <v>17</v>
      </c>
      <c r="D1" s="8" t="s">
        <v>155</v>
      </c>
      <c r="E1" s="8" t="s">
        <v>18</v>
      </c>
      <c r="F1" s="8" t="s">
        <v>156</v>
      </c>
      <c r="G1" s="8" t="s">
        <v>154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45489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183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49745</v>
      </c>
      <c r="C17" s="19">
        <v>0</v>
      </c>
      <c r="D17" s="8" t="s">
        <v>75</v>
      </c>
      <c r="E17" s="20">
        <v>0</v>
      </c>
      <c r="F17" s="20">
        <v>0</v>
      </c>
      <c r="G17" s="8" t="s">
        <v>54</v>
      </c>
      <c r="H17" s="20">
        <v>0</v>
      </c>
      <c r="I17" s="8" t="s">
        <v>76</v>
      </c>
      <c r="J17" s="19">
        <v>0</v>
      </c>
      <c r="K17" s="8" t="s">
        <v>75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49746</v>
      </c>
      <c r="C18" s="19">
        <v>0</v>
      </c>
      <c r="D18" s="8" t="s">
        <v>77</v>
      </c>
      <c r="E18" s="20">
        <v>0</v>
      </c>
      <c r="F18" s="20">
        <v>0</v>
      </c>
      <c r="G18" s="8" t="s">
        <v>54</v>
      </c>
      <c r="H18" s="20">
        <v>0</v>
      </c>
      <c r="I18" s="8" t="s">
        <v>78</v>
      </c>
      <c r="J18" s="19">
        <v>0</v>
      </c>
      <c r="K18" s="8" t="s">
        <v>79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49747</v>
      </c>
      <c r="C19" s="19">
        <v>0</v>
      </c>
      <c r="D19" s="8" t="s">
        <v>57</v>
      </c>
      <c r="E19" s="20">
        <v>0</v>
      </c>
      <c r="F19" s="20">
        <v>3</v>
      </c>
      <c r="G19" s="8" t="s">
        <v>54</v>
      </c>
      <c r="H19" s="20">
        <v>3</v>
      </c>
      <c r="I19" s="8" t="s">
        <v>58</v>
      </c>
      <c r="J19" s="19">
        <v>0</v>
      </c>
      <c r="K19" s="8" t="s">
        <v>80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49748</v>
      </c>
      <c r="C20" s="19">
        <v>0</v>
      </c>
      <c r="D20" s="8" t="s">
        <v>81</v>
      </c>
      <c r="E20" s="20">
        <v>0</v>
      </c>
      <c r="F20" s="20">
        <v>4</v>
      </c>
      <c r="G20" s="8" t="s">
        <v>54</v>
      </c>
      <c r="H20" s="20">
        <v>4</v>
      </c>
      <c r="I20" s="8" t="s">
        <v>82</v>
      </c>
      <c r="J20" s="19">
        <v>0</v>
      </c>
      <c r="K20" s="8" t="s">
        <v>83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49749</v>
      </c>
      <c r="C21" s="19">
        <v>0</v>
      </c>
      <c r="D21" s="8" t="s">
        <v>157</v>
      </c>
      <c r="E21" s="20">
        <v>0</v>
      </c>
      <c r="F21" s="20">
        <v>7</v>
      </c>
      <c r="G21" s="8" t="s">
        <v>54</v>
      </c>
      <c r="H21" s="20">
        <v>7</v>
      </c>
      <c r="I21" s="8" t="s">
        <v>59</v>
      </c>
      <c r="J21" s="19">
        <v>0</v>
      </c>
      <c r="K21" s="8" t="s">
        <v>84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49750</v>
      </c>
      <c r="C22" s="19">
        <v>0</v>
      </c>
      <c r="D22" s="8" t="s">
        <v>158</v>
      </c>
      <c r="E22" s="20">
        <v>0</v>
      </c>
      <c r="F22" s="20">
        <v>6</v>
      </c>
      <c r="G22" s="8" t="s">
        <v>54</v>
      </c>
      <c r="H22" s="20">
        <v>6</v>
      </c>
      <c r="I22" s="8" t="s">
        <v>159</v>
      </c>
      <c r="J22" s="19">
        <v>0</v>
      </c>
      <c r="K22" s="8" t="s">
        <v>19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49751</v>
      </c>
      <c r="C23" s="19">
        <v>0</v>
      </c>
      <c r="D23" s="8" t="s">
        <v>60</v>
      </c>
      <c r="E23" s="20">
        <v>0</v>
      </c>
      <c r="F23" s="20">
        <v>8</v>
      </c>
      <c r="G23" s="8" t="s">
        <v>54</v>
      </c>
      <c r="H23" s="20">
        <v>8</v>
      </c>
      <c r="I23" s="8" t="s">
        <v>61</v>
      </c>
      <c r="J23" s="19">
        <v>0</v>
      </c>
      <c r="K23" s="8" t="s">
        <v>160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56</v>
      </c>
      <c r="B24" s="18">
        <v>49752</v>
      </c>
      <c r="C24" s="19">
        <v>0</v>
      </c>
      <c r="D24" s="8" t="s">
        <v>85</v>
      </c>
      <c r="E24" s="20">
        <v>0</v>
      </c>
      <c r="F24" s="20">
        <v>3</v>
      </c>
      <c r="G24" s="8" t="s">
        <v>54</v>
      </c>
      <c r="H24" s="20">
        <v>3</v>
      </c>
      <c r="I24" s="8" t="s">
        <v>86</v>
      </c>
      <c r="J24" s="19">
        <v>0</v>
      </c>
      <c r="K24" s="8" t="s">
        <v>161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49753</v>
      </c>
      <c r="C25" s="19">
        <v>0</v>
      </c>
      <c r="D25" s="8" t="s">
        <v>87</v>
      </c>
      <c r="E25" s="20">
        <v>0</v>
      </c>
      <c r="F25" s="20">
        <v>2</v>
      </c>
      <c r="G25" s="8" t="s">
        <v>54</v>
      </c>
      <c r="H25" s="20">
        <v>2</v>
      </c>
      <c r="I25" s="8" t="s">
        <v>88</v>
      </c>
      <c r="J25" s="19">
        <v>0</v>
      </c>
      <c r="K25" s="8" t="s">
        <v>89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49754</v>
      </c>
      <c r="C26" s="19">
        <v>0</v>
      </c>
      <c r="D26" s="8" t="s">
        <v>150</v>
      </c>
      <c r="E26" s="20">
        <v>0</v>
      </c>
      <c r="F26" s="20">
        <v>2</v>
      </c>
      <c r="G26" s="8" t="s">
        <v>54</v>
      </c>
      <c r="H26" s="20">
        <v>2</v>
      </c>
      <c r="I26" s="8" t="s">
        <v>151</v>
      </c>
      <c r="J26" s="19">
        <v>0</v>
      </c>
      <c r="K26" s="8" t="s">
        <v>162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53</v>
      </c>
      <c r="B27" s="18">
        <v>49755</v>
      </c>
      <c r="C27" s="19">
        <v>0</v>
      </c>
      <c r="D27" s="8" t="s">
        <v>163</v>
      </c>
      <c r="E27" s="20">
        <v>0</v>
      </c>
      <c r="F27" s="20">
        <v>0</v>
      </c>
      <c r="G27" s="8" t="s">
        <v>54</v>
      </c>
      <c r="H27" s="20">
        <v>0</v>
      </c>
      <c r="I27" s="8" t="s">
        <v>164</v>
      </c>
      <c r="J27" s="19">
        <v>0</v>
      </c>
      <c r="K27" s="8" t="s">
        <v>165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56</v>
      </c>
      <c r="B28" s="18">
        <v>49756</v>
      </c>
      <c r="C28" s="19">
        <v>0</v>
      </c>
      <c r="D28" s="8" t="s">
        <v>166</v>
      </c>
      <c r="E28" s="20">
        <v>0</v>
      </c>
      <c r="F28" s="20">
        <v>1</v>
      </c>
      <c r="G28" s="8" t="s">
        <v>54</v>
      </c>
      <c r="H28" s="20">
        <v>1</v>
      </c>
      <c r="I28" s="8" t="s">
        <v>167</v>
      </c>
      <c r="J28" s="19">
        <v>0</v>
      </c>
      <c r="K28" s="8" t="s">
        <v>168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53</v>
      </c>
      <c r="B29" s="18">
        <v>49757</v>
      </c>
      <c r="C29" s="19">
        <v>0</v>
      </c>
      <c r="D29" s="8" t="s">
        <v>90</v>
      </c>
      <c r="E29" s="20">
        <v>0</v>
      </c>
      <c r="F29" s="20">
        <v>0</v>
      </c>
      <c r="G29" s="8" t="s">
        <v>54</v>
      </c>
      <c r="H29" s="20">
        <v>0</v>
      </c>
      <c r="I29" s="8" t="s">
        <v>91</v>
      </c>
      <c r="J29" s="19">
        <v>0</v>
      </c>
      <c r="K29" s="8" t="s">
        <v>90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56</v>
      </c>
      <c r="B30" s="18">
        <v>49758</v>
      </c>
      <c r="C30" s="19">
        <v>0</v>
      </c>
      <c r="D30" s="8" t="s">
        <v>92</v>
      </c>
      <c r="E30" s="20">
        <v>0</v>
      </c>
      <c r="F30" s="20">
        <v>5</v>
      </c>
      <c r="G30" s="8" t="s">
        <v>54</v>
      </c>
      <c r="H30" s="20">
        <v>5</v>
      </c>
      <c r="I30" s="8" t="s">
        <v>93</v>
      </c>
      <c r="J30" s="19">
        <v>0</v>
      </c>
      <c r="K30" s="8" t="s">
        <v>169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56</v>
      </c>
      <c r="B31" s="18">
        <v>49759</v>
      </c>
      <c r="C31" s="19">
        <v>0</v>
      </c>
      <c r="D31" s="8" t="s">
        <v>94</v>
      </c>
      <c r="E31" s="20">
        <v>0</v>
      </c>
      <c r="F31" s="20">
        <v>4</v>
      </c>
      <c r="G31" s="8" t="s">
        <v>54</v>
      </c>
      <c r="H31" s="20">
        <v>4</v>
      </c>
      <c r="I31" s="8" t="s">
        <v>95</v>
      </c>
      <c r="J31" s="19">
        <v>0</v>
      </c>
      <c r="K31" s="8" t="s">
        <v>170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53</v>
      </c>
      <c r="B32" s="18">
        <v>49760</v>
      </c>
      <c r="C32" s="19">
        <v>0</v>
      </c>
      <c r="D32" s="8" t="s">
        <v>96</v>
      </c>
      <c r="E32" s="20">
        <v>0</v>
      </c>
      <c r="F32" s="20">
        <v>0</v>
      </c>
      <c r="G32" s="8" t="s">
        <v>54</v>
      </c>
      <c r="H32" s="20">
        <v>0</v>
      </c>
      <c r="I32" s="8" t="s">
        <v>97</v>
      </c>
      <c r="J32" s="19">
        <v>0</v>
      </c>
      <c r="K32" s="8" t="s">
        <v>98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56</v>
      </c>
      <c r="B33" s="18">
        <v>49761</v>
      </c>
      <c r="C33" s="19">
        <v>0</v>
      </c>
      <c r="D33" s="8" t="s">
        <v>99</v>
      </c>
      <c r="E33" s="20">
        <v>0</v>
      </c>
      <c r="F33" s="20">
        <v>3</v>
      </c>
      <c r="G33" s="8" t="s">
        <v>54</v>
      </c>
      <c r="H33" s="20">
        <v>3</v>
      </c>
      <c r="I33" s="8" t="s">
        <v>100</v>
      </c>
      <c r="J33" s="19">
        <v>0</v>
      </c>
      <c r="K33" s="8" t="s">
        <v>171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56</v>
      </c>
      <c r="B34" s="18">
        <v>49762</v>
      </c>
      <c r="C34" s="19">
        <v>0</v>
      </c>
      <c r="D34" s="8" t="s">
        <v>101</v>
      </c>
      <c r="E34" s="20">
        <v>0</v>
      </c>
      <c r="F34" s="20">
        <v>4</v>
      </c>
      <c r="G34" s="8" t="s">
        <v>54</v>
      </c>
      <c r="H34" s="20">
        <v>4</v>
      </c>
      <c r="I34" s="8" t="s">
        <v>102</v>
      </c>
      <c r="J34" s="19">
        <v>0</v>
      </c>
      <c r="K34" s="8" t="s">
        <v>103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56</v>
      </c>
      <c r="B35" s="18">
        <v>49763</v>
      </c>
      <c r="C35" s="19">
        <v>0</v>
      </c>
      <c r="D35" s="8" t="s">
        <v>104</v>
      </c>
      <c r="E35" s="20">
        <v>0</v>
      </c>
      <c r="F35" s="20">
        <v>7</v>
      </c>
      <c r="G35" s="8" t="s">
        <v>54</v>
      </c>
      <c r="H35" s="20">
        <v>7</v>
      </c>
      <c r="I35" s="8" t="s">
        <v>105</v>
      </c>
      <c r="J35" s="19">
        <v>0</v>
      </c>
      <c r="K35" s="8" t="s">
        <v>106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56</v>
      </c>
      <c r="B36" s="18">
        <v>49764</v>
      </c>
      <c r="C36" s="19">
        <v>0</v>
      </c>
      <c r="D36" s="8" t="s">
        <v>172</v>
      </c>
      <c r="E36" s="20">
        <v>0</v>
      </c>
      <c r="F36" s="20">
        <v>2</v>
      </c>
      <c r="G36" s="8" t="s">
        <v>54</v>
      </c>
      <c r="H36" s="20">
        <v>2</v>
      </c>
      <c r="I36" s="8" t="s">
        <v>173</v>
      </c>
      <c r="J36" s="19">
        <v>0</v>
      </c>
      <c r="K36" s="8" t="s">
        <v>174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56</v>
      </c>
      <c r="B37" s="18">
        <v>49765</v>
      </c>
      <c r="C37" s="19">
        <v>0</v>
      </c>
      <c r="D37" s="8" t="s">
        <v>152</v>
      </c>
      <c r="E37" s="20">
        <v>0</v>
      </c>
      <c r="F37" s="20">
        <v>24</v>
      </c>
      <c r="G37" s="8" t="s">
        <v>54</v>
      </c>
      <c r="H37" s="20">
        <v>24</v>
      </c>
      <c r="I37" s="8" t="s">
        <v>153</v>
      </c>
      <c r="J37" s="19">
        <v>0</v>
      </c>
      <c r="K37" s="8" t="s">
        <v>175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49766</v>
      </c>
      <c r="C38" s="19">
        <v>0</v>
      </c>
      <c r="D38" s="8" t="s">
        <v>96</v>
      </c>
      <c r="E38" s="20">
        <v>0</v>
      </c>
      <c r="F38" s="20">
        <v>0</v>
      </c>
      <c r="G38" s="8" t="s">
        <v>54</v>
      </c>
      <c r="H38" s="20">
        <v>0</v>
      </c>
      <c r="I38" s="8" t="s">
        <v>97</v>
      </c>
      <c r="J38" s="19">
        <v>0</v>
      </c>
      <c r="K38" s="8" t="s">
        <v>98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56</v>
      </c>
      <c r="B39" s="18">
        <v>49767</v>
      </c>
      <c r="C39" s="19">
        <v>0</v>
      </c>
      <c r="D39" s="8" t="s">
        <v>176</v>
      </c>
      <c r="E39" s="20">
        <v>0</v>
      </c>
      <c r="F39" s="20">
        <v>1</v>
      </c>
      <c r="G39" s="8" t="s">
        <v>54</v>
      </c>
      <c r="H39" s="20">
        <v>1</v>
      </c>
      <c r="I39" s="8" t="s">
        <v>177</v>
      </c>
      <c r="J39" s="19">
        <v>0</v>
      </c>
      <c r="K39" s="8" t="s">
        <v>178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56</v>
      </c>
      <c r="B40" s="18">
        <v>49768</v>
      </c>
      <c r="C40" s="19">
        <v>0</v>
      </c>
      <c r="D40" s="8" t="s">
        <v>179</v>
      </c>
      <c r="E40" s="20">
        <v>0</v>
      </c>
      <c r="F40" s="20">
        <v>2</v>
      </c>
      <c r="G40" s="8" t="s">
        <v>54</v>
      </c>
      <c r="H40" s="20">
        <v>2</v>
      </c>
      <c r="I40" s="8" t="s">
        <v>180</v>
      </c>
      <c r="J40" s="19">
        <v>0</v>
      </c>
      <c r="K40" s="8" t="s">
        <v>181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49769</v>
      </c>
      <c r="C41" s="19">
        <v>0</v>
      </c>
      <c r="D41" s="8" t="s">
        <v>182</v>
      </c>
      <c r="E41" s="20">
        <v>0</v>
      </c>
      <c r="F41" s="20">
        <v>0</v>
      </c>
      <c r="G41" s="8" t="s">
        <v>54</v>
      </c>
      <c r="H41" s="20">
        <v>0</v>
      </c>
      <c r="I41" s="8" t="s">
        <v>183</v>
      </c>
      <c r="J41" s="19">
        <v>0</v>
      </c>
      <c r="K41" s="8" t="s">
        <v>182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74</v>
      </c>
      <c r="B42" s="18">
        <v>49770</v>
      </c>
      <c r="C42" s="19">
        <v>0</v>
      </c>
      <c r="D42" s="8" t="s">
        <v>107</v>
      </c>
      <c r="E42" s="20">
        <v>0</v>
      </c>
      <c r="F42" s="20">
        <v>8</v>
      </c>
      <c r="G42" s="8" t="s">
        <v>54</v>
      </c>
      <c r="H42" s="20">
        <v>8</v>
      </c>
      <c r="I42" s="8" t="s">
        <v>108</v>
      </c>
      <c r="J42" s="19">
        <v>0</v>
      </c>
      <c r="K42" s="8" t="s">
        <v>184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74</v>
      </c>
      <c r="B43" s="18">
        <v>49771</v>
      </c>
      <c r="C43" s="19">
        <v>0</v>
      </c>
      <c r="D43" s="8" t="s">
        <v>109</v>
      </c>
      <c r="E43" s="20">
        <v>0</v>
      </c>
      <c r="F43" s="20">
        <v>1</v>
      </c>
      <c r="G43" s="8" t="s">
        <v>54</v>
      </c>
      <c r="H43" s="20">
        <v>1</v>
      </c>
      <c r="I43" s="8" t="s">
        <v>110</v>
      </c>
      <c r="J43" s="19">
        <v>0</v>
      </c>
      <c r="K43" s="8" t="s">
        <v>185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49772</v>
      </c>
      <c r="C44" s="19">
        <v>0</v>
      </c>
      <c r="D44" s="8" t="s">
        <v>111</v>
      </c>
      <c r="E44" s="20">
        <v>0</v>
      </c>
      <c r="F44" s="20">
        <v>0</v>
      </c>
      <c r="G44" s="8" t="s">
        <v>54</v>
      </c>
      <c r="H44" s="20">
        <v>0</v>
      </c>
      <c r="I44" s="8" t="s">
        <v>112</v>
      </c>
      <c r="J44" s="19">
        <v>0</v>
      </c>
      <c r="K44" s="8" t="s">
        <v>111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74</v>
      </c>
      <c r="B45" s="18">
        <v>49773</v>
      </c>
      <c r="C45" s="19">
        <v>0</v>
      </c>
      <c r="D45" s="8" t="s">
        <v>113</v>
      </c>
      <c r="E45" s="20">
        <v>0</v>
      </c>
      <c r="F45" s="20">
        <v>4</v>
      </c>
      <c r="G45" s="8" t="s">
        <v>54</v>
      </c>
      <c r="H45" s="20">
        <v>4</v>
      </c>
      <c r="I45" s="8" t="s">
        <v>114</v>
      </c>
      <c r="J45" s="19">
        <v>0</v>
      </c>
      <c r="K45" s="8" t="s">
        <v>186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74</v>
      </c>
      <c r="B46" s="18">
        <v>49774</v>
      </c>
      <c r="C46" s="19">
        <v>0</v>
      </c>
      <c r="D46" s="8" t="s">
        <v>187</v>
      </c>
      <c r="E46" s="20">
        <v>0</v>
      </c>
      <c r="F46" s="20">
        <v>7</v>
      </c>
      <c r="G46" s="8" t="s">
        <v>54</v>
      </c>
      <c r="H46" s="20">
        <v>7</v>
      </c>
      <c r="I46" s="8" t="s">
        <v>188</v>
      </c>
      <c r="J46" s="19">
        <v>0</v>
      </c>
      <c r="K46" s="8" t="s">
        <v>189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>
      <c r="A47" s="8" t="s">
        <v>74</v>
      </c>
      <c r="B47" s="18">
        <v>49775</v>
      </c>
      <c r="C47" s="19">
        <v>0</v>
      </c>
      <c r="D47" s="8" t="s">
        <v>190</v>
      </c>
      <c r="E47" s="20">
        <v>0</v>
      </c>
      <c r="F47" s="20">
        <v>12</v>
      </c>
      <c r="G47" s="8" t="s">
        <v>54</v>
      </c>
      <c r="H47" s="20">
        <v>12</v>
      </c>
      <c r="I47" s="8" t="s">
        <v>191</v>
      </c>
      <c r="J47" s="19">
        <v>0</v>
      </c>
      <c r="K47" s="8" t="s">
        <v>192</v>
      </c>
      <c r="L47" s="8" t="s">
        <v>55</v>
      </c>
      <c r="M47" s="8" t="s">
        <v>55</v>
      </c>
      <c r="N47" s="8" t="s">
        <v>55</v>
      </c>
    </row>
    <row r="48" spans="1:14" ht="12.75" customHeight="1" x14ac:dyDescent="0.2">
      <c r="A48" s="8" t="s">
        <v>115</v>
      </c>
      <c r="B48" s="18">
        <v>49776</v>
      </c>
      <c r="C48" s="19">
        <v>0</v>
      </c>
      <c r="D48" s="8" t="s">
        <v>116</v>
      </c>
      <c r="E48" s="20">
        <v>0</v>
      </c>
      <c r="F48" s="20">
        <v>2</v>
      </c>
      <c r="G48" s="8" t="s">
        <v>54</v>
      </c>
      <c r="H48" s="20">
        <v>2</v>
      </c>
      <c r="I48" s="8" t="s">
        <v>117</v>
      </c>
      <c r="J48" s="19">
        <v>0</v>
      </c>
      <c r="K48" s="8" t="s">
        <v>118</v>
      </c>
      <c r="L48" s="8" t="s">
        <v>55</v>
      </c>
      <c r="M48" s="8" t="s">
        <v>55</v>
      </c>
      <c r="N48" s="8" t="s">
        <v>55</v>
      </c>
    </row>
    <row r="49" spans="1:14" ht="12.75" customHeight="1" x14ac:dyDescent="0.2">
      <c r="A49" s="8" t="s">
        <v>74</v>
      </c>
      <c r="B49" s="18">
        <v>49777</v>
      </c>
      <c r="C49" s="19">
        <v>0</v>
      </c>
      <c r="D49" s="8" t="s">
        <v>119</v>
      </c>
      <c r="E49" s="20">
        <v>0</v>
      </c>
      <c r="F49" s="20">
        <v>16</v>
      </c>
      <c r="G49" s="8" t="s">
        <v>54</v>
      </c>
      <c r="H49" s="20">
        <v>16</v>
      </c>
      <c r="I49" s="8" t="s">
        <v>120</v>
      </c>
      <c r="J49" s="19">
        <v>0</v>
      </c>
      <c r="K49" s="8" t="s">
        <v>193</v>
      </c>
      <c r="L49" s="8" t="s">
        <v>55</v>
      </c>
      <c r="M49" s="8" t="s">
        <v>55</v>
      </c>
      <c r="N49" s="8" t="s">
        <v>55</v>
      </c>
    </row>
    <row r="50" spans="1:14" ht="12.75" customHeight="1" x14ac:dyDescent="0.2">
      <c r="A50" s="8" t="s">
        <v>74</v>
      </c>
      <c r="B50" s="18">
        <v>49778</v>
      </c>
      <c r="C50" s="19">
        <v>0</v>
      </c>
      <c r="D50" s="8" t="s">
        <v>121</v>
      </c>
      <c r="E50" s="20">
        <v>0</v>
      </c>
      <c r="F50" s="20">
        <v>1</v>
      </c>
      <c r="G50" s="8" t="s">
        <v>54</v>
      </c>
      <c r="H50" s="20">
        <v>1</v>
      </c>
      <c r="I50" s="8" t="s">
        <v>122</v>
      </c>
      <c r="J50" s="19">
        <v>0</v>
      </c>
      <c r="K50" s="8" t="s">
        <v>194</v>
      </c>
      <c r="L50" s="8" t="s">
        <v>55</v>
      </c>
      <c r="M50" s="8" t="s">
        <v>55</v>
      </c>
      <c r="N50" s="8" t="s">
        <v>55</v>
      </c>
    </row>
    <row r="51" spans="1:14" ht="12.75" customHeight="1" x14ac:dyDescent="0.2">
      <c r="A51" s="8" t="s">
        <v>74</v>
      </c>
      <c r="B51" s="18">
        <v>49779</v>
      </c>
      <c r="C51" s="19">
        <v>0</v>
      </c>
      <c r="D51" s="8" t="s">
        <v>123</v>
      </c>
      <c r="E51" s="20">
        <v>0</v>
      </c>
      <c r="F51" s="20">
        <v>3</v>
      </c>
      <c r="G51" s="8" t="s">
        <v>54</v>
      </c>
      <c r="H51" s="20">
        <v>3</v>
      </c>
      <c r="I51" s="8" t="s">
        <v>124</v>
      </c>
      <c r="J51" s="19">
        <v>0</v>
      </c>
      <c r="K51" s="8" t="s">
        <v>195</v>
      </c>
      <c r="L51" s="8" t="s">
        <v>55</v>
      </c>
      <c r="M51" s="8" t="s">
        <v>55</v>
      </c>
      <c r="N51" s="8" t="s">
        <v>55</v>
      </c>
    </row>
    <row r="52" spans="1:14" ht="12.75" customHeight="1" x14ac:dyDescent="0.2">
      <c r="A52" s="8" t="s">
        <v>53</v>
      </c>
      <c r="B52" s="18">
        <v>49780</v>
      </c>
      <c r="C52" s="19">
        <v>0</v>
      </c>
      <c r="D52" s="8" t="s">
        <v>196</v>
      </c>
      <c r="E52" s="20">
        <v>0</v>
      </c>
      <c r="F52" s="20">
        <v>0</v>
      </c>
      <c r="G52" s="8" t="s">
        <v>54</v>
      </c>
      <c r="H52" s="20">
        <v>0</v>
      </c>
      <c r="I52" s="8" t="s">
        <v>197</v>
      </c>
      <c r="J52" s="19">
        <v>0</v>
      </c>
      <c r="K52" s="8" t="s">
        <v>196</v>
      </c>
      <c r="L52" s="8" t="s">
        <v>55</v>
      </c>
      <c r="M52" s="8" t="s">
        <v>55</v>
      </c>
      <c r="N52" s="8" t="s">
        <v>55</v>
      </c>
    </row>
    <row r="53" spans="1:14" ht="12.75" customHeight="1" x14ac:dyDescent="0.2">
      <c r="A53" s="8" t="s">
        <v>62</v>
      </c>
      <c r="B53" s="18">
        <v>49781</v>
      </c>
      <c r="C53" s="19">
        <v>0</v>
      </c>
      <c r="D53" s="8" t="s">
        <v>125</v>
      </c>
      <c r="E53" s="20">
        <v>0</v>
      </c>
      <c r="F53" s="20">
        <v>1</v>
      </c>
      <c r="G53" s="8" t="s">
        <v>54</v>
      </c>
      <c r="H53" s="20">
        <v>1</v>
      </c>
      <c r="I53" s="8" t="s">
        <v>126</v>
      </c>
      <c r="J53" s="19">
        <v>0</v>
      </c>
      <c r="K53" s="8" t="s">
        <v>127</v>
      </c>
      <c r="L53" s="8" t="s">
        <v>55</v>
      </c>
      <c r="M53" s="8" t="s">
        <v>55</v>
      </c>
      <c r="N53" s="8" t="s">
        <v>55</v>
      </c>
    </row>
    <row r="54" spans="1:14" ht="12.75" customHeight="1" x14ac:dyDescent="0.2">
      <c r="A54" s="8" t="s">
        <v>74</v>
      </c>
      <c r="B54" s="18">
        <v>49782</v>
      </c>
      <c r="C54" s="19">
        <v>0</v>
      </c>
      <c r="D54" s="8" t="s">
        <v>128</v>
      </c>
      <c r="E54" s="20">
        <v>0</v>
      </c>
      <c r="F54" s="20">
        <v>1</v>
      </c>
      <c r="G54" s="8" t="s">
        <v>54</v>
      </c>
      <c r="H54" s="20">
        <v>1</v>
      </c>
      <c r="I54" s="8" t="s">
        <v>129</v>
      </c>
      <c r="J54" s="19">
        <v>0</v>
      </c>
      <c r="K54" s="8" t="s">
        <v>130</v>
      </c>
      <c r="L54" s="8" t="s">
        <v>55</v>
      </c>
      <c r="M54" s="8" t="s">
        <v>55</v>
      </c>
      <c r="N54" s="8" t="s">
        <v>55</v>
      </c>
    </row>
    <row r="55" spans="1:14" ht="12.75" customHeight="1" x14ac:dyDescent="0.2">
      <c r="A55" s="8" t="s">
        <v>53</v>
      </c>
      <c r="B55" s="18">
        <v>49783</v>
      </c>
      <c r="C55" s="19">
        <v>0</v>
      </c>
      <c r="D55" s="8" t="s">
        <v>131</v>
      </c>
      <c r="E55" s="20">
        <v>0</v>
      </c>
      <c r="F55" s="20">
        <v>0</v>
      </c>
      <c r="G55" s="8" t="s">
        <v>54</v>
      </c>
      <c r="H55" s="20">
        <v>0</v>
      </c>
      <c r="I55" s="8" t="s">
        <v>132</v>
      </c>
      <c r="J55" s="19">
        <v>0</v>
      </c>
      <c r="K55" s="8" t="s">
        <v>133</v>
      </c>
      <c r="L55" s="8" t="s">
        <v>55</v>
      </c>
      <c r="M55" s="8" t="s">
        <v>55</v>
      </c>
      <c r="N55" s="8" t="s">
        <v>55</v>
      </c>
    </row>
    <row r="56" spans="1:14" ht="12.75" customHeight="1" x14ac:dyDescent="0.2">
      <c r="A56" s="8" t="s">
        <v>53</v>
      </c>
      <c r="B56" s="18">
        <v>49784</v>
      </c>
      <c r="C56" s="19">
        <v>0</v>
      </c>
      <c r="D56" s="8" t="s">
        <v>198</v>
      </c>
      <c r="E56" s="20">
        <v>0</v>
      </c>
      <c r="F56" s="20">
        <v>0</v>
      </c>
      <c r="G56" s="8" t="s">
        <v>54</v>
      </c>
      <c r="H56" s="20">
        <v>0</v>
      </c>
      <c r="I56" s="8" t="s">
        <v>199</v>
      </c>
      <c r="J56" s="19">
        <v>0</v>
      </c>
      <c r="K56" s="8" t="s">
        <v>198</v>
      </c>
      <c r="L56" s="8" t="s">
        <v>55</v>
      </c>
      <c r="M56" s="8" t="s">
        <v>55</v>
      </c>
      <c r="N56" s="8" t="s">
        <v>55</v>
      </c>
    </row>
    <row r="57" spans="1:14" ht="12.75" customHeight="1" x14ac:dyDescent="0.2">
      <c r="A57" s="8" t="s">
        <v>53</v>
      </c>
      <c r="B57" s="18">
        <v>49785</v>
      </c>
      <c r="C57" s="19">
        <v>0</v>
      </c>
      <c r="D57" s="8" t="s">
        <v>200</v>
      </c>
      <c r="E57" s="20">
        <v>0</v>
      </c>
      <c r="F57" s="20">
        <v>0</v>
      </c>
      <c r="G57" s="8" t="s">
        <v>54</v>
      </c>
      <c r="H57" s="20">
        <v>0</v>
      </c>
      <c r="I57" s="8" t="s">
        <v>201</v>
      </c>
      <c r="J57" s="19">
        <v>0</v>
      </c>
      <c r="K57" s="8" t="s">
        <v>200</v>
      </c>
      <c r="L57" s="8" t="s">
        <v>55</v>
      </c>
      <c r="M57" s="8" t="s">
        <v>55</v>
      </c>
      <c r="N57" s="8" t="s">
        <v>55</v>
      </c>
    </row>
    <row r="58" spans="1:14" ht="12.75" customHeight="1" x14ac:dyDescent="0.2">
      <c r="A58" s="8" t="s">
        <v>115</v>
      </c>
      <c r="B58" s="18">
        <v>49786</v>
      </c>
      <c r="C58" s="19">
        <v>0</v>
      </c>
      <c r="D58" s="8" t="s">
        <v>134</v>
      </c>
      <c r="E58" s="20">
        <v>0</v>
      </c>
      <c r="F58" s="20">
        <v>2</v>
      </c>
      <c r="G58" s="8" t="s">
        <v>54</v>
      </c>
      <c r="H58" s="20">
        <v>2</v>
      </c>
      <c r="I58" s="8" t="s">
        <v>135</v>
      </c>
      <c r="J58" s="19">
        <v>0</v>
      </c>
      <c r="K58" s="8" t="s">
        <v>136</v>
      </c>
      <c r="L58" s="8" t="s">
        <v>55</v>
      </c>
      <c r="M58" s="8" t="s">
        <v>55</v>
      </c>
      <c r="N58" s="8" t="s">
        <v>55</v>
      </c>
    </row>
    <row r="59" spans="1:14" ht="12.75" customHeight="1" x14ac:dyDescent="0.2">
      <c r="A59" s="8" t="s">
        <v>62</v>
      </c>
      <c r="B59" s="18">
        <v>49787</v>
      </c>
      <c r="C59" s="19">
        <v>0</v>
      </c>
      <c r="D59" s="8" t="s">
        <v>137</v>
      </c>
      <c r="E59" s="20">
        <v>0</v>
      </c>
      <c r="F59" s="20">
        <v>8</v>
      </c>
      <c r="G59" s="8" t="s">
        <v>54</v>
      </c>
      <c r="H59" s="20">
        <v>8</v>
      </c>
      <c r="I59" s="8" t="s">
        <v>138</v>
      </c>
      <c r="J59" s="19">
        <v>0</v>
      </c>
      <c r="K59" s="8" t="s">
        <v>139</v>
      </c>
      <c r="L59" s="8" t="s">
        <v>55</v>
      </c>
      <c r="M59" s="8" t="s">
        <v>55</v>
      </c>
      <c r="N59" s="8" t="s">
        <v>55</v>
      </c>
    </row>
    <row r="60" spans="1:14" ht="12.75" customHeight="1" x14ac:dyDescent="0.2">
      <c r="A60" s="8" t="s">
        <v>53</v>
      </c>
      <c r="B60" s="18">
        <v>49788</v>
      </c>
      <c r="C60" s="19">
        <v>0</v>
      </c>
      <c r="D60" s="8" t="s">
        <v>140</v>
      </c>
      <c r="E60" s="20">
        <v>0</v>
      </c>
      <c r="F60" s="20">
        <v>0</v>
      </c>
      <c r="G60" s="8" t="s">
        <v>54</v>
      </c>
      <c r="H60" s="20">
        <v>0</v>
      </c>
      <c r="I60" s="8" t="s">
        <v>141</v>
      </c>
      <c r="J60" s="19">
        <v>0</v>
      </c>
      <c r="K60" s="8" t="s">
        <v>140</v>
      </c>
      <c r="L60" s="8" t="s">
        <v>55</v>
      </c>
      <c r="M60" s="8" t="s">
        <v>55</v>
      </c>
      <c r="N60" s="8" t="s">
        <v>55</v>
      </c>
    </row>
    <row r="61" spans="1:14" ht="12.75" customHeight="1" x14ac:dyDescent="0.2">
      <c r="A61" s="8" t="s">
        <v>53</v>
      </c>
      <c r="B61" s="18">
        <v>49789</v>
      </c>
      <c r="C61" s="19">
        <v>0</v>
      </c>
      <c r="D61" s="8" t="s">
        <v>142</v>
      </c>
      <c r="E61" s="20">
        <v>0</v>
      </c>
      <c r="F61" s="20">
        <v>0</v>
      </c>
      <c r="G61" s="8" t="s">
        <v>54</v>
      </c>
      <c r="H61" s="20">
        <v>0</v>
      </c>
      <c r="I61" s="8" t="s">
        <v>143</v>
      </c>
      <c r="J61" s="19">
        <v>0</v>
      </c>
      <c r="K61" s="8" t="s">
        <v>142</v>
      </c>
      <c r="L61" s="8" t="s">
        <v>55</v>
      </c>
      <c r="M61" s="8" t="s">
        <v>55</v>
      </c>
      <c r="N61" s="8" t="s">
        <v>55</v>
      </c>
    </row>
    <row r="62" spans="1:14" ht="12.75" customHeight="1" x14ac:dyDescent="0.2">
      <c r="A62" s="8" t="s">
        <v>62</v>
      </c>
      <c r="B62" s="18">
        <v>49790</v>
      </c>
      <c r="C62" s="19">
        <v>0</v>
      </c>
      <c r="D62" s="8" t="s">
        <v>144</v>
      </c>
      <c r="E62" s="20">
        <v>0</v>
      </c>
      <c r="F62" s="20">
        <v>22</v>
      </c>
      <c r="G62" s="8" t="s">
        <v>54</v>
      </c>
      <c r="H62" s="20">
        <v>22</v>
      </c>
      <c r="I62" s="8" t="s">
        <v>145</v>
      </c>
      <c r="J62" s="19">
        <v>0</v>
      </c>
      <c r="K62" s="8" t="s">
        <v>146</v>
      </c>
      <c r="L62" s="8" t="s">
        <v>55</v>
      </c>
      <c r="M62" s="8" t="s">
        <v>55</v>
      </c>
      <c r="N62" s="8" t="s">
        <v>55</v>
      </c>
    </row>
    <row r="63" spans="1:14" ht="12.75" customHeight="1" x14ac:dyDescent="0.2">
      <c r="A63" s="8" t="s">
        <v>53</v>
      </c>
      <c r="B63" s="18">
        <v>49791</v>
      </c>
      <c r="C63" s="19">
        <v>0</v>
      </c>
      <c r="D63" s="8" t="s">
        <v>147</v>
      </c>
      <c r="E63" s="20">
        <v>0</v>
      </c>
      <c r="F63" s="20">
        <v>0</v>
      </c>
      <c r="G63" s="8" t="s">
        <v>54</v>
      </c>
      <c r="H63" s="20">
        <v>0</v>
      </c>
      <c r="I63" s="8" t="s">
        <v>148</v>
      </c>
      <c r="J63" s="19">
        <v>0</v>
      </c>
      <c r="K63" s="8" t="s">
        <v>147</v>
      </c>
      <c r="L63" s="8" t="s">
        <v>55</v>
      </c>
      <c r="M63" s="8" t="s">
        <v>55</v>
      </c>
      <c r="N63" s="8" t="s">
        <v>55</v>
      </c>
    </row>
    <row r="64" spans="1:14" ht="12.75" customHeight="1" x14ac:dyDescent="0.2">
      <c r="A64" s="8" t="s">
        <v>115</v>
      </c>
      <c r="B64" s="18">
        <v>49792</v>
      </c>
      <c r="C64" s="19">
        <v>0</v>
      </c>
      <c r="D64" s="8" t="s">
        <v>202</v>
      </c>
      <c r="E64" s="20">
        <v>0</v>
      </c>
      <c r="F64" s="20">
        <v>2</v>
      </c>
      <c r="G64" s="8" t="s">
        <v>54</v>
      </c>
      <c r="H64" s="20">
        <v>2</v>
      </c>
      <c r="I64" s="8" t="s">
        <v>203</v>
      </c>
      <c r="J64" s="19">
        <v>0</v>
      </c>
      <c r="K64" s="8" t="s">
        <v>204</v>
      </c>
      <c r="L64" s="8" t="s">
        <v>55</v>
      </c>
      <c r="M64" s="8" t="s">
        <v>55</v>
      </c>
      <c r="N64" s="8" t="s">
        <v>55</v>
      </c>
    </row>
    <row r="65" spans="1:14" ht="12.75" customHeight="1" x14ac:dyDescent="0.2">
      <c r="A65" s="8" t="s">
        <v>53</v>
      </c>
      <c r="B65" s="18">
        <v>49793</v>
      </c>
      <c r="C65" s="19">
        <v>0</v>
      </c>
      <c r="D65" s="8" t="s">
        <v>205</v>
      </c>
      <c r="E65" s="20">
        <v>0</v>
      </c>
      <c r="F65" s="20">
        <v>0</v>
      </c>
      <c r="G65" s="8" t="s">
        <v>54</v>
      </c>
      <c r="H65" s="20">
        <v>0</v>
      </c>
      <c r="I65" s="8" t="s">
        <v>206</v>
      </c>
      <c r="J65" s="19">
        <v>0</v>
      </c>
      <c r="K65" s="8" t="s">
        <v>205</v>
      </c>
      <c r="L65" s="8" t="s">
        <v>55</v>
      </c>
      <c r="M65" s="8" t="s">
        <v>55</v>
      </c>
      <c r="N65" s="8" t="s">
        <v>55</v>
      </c>
    </row>
    <row r="66" spans="1:14" ht="12.75" customHeight="1" x14ac:dyDescent="0.2">
      <c r="A66" s="8" t="s">
        <v>53</v>
      </c>
      <c r="B66" s="18">
        <v>49794</v>
      </c>
      <c r="C66" s="19">
        <v>0</v>
      </c>
      <c r="D66" s="8" t="s">
        <v>207</v>
      </c>
      <c r="E66" s="20">
        <v>0</v>
      </c>
      <c r="F66" s="20">
        <v>0</v>
      </c>
      <c r="G66" s="8" t="s">
        <v>54</v>
      </c>
      <c r="H66" s="20">
        <v>0</v>
      </c>
      <c r="I66" s="8" t="s">
        <v>208</v>
      </c>
      <c r="J66" s="19">
        <v>0</v>
      </c>
      <c r="K66" s="8" t="s">
        <v>207</v>
      </c>
      <c r="L66" s="8" t="s">
        <v>55</v>
      </c>
      <c r="M66" s="8" t="s">
        <v>55</v>
      </c>
      <c r="N66" s="8" t="s">
        <v>55</v>
      </c>
    </row>
    <row r="67" spans="1:14" ht="12.75" customHeight="1" x14ac:dyDescent="0.2">
      <c r="A67" s="8" t="s">
        <v>62</v>
      </c>
      <c r="B67" s="18">
        <v>49795</v>
      </c>
      <c r="C67" s="19">
        <v>0</v>
      </c>
      <c r="D67" s="8" t="s">
        <v>63</v>
      </c>
      <c r="E67" s="20">
        <v>0</v>
      </c>
      <c r="F67" s="20">
        <v>2</v>
      </c>
      <c r="G67" s="8" t="s">
        <v>54</v>
      </c>
      <c r="H67" s="20">
        <v>2</v>
      </c>
      <c r="I67" s="8" t="s">
        <v>64</v>
      </c>
      <c r="J67" s="19">
        <v>0</v>
      </c>
      <c r="K67" s="8" t="s">
        <v>149</v>
      </c>
      <c r="L67" s="8" t="s">
        <v>55</v>
      </c>
      <c r="M67" s="8" t="s">
        <v>55</v>
      </c>
      <c r="N67" s="8" t="s">
        <v>55</v>
      </c>
    </row>
    <row r="68" spans="1:14" ht="12.75" customHeight="1" x14ac:dyDescent="0.2">
      <c r="A68" s="8" t="s">
        <v>53</v>
      </c>
      <c r="B68" s="18">
        <v>49796</v>
      </c>
      <c r="C68" s="19">
        <v>0</v>
      </c>
      <c r="D68" s="8" t="s">
        <v>65</v>
      </c>
      <c r="E68" s="20">
        <v>0</v>
      </c>
      <c r="F68" s="20">
        <v>0</v>
      </c>
      <c r="G68" s="8" t="s">
        <v>54</v>
      </c>
      <c r="H68" s="20">
        <v>0</v>
      </c>
      <c r="I68" s="8" t="s">
        <v>66</v>
      </c>
      <c r="J68" s="19">
        <v>0</v>
      </c>
      <c r="K68" s="8" t="s">
        <v>67</v>
      </c>
      <c r="L68" s="8" t="s">
        <v>55</v>
      </c>
      <c r="M68" s="8" t="s">
        <v>55</v>
      </c>
      <c r="N68" s="8" t="s">
        <v>55</v>
      </c>
    </row>
    <row r="69" spans="1:14" ht="12.75" customHeight="1" x14ac:dyDescent="0.2">
      <c r="A69" s="8" t="s">
        <v>68</v>
      </c>
      <c r="B69" s="18">
        <v>49797</v>
      </c>
      <c r="C69" s="19">
        <v>0</v>
      </c>
      <c r="D69" s="8" t="s">
        <v>69</v>
      </c>
      <c r="E69" s="20">
        <v>0</v>
      </c>
      <c r="F69" s="20">
        <v>3</v>
      </c>
      <c r="G69" s="8" t="s">
        <v>54</v>
      </c>
      <c r="H69" s="20">
        <v>3</v>
      </c>
      <c r="I69" s="8" t="s">
        <v>70</v>
      </c>
      <c r="J69" s="19">
        <v>0</v>
      </c>
      <c r="K69" s="8" t="s">
        <v>71</v>
      </c>
      <c r="L69" s="8" t="s">
        <v>55</v>
      </c>
      <c r="M69" s="8" t="s">
        <v>55</v>
      </c>
      <c r="N69" s="8" t="s">
        <v>55</v>
      </c>
    </row>
    <row r="70" spans="1:14" ht="12.75" customHeight="1" x14ac:dyDescent="0.2"/>
    <row r="71" spans="1:14" ht="12.75" customHeight="1" x14ac:dyDescent="0.2">
      <c r="B71" s="8" t="s">
        <v>16</v>
      </c>
      <c r="C71" s="8" t="s">
        <v>154</v>
      </c>
      <c r="E71" s="8" t="s">
        <v>19</v>
      </c>
      <c r="F71" s="8" t="s">
        <v>19</v>
      </c>
      <c r="G71" s="8" t="s">
        <v>21</v>
      </c>
      <c r="H71" s="8" t="s">
        <v>19</v>
      </c>
      <c r="J71" s="8" t="s">
        <v>19</v>
      </c>
    </row>
    <row r="72" spans="1:14" ht="12.75" customHeight="1" x14ac:dyDescent="0.2"/>
    <row r="73" spans="1:14" ht="12.75" customHeight="1" x14ac:dyDescent="0.2"/>
    <row r="74" spans="1:14" ht="12.75" customHeight="1" x14ac:dyDescent="0.2"/>
    <row r="75" spans="1:14" ht="12.75" customHeight="1" x14ac:dyDescent="0.2"/>
    <row r="76" spans="1:14" ht="12.75" customHeight="1" x14ac:dyDescent="0.2"/>
    <row r="77" spans="1:14" ht="12.75" customHeight="1" x14ac:dyDescent="0.2"/>
    <row r="78" spans="1:14" ht="12.75" customHeight="1" x14ac:dyDescent="0.2"/>
    <row r="79" spans="1:14" ht="12.75" customHeight="1" x14ac:dyDescent="0.2"/>
    <row r="80" spans="1:14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041-24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72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041-24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72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041-24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72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041-24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72</v>
      </c>
      <c r="B22" s="38">
        <f>'Build Plan w Hours'!E10</f>
        <v>4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041-24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72</v>
      </c>
      <c r="B28" s="38">
        <f>'Build Plan w Hours'!E11</f>
        <v>7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041-24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 t="str">
        <f>'Build Plan w Hours'!D12</f>
        <v/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72</v>
      </c>
      <c r="B34" s="38">
        <f>'Build Plan w Hours'!E12</f>
        <v>6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041-24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.165</v>
      </c>
      <c r="C38" s="40" t="str">
        <f>'Build Plan w Hours'!D13</f>
        <v>Build supports: legs, lugs, saddles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72</v>
      </c>
      <c r="B40" s="38">
        <f>'Build Plan w Hours'!E13</f>
        <v>8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041-24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.170</v>
      </c>
      <c r="C44" s="40" t="str">
        <f>'Build Plan w Hours'!D14</f>
        <v>Roll repads: drill and tap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72</v>
      </c>
      <c r="B46" s="38">
        <f>'Build Plan w Hours'!E14</f>
        <v>3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041-24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.200</v>
      </c>
      <c r="C50" s="40" t="str">
        <f>'Build Plan w Hours'!D15</f>
        <v>Make lift lugs, ground lugs, etc.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72</v>
      </c>
      <c r="B52" s="38">
        <f>'Build Plan w Hours'!E15</f>
        <v>2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041-24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.252</v>
      </c>
      <c r="C56" s="40" t="str">
        <f>'Build Plan w Hours'!D16</f>
        <v>Fabricate miscellaneous parts_x000D_
CUT ROUND BAR FOR MANWAY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72</v>
      </c>
      <c r="B58" s="38">
        <f>'Build Plan w Hours'!E16</f>
        <v>2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041-24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.QC2</v>
      </c>
      <c r="C62" s="40" t="str">
        <f>'Build Plan w Hours'!D17</f>
        <v>QC Inspection - Components prior to shipping to Subcontractor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72</v>
      </c>
      <c r="B64" s="38">
        <f>'Build Plan w Hours'!E17</f>
        <v>0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041-24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.300</v>
      </c>
      <c r="C68" s="40" t="str">
        <f>'Build Plan w Hours'!D18</f>
        <v>Wrap top and bottom heads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72</v>
      </c>
      <c r="B70" s="38">
        <f>'Build Plan w Hours'!E18</f>
        <v>1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041-24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.QC3</v>
      </c>
      <c r="C74" s="40" t="str">
        <f>'Build Plan w Hours'!D19</f>
        <v>UT Shells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72</v>
      </c>
      <c r="B76" s="38">
        <f>'Build Plan w Hours'!E19</f>
        <v>0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041-24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.305</v>
      </c>
      <c r="C80" s="40" t="str">
        <f>'Build Plan w Hours'!D20</f>
        <v>Shells: bring in plate, square, trim and clean_x000D_
PREP (1) DOUBLE SHELL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72</v>
      </c>
      <c r="B82" s="38">
        <f>'Build Plan w Hours'!E20</f>
        <v>5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041-24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ROLL (1) DOUBLE SHELL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72</v>
      </c>
      <c r="B88" s="38">
        <f>'Build Plan w Hours'!E21</f>
        <v>4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041-24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72</v>
      </c>
      <c r="B94" s="38">
        <f>'Build Plan w Hours'!E22</f>
        <v>0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041-24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holes_x000D_
CUT ON BURN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72</v>
      </c>
      <c r="B100" s="38">
        <f>'Build Plan w Hours'!E23</f>
        <v>3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041-24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.365</v>
      </c>
      <c r="C104" s="40" t="str">
        <f>'Build Plan w Hours'!D24</f>
        <v>Set  nozzles, lift lugs, etc. in top head - tack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72</v>
      </c>
      <c r="B106" s="38">
        <f>'Build Plan w Hours'!E24</f>
        <v>4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041-24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.366</v>
      </c>
      <c r="C110" s="40" t="str">
        <f>'Build Plan w Hours'!D25</f>
        <v>Weld out top head nozzles, etc.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72</v>
      </c>
      <c r="B112" s="38">
        <f>'Build Plan w Hours'!E25</f>
        <v>7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041-24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.375</v>
      </c>
      <c r="C116" s="40" t="str">
        <f>'Build Plan w Hours'!D26</f>
        <v>Install top stiffeners_x000D_
INSTALL ROUND BAR IN MANWAY OPENING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72</v>
      </c>
      <c r="B118" s="38">
        <f>'Build Plan w Hours'!E26</f>
        <v>2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041-24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.450</v>
      </c>
      <c r="C122" s="40" t="str">
        <f>'Build Plan w Hours'!D27</f>
        <v>Build bottom head/cone_x000D_
ROLL/FORM BOTTOM CONE, FIT &amp; WELD COMPLETE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72</v>
      </c>
      <c r="B124" s="38">
        <f>'Build Plan w Hours'!E27</f>
        <v>24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041-24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72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041-24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.465</v>
      </c>
      <c r="C134" s="40" t="str">
        <f>'Build Plan w Hours'!D29</f>
        <v>Set  nozzles in bottom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72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041-24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.466</v>
      </c>
      <c r="C140" s="40" t="str">
        <f>'Build Plan w Hours'!D30</f>
        <v>Weld nozzles in bottom head;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72</v>
      </c>
      <c r="B142" s="38">
        <f>'Build Plan w Hours'!E30</f>
        <v>2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041-24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.OI1</v>
      </c>
      <c r="C146" s="40" t="str">
        <f>'Build Plan w Hours'!D31</f>
        <v>ASME Hold Point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72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041-24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.600</v>
      </c>
      <c r="C152" s="40" t="str">
        <f>'Build Plan w Hours'!D32</f>
        <v>Fit bottom head to shell_x000D_
AND WELD INSIDE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72</v>
      </c>
      <c r="B154" s="38">
        <f>'Build Plan w Hours'!E32</f>
        <v>8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041-24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.620</v>
      </c>
      <c r="C158" s="40" t="str">
        <f>'Build Plan w Hours'!D33</f>
        <v>Lay out shell, burn and clean holes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72</v>
      </c>
      <c r="B160" s="38">
        <f>'Build Plan w Hours'!E33</f>
        <v>1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041-24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.QC5</v>
      </c>
      <c r="C164" s="40" t="str">
        <f>'Build Plan w Hours'!D34</f>
        <v>QC Inspection - Internal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72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041-24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.640</v>
      </c>
      <c r="C170" s="40" t="str">
        <f>'Build Plan w Hours'!D35</f>
        <v>Fit top head to shell -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72</v>
      </c>
      <c r="B172" s="38">
        <f>'Build Plan w Hours'!E35</f>
        <v>4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041-24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.641</v>
      </c>
      <c r="C176" s="40" t="str">
        <f>'Build Plan w Hours'!D36</f>
        <v>Weld top head to shell - inside_x000D_
INCL HOLE WATCH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72</v>
      </c>
      <c r="B178" s="38">
        <f>'Build Plan w Hours'!E36</f>
        <v>7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041-24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.645</v>
      </c>
      <c r="C182" s="40" t="str">
        <f>'Build Plan w Hours'!D37</f>
        <v>Weld all outside seams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72</v>
      </c>
      <c r="B184" s="38">
        <f>'Build Plan w Hours'!E37</f>
        <v>12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041-24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.800</v>
      </c>
      <c r="C188" s="40" t="str">
        <f>'Build Plan w Hours'!D38</f>
        <v>Move tank to detail rolls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72</v>
      </c>
      <c r="B190" s="38">
        <f>'Build Plan w Hours'!E38</f>
        <v>2</v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041-24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.720</v>
      </c>
      <c r="C194" s="40" t="str">
        <f>'Build Plan w Hours'!D39</f>
        <v>Install supports - legs, lugs, anchors, saddles, skirt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72</v>
      </c>
      <c r="B196" s="38">
        <f>'Build Plan w Hours'!E39</f>
        <v>16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041-24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.725</v>
      </c>
      <c r="C200" s="40" t="str">
        <f>'Build Plan w Hours'!D40</f>
        <v>Set nozzles in shell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72</v>
      </c>
      <c r="B202" s="38">
        <f>'Build Plan w Hours'!E40</f>
        <v>1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041-24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.726</v>
      </c>
      <c r="C206" s="40" t="str">
        <f>'Build Plan w Hours'!D41</f>
        <v>Weld shell nozzles, manways, etc._x000D_
INCL HOLE WATCH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72</v>
      </c>
      <c r="B208" s="38">
        <f>'Build Plan w Hours'!E41</f>
        <v>3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041-24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.QC51</v>
      </c>
      <c r="C212" s="40" t="str">
        <f>'Build Plan w Hours'!D42</f>
        <v>UT Components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72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041-24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.765</v>
      </c>
      <c r="C218" s="40" t="str">
        <f>'Build Plan w Hours'!D43</f>
        <v>Install name tag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72</v>
      </c>
      <c r="B220" s="38">
        <f>'Build Plan w Hours'!E43</f>
        <v>1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041-24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.770</v>
      </c>
      <c r="C224" s="40" t="str">
        <f>'Build Plan w Hours'!D44</f>
        <v>Inspect tank, make repairs, get QC inspector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72</v>
      </c>
      <c r="B226" s="38">
        <f>'Build Plan w Hours'!E44</f>
        <v>1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041-24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.QC6</v>
      </c>
      <c r="C230" s="40" t="str">
        <f>'Build Plan w Hours'!D45</f>
        <v>QC Inspection - Fabrication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72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041-24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.OI4</v>
      </c>
      <c r="C236" s="40" t="str">
        <f>'Build Plan w Hours'!D46</f>
        <v>Customer Inspection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72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041-24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.OI2</v>
      </c>
      <c r="C242" s="40" t="str">
        <f>'Build Plan w Hours'!D47</f>
        <v>ASME Inspection Internal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72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041-24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.801</v>
      </c>
      <c r="C248" s="40" t="str">
        <f>'Build Plan w Hours'!D48</f>
        <v>Move to shop test area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72</v>
      </c>
      <c r="B250" s="38">
        <f>'Build Plan w Hours'!E48</f>
        <v>2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041-24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.910</v>
      </c>
      <c r="C254" s="40" t="str">
        <f>'Build Plan w Hours'!D49</f>
        <v>Test tank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72</v>
      </c>
      <c r="B256" s="38">
        <f>'Build Plan w Hours'!E49</f>
        <v>8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041-24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.QC7</v>
      </c>
      <c r="C260" s="40" t="str">
        <f>'Build Plan w Hours'!D50</f>
        <v>QC Inspection - Test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72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041-24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.OI3</v>
      </c>
      <c r="C266" s="40" t="str">
        <f>'Build Plan w Hours'!D51</f>
        <v>ASME Inspection Test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72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041-24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.920</v>
      </c>
      <c r="C272" s="40" t="str">
        <f>'Build Plan w Hours'!D52</f>
        <v>Clean tank complete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72</v>
      </c>
      <c r="B274" s="38">
        <f>'Build Plan w Hours'!E52</f>
        <v>22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041-24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.QC8</v>
      </c>
      <c r="C278" s="40" t="str">
        <f>'Build Plan w Hours'!D53</f>
        <v>QC Inspection - Clean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72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041-24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.802</v>
      </c>
      <c r="C284" s="40" t="str">
        <f>'Build Plan w Hours'!D54</f>
        <v>Move to paint area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72</v>
      </c>
      <c r="B286" s="38">
        <f>'Build Plan w Hours'!E54</f>
        <v>2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041-24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.QC9</v>
      </c>
      <c r="C290" s="40" t="str">
        <f>'Build Plan w Hours'!D55</f>
        <v>QC Inspection - Sandblast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72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041-24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.QC90</v>
      </c>
      <c r="C296" s="40" t="str">
        <f>'Build Plan w Hours'!D56</f>
        <v>QC Inspection - Paint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72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041-24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.940</v>
      </c>
      <c r="C302" s="40" t="str">
        <f>'Build Plan w Hours'!D57</f>
        <v>Prepare tank for shipment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72</v>
      </c>
      <c r="B304" s="38">
        <f>'Build Plan w Hours'!E57</f>
        <v>2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041-24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.QC95</v>
      </c>
      <c r="C308" s="40" t="str">
        <f>'Build Plan w Hours'!D58</f>
        <v>QC Inspection - Final &amp; Loose Items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72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041-24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.960</v>
      </c>
      <c r="C314" s="40" t="str">
        <f>'Build Plan w Hours'!D59</f>
        <v>Load on truck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72</v>
      </c>
      <c r="B316" s="38">
        <f>'Build Plan w Hours'!E59</f>
        <v>3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041-24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72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041-24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72</v>
      </c>
      <c r="B328" s="38" t="str">
        <f>'Build Plan w Hours'!E61</f>
        <v/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041-24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72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041-24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72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041-24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72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041-24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72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041-24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72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041-24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72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041-24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72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041-24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72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041-24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72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041-24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72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041-24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72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041-24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72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041-24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72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041-24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72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041-24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72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041-24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72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041-24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72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041-24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72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041-24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72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041-24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72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041-24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72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041-24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72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041-24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72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041-24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72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041-24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72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041-24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73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041-24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73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041-24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73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041-24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73</v>
      </c>
    </row>
    <row r="20" spans="1:9" ht="21.75" customHeight="1" x14ac:dyDescent="0.25">
      <c r="A20" s="29" t="s">
        <v>13</v>
      </c>
      <c r="B20" s="31" t="str">
        <f>'Build Plan w Hours'!C10</f>
        <v>.105</v>
      </c>
      <c r="C20" s="40" t="str">
        <f>'Build Plan w Hours'!D10</f>
        <v>Build nozzles and weld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041-24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73</v>
      </c>
    </row>
    <row r="26" spans="1:9" ht="21.75" customHeight="1" x14ac:dyDescent="0.25">
      <c r="A26" s="29" t="s">
        <v>13</v>
      </c>
      <c r="B26" s="31" t="str">
        <f>'Build Plan w Hours'!C11</f>
        <v>.155</v>
      </c>
      <c r="C26" s="40" t="str">
        <f>'Build Plan w Hours'!D11</f>
        <v>Burn and clean parts:  lugs, supports, repads, base ring, etc. (CHECK!)</v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041-24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73</v>
      </c>
    </row>
    <row r="32" spans="1:9" ht="21.75" customHeight="1" x14ac:dyDescent="0.25">
      <c r="A32" s="29" t="s">
        <v>13</v>
      </c>
      <c r="B32" s="31" t="str">
        <f>'Build Plan w Hours'!C12</f>
        <v>.156</v>
      </c>
      <c r="C32" s="40" t="str">
        <f>'Build Plan w Hours'!D12</f>
        <v/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041-24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73</v>
      </c>
    </row>
    <row r="38" spans="1:9" ht="21.75" customHeight="1" x14ac:dyDescent="0.25">
      <c r="A38" s="29" t="s">
        <v>13</v>
      </c>
      <c r="B38" s="31" t="str">
        <f>'Build Plan w Hours'!C13</f>
        <v>.165</v>
      </c>
      <c r="C38" s="40" t="str">
        <f>'Build Plan w Hours'!D13</f>
        <v>Build supports: legs, lugs, saddles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041-24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73</v>
      </c>
    </row>
    <row r="44" spans="1:9" ht="21.75" customHeight="1" x14ac:dyDescent="0.25">
      <c r="A44" s="29" t="s">
        <v>13</v>
      </c>
      <c r="B44" s="31" t="str">
        <f>'Build Plan w Hours'!C14</f>
        <v>.170</v>
      </c>
      <c r="C44" s="40" t="str">
        <f>'Build Plan w Hours'!D14</f>
        <v>Roll repads: drill and tap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041-24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73</v>
      </c>
    </row>
    <row r="50" spans="1:9" ht="21.75" customHeight="1" x14ac:dyDescent="0.25">
      <c r="A50" s="29" t="s">
        <v>13</v>
      </c>
      <c r="B50" s="31" t="str">
        <f>'Build Plan w Hours'!C15</f>
        <v>.200</v>
      </c>
      <c r="C50" s="40" t="str">
        <f>'Build Plan w Hours'!D15</f>
        <v>Make lift lugs, ground lugs, etc.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041-24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73</v>
      </c>
    </row>
    <row r="56" spans="1:9" ht="21.75" customHeight="1" x14ac:dyDescent="0.25">
      <c r="A56" s="29" t="s">
        <v>13</v>
      </c>
      <c r="B56" s="31" t="str">
        <f>'Build Plan w Hours'!C16</f>
        <v>.252</v>
      </c>
      <c r="C56" s="40" t="str">
        <f>'Build Plan w Hours'!D16</f>
        <v>Fabricate miscellaneous parts_x000D_
CUT ROUND BAR FOR MANWAY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041-24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73</v>
      </c>
    </row>
    <row r="62" spans="1:9" ht="21.75" customHeight="1" x14ac:dyDescent="0.25">
      <c r="A62" s="29" t="s">
        <v>13</v>
      </c>
      <c r="B62" s="31" t="str">
        <f>'Build Plan w Hours'!C17</f>
        <v>.QC2</v>
      </c>
      <c r="C62" s="40" t="str">
        <f>'Build Plan w Hours'!D17</f>
        <v>QC Inspection - Components prior to shipping to Subcontractor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041-24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73</v>
      </c>
    </row>
    <row r="68" spans="1:9" ht="21.75" customHeight="1" x14ac:dyDescent="0.25">
      <c r="A68" s="29" t="s">
        <v>13</v>
      </c>
      <c r="B68" s="31" t="str">
        <f>'Build Plan w Hours'!C18</f>
        <v>.300</v>
      </c>
      <c r="C68" s="40" t="str">
        <f>'Build Plan w Hours'!D18</f>
        <v>Wrap top and bottom heads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041-24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73</v>
      </c>
    </row>
    <row r="74" spans="1:9" ht="21.75" customHeight="1" x14ac:dyDescent="0.25">
      <c r="A74" s="29" t="s">
        <v>13</v>
      </c>
      <c r="B74" s="31" t="str">
        <f>'Build Plan w Hours'!C19</f>
        <v>.QC3</v>
      </c>
      <c r="C74" s="40" t="str">
        <f>'Build Plan w Hours'!D19</f>
        <v>UT Shells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041-24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73</v>
      </c>
    </row>
    <row r="80" spans="1:9" ht="21.75" customHeight="1" x14ac:dyDescent="0.25">
      <c r="A80" s="29" t="s">
        <v>13</v>
      </c>
      <c r="B80" s="31" t="str">
        <f>'Build Plan w Hours'!C20</f>
        <v>.305</v>
      </c>
      <c r="C80" s="40" t="str">
        <f>'Build Plan w Hours'!D20</f>
        <v>Shells: bring in plate, square, trim and clean_x000D_
PREP (1) DOUBLE SHELL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041-24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73</v>
      </c>
    </row>
    <row r="86" spans="1:9" ht="21.75" customHeight="1" x14ac:dyDescent="0.25">
      <c r="A86" s="29" t="s">
        <v>13</v>
      </c>
      <c r="B86" s="31" t="str">
        <f>'Build Plan w Hours'!C21</f>
        <v>.315</v>
      </c>
      <c r="C86" s="40" t="str">
        <f>'Build Plan w Hours'!D21</f>
        <v>Roll shells, tack and weld inside seams_x000D_
ROLL (1) DOUBLE SHELL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041-24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73</v>
      </c>
    </row>
    <row r="92" spans="1:9" ht="21.75" customHeight="1" x14ac:dyDescent="0.25">
      <c r="A92" s="29" t="s">
        <v>13</v>
      </c>
      <c r="B92" s="31" t="str">
        <f>'Build Plan w Hours'!C22</f>
        <v>.QC4</v>
      </c>
      <c r="C92" s="40" t="str">
        <f>'Build Plan w Hours'!D22</f>
        <v>QC Inspection - Top/Bottom/Cones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041-24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73</v>
      </c>
    </row>
    <row r="98" spans="1:9" ht="21.75" customHeight="1" x14ac:dyDescent="0.25">
      <c r="A98" s="29" t="s">
        <v>13</v>
      </c>
      <c r="B98" s="31" t="str">
        <f>'Build Plan w Hours'!C23</f>
        <v>.355</v>
      </c>
      <c r="C98" s="40" t="str">
        <f>'Build Plan w Hours'!D23</f>
        <v>Lay out top head, burn and clean holes_x000D_
CUT ON BURN TABLE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041-24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73</v>
      </c>
    </row>
    <row r="104" spans="1:9" ht="21.75" customHeight="1" x14ac:dyDescent="0.25">
      <c r="A104" s="29" t="s">
        <v>13</v>
      </c>
      <c r="B104" s="31" t="str">
        <f>'Build Plan w Hours'!C24</f>
        <v>.365</v>
      </c>
      <c r="C104" s="40" t="str">
        <f>'Build Plan w Hours'!D24</f>
        <v>Set  nozzles, lift lugs, etc. in top head - tack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041-24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73</v>
      </c>
    </row>
    <row r="110" spans="1:9" ht="21.75" customHeight="1" x14ac:dyDescent="0.25">
      <c r="A110" s="29" t="s">
        <v>13</v>
      </c>
      <c r="B110" s="31" t="str">
        <f>'Build Plan w Hours'!C25</f>
        <v>.366</v>
      </c>
      <c r="C110" s="40" t="str">
        <f>'Build Plan w Hours'!D25</f>
        <v>Weld out top head nozzles, etc.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041-24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73</v>
      </c>
    </row>
    <row r="116" spans="1:9" ht="21.75" customHeight="1" x14ac:dyDescent="0.25">
      <c r="A116" s="29" t="s">
        <v>13</v>
      </c>
      <c r="B116" s="31" t="str">
        <f>'Build Plan w Hours'!C26</f>
        <v>.375</v>
      </c>
      <c r="C116" s="40" t="str">
        <f>'Build Plan w Hours'!D26</f>
        <v>Install top stiffeners_x000D_
INSTALL ROUND BAR IN MANWAY OPENING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041-24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73</v>
      </c>
    </row>
    <row r="122" spans="1:9" ht="21.75" customHeight="1" x14ac:dyDescent="0.25">
      <c r="A122" s="29" t="s">
        <v>13</v>
      </c>
      <c r="B122" s="31" t="str">
        <f>'Build Plan w Hours'!C27</f>
        <v>.450</v>
      </c>
      <c r="C122" s="40" t="str">
        <f>'Build Plan w Hours'!D27</f>
        <v>Build bottom head/cone_x000D_
ROLL/FORM BOTTOM CONE, FIT &amp; WELD COMPLETE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041-24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73</v>
      </c>
    </row>
    <row r="128" spans="1:9" ht="21.75" customHeight="1" x14ac:dyDescent="0.25">
      <c r="A128" s="29" t="s">
        <v>13</v>
      </c>
      <c r="B128" s="31" t="str">
        <f>'Build Plan w Hours'!C28</f>
        <v>.QC4</v>
      </c>
      <c r="C128" s="40" t="str">
        <f>'Build Plan w Hours'!D28</f>
        <v>QC Inspection - Top/Bottom/Cones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041-24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73</v>
      </c>
    </row>
    <row r="134" spans="1:9" ht="21.75" customHeight="1" x14ac:dyDescent="0.25">
      <c r="A134" s="29" t="s">
        <v>13</v>
      </c>
      <c r="B134" s="31" t="str">
        <f>'Build Plan w Hours'!C29</f>
        <v>.465</v>
      </c>
      <c r="C134" s="40" t="str">
        <f>'Build Plan w Hours'!D29</f>
        <v>Set  nozzles in bottom head - tack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041-24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73</v>
      </c>
    </row>
    <row r="140" spans="1:9" ht="21.75" customHeight="1" x14ac:dyDescent="0.25">
      <c r="A140" s="29" t="s">
        <v>13</v>
      </c>
      <c r="B140" s="31" t="str">
        <f>'Build Plan w Hours'!C30</f>
        <v>.466</v>
      </c>
      <c r="C140" s="40" t="str">
        <f>'Build Plan w Hours'!D30</f>
        <v>Weld nozzles in bottom head; weld complete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041-24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73</v>
      </c>
    </row>
    <row r="146" spans="1:9" ht="21.75" customHeight="1" x14ac:dyDescent="0.25">
      <c r="A146" s="29" t="s">
        <v>13</v>
      </c>
      <c r="B146" s="31" t="str">
        <f>'Build Plan w Hours'!C31</f>
        <v>.OI1</v>
      </c>
      <c r="C146" s="40" t="str">
        <f>'Build Plan w Hours'!D31</f>
        <v>ASME Hold Point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041-24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73</v>
      </c>
    </row>
    <row r="152" spans="1:9" ht="21.75" customHeight="1" x14ac:dyDescent="0.25">
      <c r="A152" s="29" t="s">
        <v>13</v>
      </c>
      <c r="B152" s="31" t="str">
        <f>'Build Plan w Hours'!C32</f>
        <v>.600</v>
      </c>
      <c r="C152" s="40" t="str">
        <f>'Build Plan w Hours'!D32</f>
        <v>Fit bottom head to shell_x000D_
AND WELD INSIDE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041-24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73</v>
      </c>
    </row>
    <row r="158" spans="1:9" ht="21.75" customHeight="1" x14ac:dyDescent="0.25">
      <c r="A158" s="29" t="s">
        <v>13</v>
      </c>
      <c r="B158" s="31" t="str">
        <f>'Build Plan w Hours'!C33</f>
        <v>.620</v>
      </c>
      <c r="C158" s="40" t="str">
        <f>'Build Plan w Hours'!D33</f>
        <v>Lay out shell, burn and clean holes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041-24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73</v>
      </c>
    </row>
    <row r="164" spans="1:9" ht="21.75" customHeight="1" x14ac:dyDescent="0.25">
      <c r="A164" s="29" t="s">
        <v>13</v>
      </c>
      <c r="B164" s="31" t="str">
        <f>'Build Plan w Hours'!C34</f>
        <v>.QC5</v>
      </c>
      <c r="C164" s="40" t="str">
        <f>'Build Plan w Hours'!D34</f>
        <v>QC Inspection - Internal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041-24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73</v>
      </c>
    </row>
    <row r="170" spans="1:9" ht="21.75" customHeight="1" x14ac:dyDescent="0.25">
      <c r="A170" s="29" t="s">
        <v>13</v>
      </c>
      <c r="B170" s="31" t="str">
        <f>'Build Plan w Hours'!C35</f>
        <v>.640</v>
      </c>
      <c r="C170" s="40" t="str">
        <f>'Build Plan w Hours'!D35</f>
        <v>Fit top head to shell - tack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041-24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73</v>
      </c>
    </row>
    <row r="176" spans="1:9" ht="21.75" customHeight="1" x14ac:dyDescent="0.25">
      <c r="A176" s="29" t="s">
        <v>13</v>
      </c>
      <c r="B176" s="31" t="str">
        <f>'Build Plan w Hours'!C36</f>
        <v>.641</v>
      </c>
      <c r="C176" s="40" t="str">
        <f>'Build Plan w Hours'!D36</f>
        <v>Weld top head to shell - inside_x000D_
INCL HOLE WATCH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041-24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73</v>
      </c>
    </row>
    <row r="182" spans="1:9" ht="21.75" customHeight="1" x14ac:dyDescent="0.25">
      <c r="A182" s="29" t="s">
        <v>13</v>
      </c>
      <c r="B182" s="31" t="str">
        <f>'Build Plan w Hours'!C37</f>
        <v>.645</v>
      </c>
      <c r="C182" s="40" t="str">
        <f>'Build Plan w Hours'!D37</f>
        <v>Weld all outside seams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041-24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73</v>
      </c>
    </row>
    <row r="188" spans="1:9" ht="21.75" customHeight="1" x14ac:dyDescent="0.25">
      <c r="A188" s="29" t="s">
        <v>13</v>
      </c>
      <c r="B188" s="31" t="str">
        <f>'Build Plan w Hours'!C38</f>
        <v>.800</v>
      </c>
      <c r="C188" s="40" t="str">
        <f>'Build Plan w Hours'!D38</f>
        <v>Move tank to detail rolls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041-24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73</v>
      </c>
    </row>
    <row r="194" spans="1:9" ht="21.75" customHeight="1" x14ac:dyDescent="0.25">
      <c r="A194" s="29" t="s">
        <v>13</v>
      </c>
      <c r="B194" s="31" t="str">
        <f>'Build Plan w Hours'!C39</f>
        <v>.720</v>
      </c>
      <c r="C194" s="40" t="str">
        <f>'Build Plan w Hours'!D39</f>
        <v>Install supports - legs, lugs, anchors, saddles, skirt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041-24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73</v>
      </c>
    </row>
    <row r="200" spans="1:9" ht="21.75" customHeight="1" x14ac:dyDescent="0.25">
      <c r="A200" s="29" t="s">
        <v>13</v>
      </c>
      <c r="B200" s="31" t="str">
        <f>'Build Plan w Hours'!C40</f>
        <v>.725</v>
      </c>
      <c r="C200" s="40" t="str">
        <f>'Build Plan w Hours'!D40</f>
        <v>Set nozzles in shell - tack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041-24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73</v>
      </c>
    </row>
    <row r="206" spans="1:9" ht="21.75" customHeight="1" x14ac:dyDescent="0.25">
      <c r="A206" s="29" t="s">
        <v>13</v>
      </c>
      <c r="B206" s="31" t="str">
        <f>'Build Plan w Hours'!C41</f>
        <v>.726</v>
      </c>
      <c r="C206" s="40" t="str">
        <f>'Build Plan w Hours'!D41</f>
        <v>Weld shell nozzles, manways, etc._x000D_
INCL HOLE WATCH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041-24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73</v>
      </c>
    </row>
    <row r="212" spans="1:9" ht="21.75" customHeight="1" x14ac:dyDescent="0.25">
      <c r="A212" s="29" t="s">
        <v>13</v>
      </c>
      <c r="B212" s="31" t="str">
        <f>'Build Plan w Hours'!C42</f>
        <v>.QC51</v>
      </c>
      <c r="C212" s="40" t="str">
        <f>'Build Plan w Hours'!D42</f>
        <v>UT Components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041-24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73</v>
      </c>
    </row>
    <row r="218" spans="1:9" ht="21.75" customHeight="1" x14ac:dyDescent="0.25">
      <c r="A218" s="29" t="s">
        <v>13</v>
      </c>
      <c r="B218" s="31" t="str">
        <f>'Build Plan w Hours'!C43</f>
        <v>.765</v>
      </c>
      <c r="C218" s="40" t="str">
        <f>'Build Plan w Hours'!D43</f>
        <v>Install name tag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041-24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73</v>
      </c>
    </row>
    <row r="224" spans="1:9" ht="21.75" customHeight="1" x14ac:dyDescent="0.25">
      <c r="A224" s="29" t="s">
        <v>13</v>
      </c>
      <c r="B224" s="31" t="str">
        <f>'Build Plan w Hours'!C44</f>
        <v>.770</v>
      </c>
      <c r="C224" s="40" t="str">
        <f>'Build Plan w Hours'!D44</f>
        <v>Inspect tank, make repairs, get QC inspector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041-24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73</v>
      </c>
    </row>
    <row r="230" spans="1:9" ht="21.75" customHeight="1" x14ac:dyDescent="0.25">
      <c r="A230" s="29" t="s">
        <v>13</v>
      </c>
      <c r="B230" s="31" t="str">
        <f>'Build Plan w Hours'!C45</f>
        <v>.QC6</v>
      </c>
      <c r="C230" s="40" t="str">
        <f>'Build Plan w Hours'!D45</f>
        <v>QC Inspection - Fabrication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041-24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73</v>
      </c>
    </row>
    <row r="236" spans="1:9" ht="21.75" customHeight="1" x14ac:dyDescent="0.25">
      <c r="A236" s="29" t="s">
        <v>13</v>
      </c>
      <c r="B236" s="31" t="str">
        <f>'Build Plan w Hours'!C46</f>
        <v>.OI4</v>
      </c>
      <c r="C236" s="40" t="str">
        <f>'Build Plan w Hours'!D46</f>
        <v>Customer Inspection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041-24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73</v>
      </c>
    </row>
    <row r="242" spans="1:9" ht="21.75" customHeight="1" x14ac:dyDescent="0.25">
      <c r="A242" s="29" t="s">
        <v>13</v>
      </c>
      <c r="B242" s="31" t="str">
        <f>'Build Plan w Hours'!C47</f>
        <v>.OI2</v>
      </c>
      <c r="C242" s="40" t="str">
        <f>'Build Plan w Hours'!D47</f>
        <v>ASME Inspection Internal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041-24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73</v>
      </c>
    </row>
    <row r="248" spans="1:9" ht="21.75" customHeight="1" x14ac:dyDescent="0.25">
      <c r="A248" s="29" t="s">
        <v>13</v>
      </c>
      <c r="B248" s="31" t="str">
        <f>'Build Plan w Hours'!C48</f>
        <v>.801</v>
      </c>
      <c r="C248" s="40" t="str">
        <f>'Build Plan w Hours'!D48</f>
        <v>Move to shop test area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041-24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73</v>
      </c>
    </row>
    <row r="254" spans="1:9" ht="21.75" customHeight="1" x14ac:dyDescent="0.25">
      <c r="A254" s="29" t="s">
        <v>13</v>
      </c>
      <c r="B254" s="31" t="str">
        <f>'Build Plan w Hours'!C49</f>
        <v>.910</v>
      </c>
      <c r="C254" s="40" t="str">
        <f>'Build Plan w Hours'!D49</f>
        <v>Test tank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041-24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73</v>
      </c>
    </row>
    <row r="260" spans="1:9" ht="21.75" customHeight="1" x14ac:dyDescent="0.25">
      <c r="A260" s="29" t="s">
        <v>13</v>
      </c>
      <c r="B260" s="31" t="str">
        <f>'Build Plan w Hours'!C50</f>
        <v>.QC7</v>
      </c>
      <c r="C260" s="40" t="str">
        <f>'Build Plan w Hours'!D50</f>
        <v>QC Inspection - Test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041-24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73</v>
      </c>
    </row>
    <row r="266" spans="1:9" ht="21.75" customHeight="1" x14ac:dyDescent="0.25">
      <c r="A266" s="29" t="s">
        <v>13</v>
      </c>
      <c r="B266" s="31" t="str">
        <f>'Build Plan w Hours'!C51</f>
        <v>.OI3</v>
      </c>
      <c r="C266" s="40" t="str">
        <f>'Build Plan w Hours'!D51</f>
        <v>ASME Inspection Test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041-24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73</v>
      </c>
    </row>
    <row r="272" spans="1:9" ht="21.75" customHeight="1" x14ac:dyDescent="0.25">
      <c r="A272" s="29" t="s">
        <v>13</v>
      </c>
      <c r="B272" s="31" t="str">
        <f>'Build Plan w Hours'!C52</f>
        <v>.920</v>
      </c>
      <c r="C272" s="40" t="str">
        <f>'Build Plan w Hours'!D52</f>
        <v>Clean tank complete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041-24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73</v>
      </c>
    </row>
    <row r="278" spans="1:9" ht="21.75" customHeight="1" x14ac:dyDescent="0.25">
      <c r="A278" s="29" t="s">
        <v>13</v>
      </c>
      <c r="B278" s="31" t="str">
        <f>'Build Plan w Hours'!C53</f>
        <v>.QC8</v>
      </c>
      <c r="C278" s="40" t="str">
        <f>'Build Plan w Hours'!D53</f>
        <v>QC Inspection - Clean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041-24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73</v>
      </c>
    </row>
    <row r="284" spans="1:9" ht="21.75" customHeight="1" x14ac:dyDescent="0.25">
      <c r="A284" s="29" t="s">
        <v>13</v>
      </c>
      <c r="B284" s="31" t="str">
        <f>'Build Plan w Hours'!C54</f>
        <v>.802</v>
      </c>
      <c r="C284" s="40" t="str">
        <f>'Build Plan w Hours'!D54</f>
        <v>Move to paint area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041-24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73</v>
      </c>
    </row>
    <row r="290" spans="1:9" ht="21.75" customHeight="1" x14ac:dyDescent="0.25">
      <c r="A290" s="29" t="s">
        <v>13</v>
      </c>
      <c r="B290" s="31" t="str">
        <f>'Build Plan w Hours'!C55</f>
        <v>.QC9</v>
      </c>
      <c r="C290" s="40" t="str">
        <f>'Build Plan w Hours'!D55</f>
        <v>QC Inspection - Sandblast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041-24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73</v>
      </c>
    </row>
    <row r="296" spans="1:9" ht="21.75" customHeight="1" x14ac:dyDescent="0.25">
      <c r="A296" s="29" t="s">
        <v>13</v>
      </c>
      <c r="B296" s="31" t="str">
        <f>'Build Plan w Hours'!C56</f>
        <v>.QC90</v>
      </c>
      <c r="C296" s="40" t="str">
        <f>'Build Plan w Hours'!D56</f>
        <v>QC Inspection - Paint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041-24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73</v>
      </c>
    </row>
    <row r="302" spans="1:9" ht="21.75" customHeight="1" x14ac:dyDescent="0.25">
      <c r="A302" s="29" t="s">
        <v>13</v>
      </c>
      <c r="B302" s="31" t="str">
        <f>'Build Plan w Hours'!C57</f>
        <v>.940</v>
      </c>
      <c r="C302" s="40" t="str">
        <f>'Build Plan w Hours'!D57</f>
        <v>Prepare tank for shipment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041-24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73</v>
      </c>
    </row>
    <row r="308" spans="1:9" ht="21.75" customHeight="1" x14ac:dyDescent="0.25">
      <c r="A308" s="29" t="s">
        <v>13</v>
      </c>
      <c r="B308" s="31" t="str">
        <f>'Build Plan w Hours'!C58</f>
        <v>.QC95</v>
      </c>
      <c r="C308" s="40" t="str">
        <f>'Build Plan w Hours'!D58</f>
        <v>QC Inspection - Final &amp; Loose Items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041-24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73</v>
      </c>
    </row>
    <row r="314" spans="1:9" ht="21.75" customHeight="1" x14ac:dyDescent="0.25">
      <c r="A314" s="29" t="s">
        <v>13</v>
      </c>
      <c r="B314" s="31" t="str">
        <f>'Build Plan w Hours'!C59</f>
        <v>.960</v>
      </c>
      <c r="C314" s="40" t="str">
        <f>'Build Plan w Hours'!D59</f>
        <v>Load on truck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041-24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73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041-24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73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041-24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73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041-24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73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041-24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73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041-24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73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041-24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73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041-24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73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041-24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73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041-24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73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041-24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73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041-24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73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041-24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73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041-24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73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041-24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73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041-24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73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041-24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73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041-24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73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041-24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73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041-24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73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041-24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73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041-24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73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041-24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73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041-24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73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041-24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73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041-24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73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041-24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73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041-24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73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041-24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73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2024-09-19T12:41:39Z</cp:lastPrinted>
  <dcterms:created xsi:type="dcterms:W3CDTF">2016-06-28T20:53:17Z</dcterms:created>
  <dcterms:modified xsi:type="dcterms:W3CDTF">2024-09-19T12:44:18Z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