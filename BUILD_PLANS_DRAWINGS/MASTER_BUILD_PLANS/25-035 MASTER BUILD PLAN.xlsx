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5-25 - Irving Tissue - Forming Seal Pot\"/>
    </mc:Choice>
  </mc:AlternateContent>
  <xr:revisionPtr revIDLastSave="0" documentId="8_{871774B3-DDB1-4DAB-9814-13B622270B1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Hours'!$A$1:$H$42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<sst xmlns="http://schemas.openxmlformats.org/spreadsheetml/2006/main" count="1590" uniqueCount="170">
  <si>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</si>
  <si>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</si>
  <si>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</si>
  <si>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</si>
  <si>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</si>
  <si>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</si>
  <si>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</si>
  <si>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</si>
  <si>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</si>
  <si>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</si>
  <si>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</si>
  <si>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</si>
  <si>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</si>
  <si>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</si>
  <si>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</si>
  <si>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</si>
  <si>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</si>
  <si>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</si>
  <si>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</si>
  <si>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</si>
  <si>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</si>
  <si>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</si>
  <si>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</si>
  <si>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</si>
  <si>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</si>
  <si>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</si>
  <si>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</si>
  <si>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</si>
  <si>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</si>
  <si>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</si>
  <si>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</si>
  <si>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</si>
  <si>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</si>
  <si>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</si>
  <si>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</si>
  <si>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</si>
  <si>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</si>
  <si>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</si>
  <si>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</si>
  <si>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</si>
  <si>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</si>
  <si>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</si>
  <si>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</si>
  <si>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</si>
  <si>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</si>
  <si>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</si>
  <si>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</si>
  <si>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</si>
  <si>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</si>
  <si>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</si>
  <si>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</si>
  <si>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</si>
  <si>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</si>
  <si>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</si>
  <si>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</si>
  <si>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</si>
  <si>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</si>
  <si>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</si>
  <si>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</si>
  <si>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</si>
  <si>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</si>
  <si>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</si>
  <si>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</si>
  <si>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</si>
  <si>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</si>
  <si>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</si>
  <si>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</si>
  <si>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</si>
  <si>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</si>
  <si>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</si>
  <si>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</si>
  <si>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</si>
  <si>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</si>
  <si>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</si>
  <si>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</si>
  <si>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</si>
  <si>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</si>
  <si>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</si>
  <si>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</si>
  <si>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</si>
  <si>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</si>
  <si>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</si>
  <si>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</si>
  <si>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</si>
  <si>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</si>
  <si>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</si>
  <si>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</si>
  <si>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</si>
  <si>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</si>
  <si>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</si>
  <si>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Shell, B&amp;C Holes</t>
  </si>
  <si>
    <t>.620</t>
  </si>
  <si>
    <t>QC Inspection - Internal</t>
  </si>
  <si>
    <t>.QC5</t>
  </si>
  <si>
    <t>MOVE TANK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</si>
  <si>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</si>
  <si>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</si>
  <si>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</si>
  <si>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</si>
  <si>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</si>
  <si>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</si>
  <si>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</si>
  <si>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</si>
  <si>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</si>
  <si>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</si>
  <si>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</si>
  <si>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</si>
  <si>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</si>
  <si>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</si>
  <si>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</si>
  <si>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</si>
  <si>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</si>
  <si>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</si>
  <si>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</si>
  <si>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</si>
  <si>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</si>
  <si>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</si>
  <si>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</si>
  <si>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</si>
  <si>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</si>
  <si>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</si>
  <si>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</si>
  <si>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</si>
  <si>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Build Bottom Head/Cone</t>
  </si>
  <si>
    <t>.450</t>
  </si>
  <si>
    <t>Install Rim Angle</t>
  </si>
  <si>
    <t>.615</t>
  </si>
  <si>
    <t>Weld Rim Angle</t>
  </si>
  <si>
    <t>.616</t>
  </si>
  <si>
    <t>20615990 OP</t>
  </si>
  <si>
    <t>9032.4</t>
  </si>
  <si>
    <t>Cut Parts on Burn Table</t>
  </si>
  <si>
    <t>Clean &amp; Prep Parts</t>
  </si>
  <si>
    <t>.156</t>
  </si>
  <si>
    <t>Build bottom head/cone</t>
  </si>
  <si>
    <t>Install Internal Parts</t>
  </si>
  <si>
    <t>.630</t>
  </si>
  <si>
    <t>Dye Pen Test</t>
  </si>
  <si>
    <t>.900</t>
  </si>
  <si>
    <t>Dye pen test</t>
  </si>
  <si>
    <t>FORMING SEAL POT</t>
  </si>
  <si>
    <t>11.000</t>
  </si>
  <si>
    <t>Cut nozzle pipe and clean_x000D_
INCL N2 AND N4 A &amp;  B</t>
  </si>
  <si>
    <t>Build nozzles and weld</t>
  </si>
  <si>
    <t>Make lift lugs, ground lugs, etc.</t>
  </si>
  <si>
    <t>Roll rim angle_x000D_
CUT AND MITER ANGLES; PUNCH (4) HOLES</t>
  </si>
  <si>
    <t>Cut, Make Baffle Supports</t>
  </si>
  <si>
    <t>.225</t>
  </si>
  <si>
    <t>Cut and make baffle supports_x000D_
CUT BAFFLE SUPPORT ANGLES</t>
  </si>
  <si>
    <t>Shells: bring in plate, square, trim and clean_x000D_
SEE RUTANG FOR PATTERNS</t>
  </si>
  <si>
    <t>Roll shells, tack and weld inside seams_x000D_
BREAK SIDE PANELS - SEE RUTANG FOR PATTERNS</t>
  </si>
  <si>
    <t>S/U and Build Sides</t>
  </si>
  <si>
    <t>.320</t>
  </si>
  <si>
    <t>Set up and weld sides - rectangular tank _x000D_
BUILD TANK; WELD INSIDE AND OUTSIDE</t>
  </si>
  <si>
    <t>Install rim angle - tack only_x000D_
FIT AND TACK TOP AND BOTTOM ANGLES</t>
  </si>
  <si>
    <t>Weld rim angle complete_x000D_
WELD TOP AND BOTTOM ANGLES; USE COBOT AS POSSIBLE</t>
  </si>
  <si>
    <t>Lay out shell, burn and clean holes</t>
  </si>
  <si>
    <t>Install Baffles-Weld</t>
  </si>
  <si>
    <t>.625</t>
  </si>
  <si>
    <t>Install baffles and weld</t>
  </si>
  <si>
    <t>Install internals - wear plates, rings, clips, etc._x000D_
WELD IN BAFFLE ANGLE SUPPORTS</t>
  </si>
  <si>
    <t>Install Insul/Vac Rings</t>
  </si>
  <si>
    <t>.715</t>
  </si>
  <si>
    <t>Install insulation/vacuum rings - tack_x000D_
FIT STIFFENERS AND WELD; USE COBOT WHERE POSSIBLE</t>
  </si>
  <si>
    <t>Set nozzles in shell - tack</t>
  </si>
  <si>
    <t>Weld shell nozzles, manways, etc.</t>
  </si>
  <si>
    <t>Prepare Tank for Shipment</t>
  </si>
  <si>
    <t>.940</t>
  </si>
  <si>
    <t>Prepare tank for shipment</t>
  </si>
  <si>
    <t>035-25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</si>
</sst>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42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169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FORMING SEAL POT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N2 AND N4 A &amp;  B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 t="str">
        <f>'Sheet2-PASTE HERE!'!K22</f>
        <v/>
      </c>
      <c r="E12" s="13">
        <f>'Sheet2-PASTE HERE!'!F22</f>
        <v>3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.200</v>
      </c>
      <c r="D13" s="22" t="str">
        <f>'Sheet2-PASTE HERE!'!K23</f>
        <v>Make lift lugs, ground lugs, etc.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.205</v>
      </c>
      <c r="D14" s="22" t="str">
        <f>'Sheet2-PASTE HERE!'!K24</f>
        <v>Roll rim angle_x000D_
CUT AND MITER ANGLES; PUNCH (4) HOLES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.225</v>
      </c>
      <c r="D15" s="22" t="str">
        <f>'Sheet2-PASTE HERE!'!K25</f>
        <v>Cut and make baffle supports_x000D_
CUT BAFFLE SUPPORT ANGLES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.QC3</v>
      </c>
      <c r="D16" s="22" t="str">
        <f>'Sheet2-PASTE HERE!'!K26</f>
        <v>UT Shells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.305</v>
      </c>
      <c r="D17" s="22" t="str">
        <f>'Sheet2-PASTE HERE!'!K27</f>
        <v>Shells: bring in plate, square, trim and clean_x000D_
SEE RUTANG FOR PATTERNS</v>
      </c>
      <c r="E17" s="13">
        <f>'Sheet2-PASTE HERE!'!F27</f>
        <v>6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.315</v>
      </c>
      <c r="D18" s="22" t="str">
        <f>'Sheet2-PASTE HERE!'!K28</f>
        <v>Roll shells, tack and weld inside seams_x000D_
BREAK SIDE PANELS - SEE RUTANG FOR PATTERNS</v>
      </c>
      <c r="E18" s="13">
        <f>'Sheet2-PASTE HERE!'!F28</f>
        <v>6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.320</v>
      </c>
      <c r="D19" s="22" t="str">
        <f>'Sheet2-PASTE HERE!'!K29</f>
        <v>Set up and weld sides - rectangular tank _x000D_
BUILD TANK; WELD INSIDE AND OUTSIDE</v>
      </c>
      <c r="E19" s="13">
        <f>'Sheet2-PASTE HERE!'!F29</f>
        <v>35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.450</v>
      </c>
      <c r="D20" s="22" t="str">
        <f>'Sheet2-PASTE HERE!'!K30</f>
        <v>Build bottom head/cone</v>
      </c>
      <c r="E20" s="13">
        <f>'Sheet2-PASTE HERE!'!F30</f>
        <v>3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.QC4</v>
      </c>
      <c r="D21" s="22" t="str">
        <f>'Sheet2-PASTE HERE!'!K31</f>
        <v>QC Inspection - Top/Bottom/Cones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.615</v>
      </c>
      <c r="D22" s="22" t="str">
        <f>'Sheet2-PASTE HERE!'!K32</f>
        <v>Install rim angle - tack only_x000D_
FIT AND TACK TOP AND BOTTOM ANGLES</v>
      </c>
      <c r="E22" s="13">
        <f>'Sheet2-PASTE HERE!'!F32</f>
        <v>6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.616</v>
      </c>
      <c r="D23" s="22" t="str">
        <f>'Sheet2-PASTE HERE!'!K33</f>
        <v>Weld rim angle complete_x000D_
WELD TOP AND BOTTOM ANGLES; USE COBOT AS POSSIBLE</v>
      </c>
      <c r="E23" s="13">
        <f>'Sheet2-PASTE HERE!'!F33</f>
        <v>10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.620</v>
      </c>
      <c r="D24" s="22" t="str">
        <f>'Sheet2-PASTE HERE!'!K34</f>
        <v>Lay out shell, burn and clean holes</v>
      </c>
      <c r="E24" s="13">
        <f>'Sheet2-PASTE HERE!'!F34</f>
        <v>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.625</v>
      </c>
      <c r="D25" s="22" t="str">
        <f>'Sheet2-PASTE HERE!'!K35</f>
        <v>Install baffles and weld</v>
      </c>
      <c r="E25" s="13">
        <f>'Sheet2-PASTE HERE!'!F35</f>
        <v>12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.630</v>
      </c>
      <c r="D26" s="22" t="str">
        <f>'Sheet2-PASTE HERE!'!K36</f>
        <v>Install internals - wear plates, rings, clips, etc._x000D_
WELD IN BAFFLE ANGLE SUPPORTS</v>
      </c>
      <c r="E26" s="13">
        <f>'Sheet2-PASTE HERE!'!F36</f>
        <v>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.QC5</v>
      </c>
      <c r="D27" s="22" t="str">
        <f>'Sheet2-PASTE HERE!'!K37</f>
        <v>QC Inspection - Internal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.715</v>
      </c>
      <c r="D28" s="22" t="str">
        <f>'Sheet2-PASTE HERE!'!K38</f>
        <v>Install insulation/vacuum rings - tack_x000D_
FIT STIFFENERS AND WELD; USE COBOT WHERE POSSIBLE</v>
      </c>
      <c r="E28" s="13">
        <f>'Sheet2-PASTE HERE!'!F38</f>
        <v>12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.725</v>
      </c>
      <c r="D29" s="22" t="str">
        <f>'Sheet2-PASTE HERE!'!K39</f>
        <v>Set nozzles in shell - tack</v>
      </c>
      <c r="E29" s="13">
        <f>'Sheet2-PASTE HERE!'!F39</f>
        <v>7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.726</v>
      </c>
      <c r="D30" s="22" t="str">
        <f>'Sheet2-PASTE HERE!'!K40</f>
        <v>Weld shell nozzles, manways, etc.</v>
      </c>
      <c r="E30" s="13">
        <f>'Sheet2-PASTE HERE!'!F40</f>
        <v>12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FINISHING</v>
      </c>
      <c r="B31" s="11"/>
      <c r="C31" s="17" t="str">
        <f>'Sheet2-PASTE HERE!'!I41</f>
        <v>.765</v>
      </c>
      <c r="D31" s="22" t="str">
        <f>'Sheet2-PASTE HERE!'!K41</f>
        <v>Install name tag</v>
      </c>
      <c r="E31" s="13">
        <f>'Sheet2-PASTE HERE!'!F41</f>
        <v>1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.770</v>
      </c>
      <c r="D32" s="22" t="str">
        <f>'Sheet2-PASTE HERE!'!K42</f>
        <v>Inspect tank, make repairs, get QC inspector</v>
      </c>
      <c r="E32" s="13">
        <f>'Sheet2-PASTE HERE!'!F42</f>
        <v>1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.QC6</v>
      </c>
      <c r="D33" s="22" t="str">
        <f>'Sheet2-PASTE HERE!'!K43</f>
        <v>QC Inspection - Fabrication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MOVE TANK</v>
      </c>
      <c r="B34" s="11"/>
      <c r="C34" s="17" t="str">
        <f>'Sheet2-PASTE HERE!'!I44</f>
        <v>.801</v>
      </c>
      <c r="D34" s="22" t="str">
        <f>'Sheet2-PASTE HERE!'!K44</f>
        <v>Move to shop test area</v>
      </c>
      <c r="E34" s="13">
        <f>'Sheet2-PASTE HERE!'!F44</f>
        <v>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FINISHING</v>
      </c>
      <c r="B35" s="11"/>
      <c r="C35" s="17" t="str">
        <f>'Sheet2-PASTE HERE!'!I45</f>
        <v>.900</v>
      </c>
      <c r="D35" s="22" t="str">
        <f>'Sheet2-PASTE HERE!'!K45</f>
        <v>Dye pen test</v>
      </c>
      <c r="E35" s="13">
        <f>'Sheet2-PASTE HERE!'!F45</f>
        <v>4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FINISHING</v>
      </c>
      <c r="B36" s="11"/>
      <c r="C36" s="17" t="str">
        <f>'Sheet2-PASTE HERE!'!I46</f>
        <v>.910</v>
      </c>
      <c r="D36" s="22" t="str">
        <f>'Sheet2-PASTE HERE!'!K46</f>
        <v>Test tank</v>
      </c>
      <c r="E36" s="13">
        <f>'Sheet2-PASTE HERE!'!F46</f>
        <v>8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.QC7</v>
      </c>
      <c r="D37" s="22" t="str">
        <f>'Sheet2-PASTE HERE!'!K47</f>
        <v>QC Inspection - Test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.920</v>
      </c>
      <c r="D38" s="22" t="str">
        <f>'Sheet2-PASTE HERE!'!K48</f>
        <v>Clean tank complete</v>
      </c>
      <c r="E38" s="13">
        <f>'Sheet2-PASTE HERE!'!F48</f>
        <v>15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.QC8</v>
      </c>
      <c r="D39" s="22" t="str">
        <f>'Sheet2-PASTE HERE!'!K49</f>
        <v>QC Inspection - Clean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FINISHING</v>
      </c>
      <c r="B40" s="11"/>
      <c r="C40" s="17" t="str">
        <f>'Sheet2-PASTE HERE!'!I50</f>
        <v>.940</v>
      </c>
      <c r="D40" s="22" t="str">
        <f>'Sheet2-PASTE HERE!'!K50</f>
        <v>Prepare tank for shipment</v>
      </c>
      <c r="E40" s="13">
        <f>'Sheet2-PASTE HERE!'!F50</f>
        <v>1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.QC95</v>
      </c>
      <c r="D41" s="22" t="str">
        <f>'Sheet2-PASTE HERE!'!K51</f>
        <v>QC Inspection - Final &amp; Loose Items</v>
      </c>
      <c r="E41" s="13">
        <f>'Sheet2-PASTE HERE!'!F51</f>
        <v>0</v>
      </c>
      <c r="F41" s="12"/>
      <c r="G41" s="12"/>
      <c r="H41" s="12"/>
      <c r="K41">
        <f t="shared" si="2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SHIPPING</v>
      </c>
      <c r="B42" s="11"/>
      <c r="C42" s="17" t="str">
        <f>'Sheet2-PASTE HERE!'!I52</f>
        <v>.960</v>
      </c>
      <c r="D42" s="22" t="str">
        <f>'Sheet2-PASTE HERE!'!K52</f>
        <v>Load on truck</v>
      </c>
      <c r="E42" s="13">
        <f>'Sheet2-PASTE HERE!'!F52</f>
        <v>2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 t="str">
        <f>'Sheet2-PASTE HERE!'!F54</f>
        <v/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169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FORMING SEAL POT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N2 AND N4 A &amp;  B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 t="str">
        <f>'Sheet2-PASTE HERE!'!K22</f>
        <v/>
      </c>
      <c r="E12" s="13">
        <f>'Sheet2-PASTE HERE!'!F22</f>
        <v>3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.200</v>
      </c>
      <c r="D13" s="22" t="str">
        <f>'Sheet2-PASTE HERE!'!K23</f>
        <v>Make lift lugs, ground lugs, etc.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.205</v>
      </c>
      <c r="D14" s="22" t="str">
        <f>'Sheet2-PASTE HERE!'!K24</f>
        <v>Roll rim angle_x000D_
CUT AND MITER ANGLES; PUNCH (4) HOLES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.225</v>
      </c>
      <c r="D15" s="22" t="str">
        <f>'Sheet2-PASTE HERE!'!K25</f>
        <v>Cut and make baffle supports_x000D_
CUT BAFFLE SUPPORT ANGLES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.QC3</v>
      </c>
      <c r="D16" s="22" t="str">
        <f>'Sheet2-PASTE HERE!'!K26</f>
        <v>UT Shells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.305</v>
      </c>
      <c r="D17" s="22" t="str">
        <f>'Sheet2-PASTE HERE!'!K27</f>
        <v>Shells: bring in plate, square, trim and clean_x000D_
SEE RUTANG FOR PATTERNS</v>
      </c>
      <c r="E17" s="13">
        <f>'Sheet2-PASTE HERE!'!F27</f>
        <v>6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.315</v>
      </c>
      <c r="D18" s="22" t="str">
        <f>'Sheet2-PASTE HERE!'!K28</f>
        <v>Roll shells, tack and weld inside seams_x000D_
BREAK SIDE PANELS - SEE RUTANG FOR PATTERNS</v>
      </c>
      <c r="E18" s="13">
        <f>'Sheet2-PASTE HERE!'!F28</f>
        <v>6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.320</v>
      </c>
      <c r="D19" s="22" t="str">
        <f>'Sheet2-PASTE HERE!'!K29</f>
        <v>Set up and weld sides - rectangular tank _x000D_
BUILD TANK; WELD INSIDE AND OUTSIDE</v>
      </c>
      <c r="E19" s="13">
        <f>'Sheet2-PASTE HERE!'!F29</f>
        <v>35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.450</v>
      </c>
      <c r="D20" s="22" t="str">
        <f>'Sheet2-PASTE HERE!'!K30</f>
        <v>Build bottom head/cone</v>
      </c>
      <c r="E20" s="13">
        <f>'Sheet2-PASTE HERE!'!F30</f>
        <v>3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.QC4</v>
      </c>
      <c r="D21" s="22" t="str">
        <f>'Sheet2-PASTE HERE!'!K31</f>
        <v>QC Inspection - Top/Bottom/Cones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.615</v>
      </c>
      <c r="D22" s="22" t="str">
        <f>'Sheet2-PASTE HERE!'!K32</f>
        <v>Install rim angle - tack only_x000D_
FIT AND TACK TOP AND BOTTOM ANGLES</v>
      </c>
      <c r="E22" s="13">
        <f>'Sheet2-PASTE HERE!'!F32</f>
        <v>6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.616</v>
      </c>
      <c r="D23" s="22" t="str">
        <f>'Sheet2-PASTE HERE!'!K33</f>
        <v>Weld rim angle complete_x000D_
WELD TOP AND BOTTOM ANGLES; USE COBOT AS POSSIBLE</v>
      </c>
      <c r="E23" s="13">
        <f>'Sheet2-PASTE HERE!'!F33</f>
        <v>10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.620</v>
      </c>
      <c r="D24" s="22" t="str">
        <f>'Sheet2-PASTE HERE!'!K34</f>
        <v>Lay out shell, burn and clean holes</v>
      </c>
      <c r="E24" s="13">
        <f>'Sheet2-PASTE HERE!'!F34</f>
        <v>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.625</v>
      </c>
      <c r="D25" s="22" t="str">
        <f>'Sheet2-PASTE HERE!'!K35</f>
        <v>Install baffles and weld</v>
      </c>
      <c r="E25" s="13">
        <f>'Sheet2-PASTE HERE!'!F35</f>
        <v>12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.630</v>
      </c>
      <c r="D26" s="22" t="str">
        <f>'Sheet2-PASTE HERE!'!K36</f>
        <v>Install internals - wear plates, rings, clips, etc._x000D_
WELD IN BAFFLE ANGLE SUPPORTS</v>
      </c>
      <c r="E26" s="13">
        <f>'Sheet2-PASTE HERE!'!F36</f>
        <v>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.QC5</v>
      </c>
      <c r="D27" s="22" t="str">
        <f>'Sheet2-PASTE HERE!'!K37</f>
        <v>QC Inspection - Internal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.715</v>
      </c>
      <c r="D28" s="22" t="str">
        <f>'Sheet2-PASTE HERE!'!K38</f>
        <v>Install insulation/vacuum rings - tack_x000D_
FIT STIFFENERS AND WELD; USE COBOT WHERE POSSIBLE</v>
      </c>
      <c r="E28" s="13">
        <f>'Sheet2-PASTE HERE!'!F38</f>
        <v>12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.725</v>
      </c>
      <c r="D29" s="22" t="str">
        <f>'Sheet2-PASTE HERE!'!K39</f>
        <v>Set nozzles in shell - tack</v>
      </c>
      <c r="E29" s="13">
        <f>'Sheet2-PASTE HERE!'!F39</f>
        <v>7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.726</v>
      </c>
      <c r="D30" s="22" t="str">
        <f>'Sheet2-PASTE HERE!'!K40</f>
        <v>Weld shell nozzles, manways, etc.</v>
      </c>
      <c r="E30" s="13">
        <f>'Sheet2-PASTE HERE!'!F40</f>
        <v>12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FINISHING</v>
      </c>
      <c r="B31" s="11"/>
      <c r="C31" s="17" t="str">
        <f>'Sheet2-PASTE HERE!'!I41</f>
        <v>.765</v>
      </c>
      <c r="D31" s="22" t="str">
        <f>'Sheet2-PASTE HERE!'!K41</f>
        <v>Install name tag</v>
      </c>
      <c r="E31" s="13">
        <f>'Sheet2-PASTE HERE!'!F41</f>
        <v>1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.770</v>
      </c>
      <c r="D32" s="22" t="str">
        <f>'Sheet2-PASTE HERE!'!K42</f>
        <v>Inspect tank, make repairs, get QC inspector</v>
      </c>
      <c r="E32" s="13">
        <f>'Sheet2-PASTE HERE!'!F42</f>
        <v>1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.QC6</v>
      </c>
      <c r="D33" s="22" t="str">
        <f>'Sheet2-PASTE HERE!'!K43</f>
        <v>QC Inspection - Fabrication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MOVE TANK</v>
      </c>
      <c r="B34" s="11"/>
      <c r="C34" s="17" t="str">
        <f>'Sheet2-PASTE HERE!'!I44</f>
        <v>.801</v>
      </c>
      <c r="D34" s="22" t="str">
        <f>'Sheet2-PASTE HERE!'!K44</f>
        <v>Move to shop test area</v>
      </c>
      <c r="E34" s="13">
        <f>'Sheet2-PASTE HERE!'!F44</f>
        <v>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FINISHING</v>
      </c>
      <c r="B35" s="11"/>
      <c r="C35" s="17" t="str">
        <f>'Sheet2-PASTE HERE!'!I45</f>
        <v>.900</v>
      </c>
      <c r="D35" s="22" t="str">
        <f>'Sheet2-PASTE HERE!'!K45</f>
        <v>Dye pen test</v>
      </c>
      <c r="E35" s="13">
        <f>'Sheet2-PASTE HERE!'!F45</f>
        <v>4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FINISHING</v>
      </c>
      <c r="B36" s="11"/>
      <c r="C36" s="17" t="str">
        <f>'Sheet2-PASTE HERE!'!I46</f>
        <v>.910</v>
      </c>
      <c r="D36" s="22" t="str">
        <f>'Sheet2-PASTE HERE!'!K46</f>
        <v>Test tank</v>
      </c>
      <c r="E36" s="13">
        <f>'Sheet2-PASTE HERE!'!F46</f>
        <v>8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.QC7</v>
      </c>
      <c r="D37" s="22" t="str">
        <f>'Sheet2-PASTE HERE!'!K47</f>
        <v>QC Inspection - Test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.920</v>
      </c>
      <c r="D38" s="22" t="str">
        <f>'Sheet2-PASTE HERE!'!K48</f>
        <v>Clean tank complete</v>
      </c>
      <c r="E38" s="13">
        <f>'Sheet2-PASTE HERE!'!F48</f>
        <v>15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.QC8</v>
      </c>
      <c r="D39" s="22" t="str">
        <f>'Sheet2-PASTE HERE!'!K49</f>
        <v>QC Inspection - Clean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FINISHING</v>
      </c>
      <c r="B40" s="11"/>
      <c r="C40" s="17" t="str">
        <f>'Sheet2-PASTE HERE!'!I50</f>
        <v>.940</v>
      </c>
      <c r="D40" s="22" t="str">
        <f>'Sheet2-PASTE HERE!'!K50</f>
        <v>Prepare tank for shipment</v>
      </c>
      <c r="E40" s="13">
        <f>'Sheet2-PASTE HERE!'!F50</f>
        <v>1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.QC95</v>
      </c>
      <c r="D41" s="22" t="str">
        <f>'Sheet2-PASTE HERE!'!K51</f>
        <v>QC Inspection - Final &amp; Loose Items</v>
      </c>
      <c r="E41" s="13">
        <f>'Sheet2-PASTE HERE!'!F51</f>
        <v>0</v>
      </c>
      <c r="F41" s="12"/>
      <c r="G41" s="12"/>
      <c r="H41" s="12"/>
      <c r="K41">
        <f t="shared" si="0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SHIPPING</v>
      </c>
      <c r="B42" s="11"/>
      <c r="C42" s="17" t="str">
        <f>'Sheet2-PASTE HERE!'!I52</f>
        <v>.960</v>
      </c>
      <c r="D42" s="22" t="str">
        <f>'Sheet2-PASTE HERE!'!K52</f>
        <v>Load on truck</v>
      </c>
      <c r="E42" s="13">
        <f>'Sheet2-PASTE HERE!'!F52</f>
        <v>2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 t="str">
        <f>'Sheet2-PASTE HERE!'!F54</f>
        <v/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140</v>
      </c>
      <c r="C1" s="8" t="s">
        <v>17</v>
      </c>
      <c r="D1" s="8" t="s">
        <v>129</v>
      </c>
      <c r="E1" s="8" t="s">
        <v>18</v>
      </c>
      <c r="F1" s="8" t="s">
        <v>130</v>
      </c>
      <c r="G1" s="8" t="s">
        <v>140</v>
      </c>
      <c r="H1" s="8" t="s">
        <v>20</v>
      </c>
      <c r="I1" s="8" t="s">
        <v>141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45692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185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52328</v>
      </c>
      <c r="C17" s="19">
        <v>0</v>
      </c>
      <c r="D17" s="8" t="s">
        <v>71</v>
      </c>
      <c r="E17" s="20">
        <v>0</v>
      </c>
      <c r="F17" s="20">
        <v>0</v>
      </c>
      <c r="G17" s="8" t="s">
        <v>54</v>
      </c>
      <c r="H17" s="20">
        <v>0</v>
      </c>
      <c r="I17" s="8" t="s">
        <v>72</v>
      </c>
      <c r="J17" s="19">
        <v>0</v>
      </c>
      <c r="K17" s="8" t="s">
        <v>71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52329</v>
      </c>
      <c r="C18" s="19">
        <v>0</v>
      </c>
      <c r="D18" s="8" t="s">
        <v>73</v>
      </c>
      <c r="E18" s="20">
        <v>0</v>
      </c>
      <c r="F18" s="20">
        <v>0</v>
      </c>
      <c r="G18" s="8" t="s">
        <v>54</v>
      </c>
      <c r="H18" s="20">
        <v>0</v>
      </c>
      <c r="I18" s="8" t="s">
        <v>74</v>
      </c>
      <c r="J18" s="19">
        <v>0</v>
      </c>
      <c r="K18" s="8" t="s">
        <v>75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52330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142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52331</v>
      </c>
      <c r="C20" s="19">
        <v>0</v>
      </c>
      <c r="D20" s="8" t="s">
        <v>76</v>
      </c>
      <c r="E20" s="20">
        <v>0</v>
      </c>
      <c r="F20" s="20">
        <v>12</v>
      </c>
      <c r="G20" s="8" t="s">
        <v>54</v>
      </c>
      <c r="H20" s="20">
        <v>12</v>
      </c>
      <c r="I20" s="8" t="s">
        <v>77</v>
      </c>
      <c r="J20" s="19">
        <v>0</v>
      </c>
      <c r="K20" s="8" t="s">
        <v>143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52332</v>
      </c>
      <c r="C21" s="19">
        <v>0</v>
      </c>
      <c r="D21" s="8" t="s">
        <v>131</v>
      </c>
      <c r="E21" s="20">
        <v>0</v>
      </c>
      <c r="F21" s="20">
        <v>8</v>
      </c>
      <c r="G21" s="8" t="s">
        <v>54</v>
      </c>
      <c r="H21" s="20">
        <v>8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52333</v>
      </c>
      <c r="C22" s="19">
        <v>0</v>
      </c>
      <c r="D22" s="8" t="s">
        <v>132</v>
      </c>
      <c r="E22" s="20">
        <v>0</v>
      </c>
      <c r="F22" s="20">
        <v>3</v>
      </c>
      <c r="G22" s="8" t="s">
        <v>54</v>
      </c>
      <c r="H22" s="20">
        <v>3</v>
      </c>
      <c r="I22" s="8" t="s">
        <v>133</v>
      </c>
      <c r="J22" s="19">
        <v>0</v>
      </c>
      <c r="K22" s="8" t="s">
        <v>19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52334</v>
      </c>
      <c r="C23" s="19">
        <v>0</v>
      </c>
      <c r="D23" s="8" t="s">
        <v>79</v>
      </c>
      <c r="E23" s="20">
        <v>0</v>
      </c>
      <c r="F23" s="20">
        <v>2</v>
      </c>
      <c r="G23" s="8" t="s">
        <v>54</v>
      </c>
      <c r="H23" s="20">
        <v>2</v>
      </c>
      <c r="I23" s="8" t="s">
        <v>80</v>
      </c>
      <c r="J23" s="19">
        <v>0</v>
      </c>
      <c r="K23" s="8" t="s">
        <v>144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52335</v>
      </c>
      <c r="C24" s="19">
        <v>0</v>
      </c>
      <c r="D24" s="8" t="s">
        <v>121</v>
      </c>
      <c r="E24" s="20">
        <v>0</v>
      </c>
      <c r="F24" s="20">
        <v>4</v>
      </c>
      <c r="G24" s="8" t="s">
        <v>54</v>
      </c>
      <c r="H24" s="20">
        <v>4</v>
      </c>
      <c r="I24" s="8" t="s">
        <v>122</v>
      </c>
      <c r="J24" s="19">
        <v>0</v>
      </c>
      <c r="K24" s="8" t="s">
        <v>145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52336</v>
      </c>
      <c r="C25" s="19">
        <v>0</v>
      </c>
      <c r="D25" s="8" t="s">
        <v>146</v>
      </c>
      <c r="E25" s="20">
        <v>0</v>
      </c>
      <c r="F25" s="20">
        <v>2</v>
      </c>
      <c r="G25" s="8" t="s">
        <v>54</v>
      </c>
      <c r="H25" s="20">
        <v>2</v>
      </c>
      <c r="I25" s="8" t="s">
        <v>147</v>
      </c>
      <c r="J25" s="19">
        <v>0</v>
      </c>
      <c r="K25" s="8" t="s">
        <v>148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53</v>
      </c>
      <c r="B26" s="18">
        <v>52337</v>
      </c>
      <c r="C26" s="19">
        <v>0</v>
      </c>
      <c r="D26" s="8" t="s">
        <v>81</v>
      </c>
      <c r="E26" s="20">
        <v>0</v>
      </c>
      <c r="F26" s="20">
        <v>0</v>
      </c>
      <c r="G26" s="8" t="s">
        <v>54</v>
      </c>
      <c r="H26" s="20">
        <v>0</v>
      </c>
      <c r="I26" s="8" t="s">
        <v>82</v>
      </c>
      <c r="J26" s="19">
        <v>0</v>
      </c>
      <c r="K26" s="8" t="s">
        <v>81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52338</v>
      </c>
      <c r="C27" s="19">
        <v>0</v>
      </c>
      <c r="D27" s="8" t="s">
        <v>83</v>
      </c>
      <c r="E27" s="20">
        <v>0</v>
      </c>
      <c r="F27" s="20">
        <v>6</v>
      </c>
      <c r="G27" s="8" t="s">
        <v>54</v>
      </c>
      <c r="H27" s="20">
        <v>6</v>
      </c>
      <c r="I27" s="8" t="s">
        <v>84</v>
      </c>
      <c r="J27" s="19">
        <v>0</v>
      </c>
      <c r="K27" s="8" t="s">
        <v>149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52339</v>
      </c>
      <c r="C28" s="19">
        <v>0</v>
      </c>
      <c r="D28" s="8" t="s">
        <v>85</v>
      </c>
      <c r="E28" s="20">
        <v>0</v>
      </c>
      <c r="F28" s="20">
        <v>6</v>
      </c>
      <c r="G28" s="8" t="s">
        <v>54</v>
      </c>
      <c r="H28" s="20">
        <v>6</v>
      </c>
      <c r="I28" s="8" t="s">
        <v>86</v>
      </c>
      <c r="J28" s="19">
        <v>0</v>
      </c>
      <c r="K28" s="8" t="s">
        <v>150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70</v>
      </c>
      <c r="B29" s="18">
        <v>52340</v>
      </c>
      <c r="C29" s="19">
        <v>0</v>
      </c>
      <c r="D29" s="8" t="s">
        <v>151</v>
      </c>
      <c r="E29" s="20">
        <v>0</v>
      </c>
      <c r="F29" s="20">
        <v>35</v>
      </c>
      <c r="G29" s="8" t="s">
        <v>54</v>
      </c>
      <c r="H29" s="20">
        <v>35</v>
      </c>
      <c r="I29" s="8" t="s">
        <v>152</v>
      </c>
      <c r="J29" s="19">
        <v>0</v>
      </c>
      <c r="K29" s="8" t="s">
        <v>153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52341</v>
      </c>
      <c r="C30" s="19">
        <v>0</v>
      </c>
      <c r="D30" s="8" t="s">
        <v>123</v>
      </c>
      <c r="E30" s="20">
        <v>0</v>
      </c>
      <c r="F30" s="20">
        <v>3</v>
      </c>
      <c r="G30" s="8" t="s">
        <v>54</v>
      </c>
      <c r="H30" s="20">
        <v>3</v>
      </c>
      <c r="I30" s="8" t="s">
        <v>124</v>
      </c>
      <c r="J30" s="19">
        <v>0</v>
      </c>
      <c r="K30" s="8" t="s">
        <v>134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52342</v>
      </c>
      <c r="C31" s="19">
        <v>0</v>
      </c>
      <c r="D31" s="8" t="s">
        <v>87</v>
      </c>
      <c r="E31" s="20">
        <v>0</v>
      </c>
      <c r="F31" s="20">
        <v>0</v>
      </c>
      <c r="G31" s="8" t="s">
        <v>54</v>
      </c>
      <c r="H31" s="20">
        <v>0</v>
      </c>
      <c r="I31" s="8" t="s">
        <v>88</v>
      </c>
      <c r="J31" s="19">
        <v>0</v>
      </c>
      <c r="K31" s="8" t="s">
        <v>89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70</v>
      </c>
      <c r="B32" s="18">
        <v>52343</v>
      </c>
      <c r="C32" s="19">
        <v>0</v>
      </c>
      <c r="D32" s="8" t="s">
        <v>125</v>
      </c>
      <c r="E32" s="20">
        <v>0</v>
      </c>
      <c r="F32" s="20">
        <v>6</v>
      </c>
      <c r="G32" s="8" t="s">
        <v>54</v>
      </c>
      <c r="H32" s="20">
        <v>6</v>
      </c>
      <c r="I32" s="8" t="s">
        <v>126</v>
      </c>
      <c r="J32" s="19">
        <v>0</v>
      </c>
      <c r="K32" s="8" t="s">
        <v>154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70</v>
      </c>
      <c r="B33" s="18">
        <v>52344</v>
      </c>
      <c r="C33" s="19">
        <v>0</v>
      </c>
      <c r="D33" s="8" t="s">
        <v>127</v>
      </c>
      <c r="E33" s="20">
        <v>0</v>
      </c>
      <c r="F33" s="20">
        <v>10</v>
      </c>
      <c r="G33" s="8" t="s">
        <v>54</v>
      </c>
      <c r="H33" s="20">
        <v>10</v>
      </c>
      <c r="I33" s="8" t="s">
        <v>128</v>
      </c>
      <c r="J33" s="19">
        <v>0</v>
      </c>
      <c r="K33" s="8" t="s">
        <v>155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70</v>
      </c>
      <c r="B34" s="18">
        <v>52345</v>
      </c>
      <c r="C34" s="19">
        <v>0</v>
      </c>
      <c r="D34" s="8" t="s">
        <v>90</v>
      </c>
      <c r="E34" s="20">
        <v>0</v>
      </c>
      <c r="F34" s="20">
        <v>2</v>
      </c>
      <c r="G34" s="8" t="s">
        <v>54</v>
      </c>
      <c r="H34" s="20">
        <v>2</v>
      </c>
      <c r="I34" s="8" t="s">
        <v>91</v>
      </c>
      <c r="J34" s="19">
        <v>0</v>
      </c>
      <c r="K34" s="8" t="s">
        <v>156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70</v>
      </c>
      <c r="B35" s="18">
        <v>52346</v>
      </c>
      <c r="C35" s="19">
        <v>0</v>
      </c>
      <c r="D35" s="8" t="s">
        <v>157</v>
      </c>
      <c r="E35" s="20">
        <v>0</v>
      </c>
      <c r="F35" s="20">
        <v>12</v>
      </c>
      <c r="G35" s="8" t="s">
        <v>54</v>
      </c>
      <c r="H35" s="20">
        <v>12</v>
      </c>
      <c r="I35" s="8" t="s">
        <v>158</v>
      </c>
      <c r="J35" s="19">
        <v>0</v>
      </c>
      <c r="K35" s="8" t="s">
        <v>159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70</v>
      </c>
      <c r="B36" s="18">
        <v>52347</v>
      </c>
      <c r="C36" s="19">
        <v>0</v>
      </c>
      <c r="D36" s="8" t="s">
        <v>135</v>
      </c>
      <c r="E36" s="20">
        <v>0</v>
      </c>
      <c r="F36" s="20">
        <v>4</v>
      </c>
      <c r="G36" s="8" t="s">
        <v>54</v>
      </c>
      <c r="H36" s="20">
        <v>4</v>
      </c>
      <c r="I36" s="8" t="s">
        <v>136</v>
      </c>
      <c r="J36" s="19">
        <v>0</v>
      </c>
      <c r="K36" s="8" t="s">
        <v>160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52348</v>
      </c>
      <c r="C37" s="19">
        <v>0</v>
      </c>
      <c r="D37" s="8" t="s">
        <v>92</v>
      </c>
      <c r="E37" s="20">
        <v>0</v>
      </c>
      <c r="F37" s="20">
        <v>0</v>
      </c>
      <c r="G37" s="8" t="s">
        <v>54</v>
      </c>
      <c r="H37" s="20">
        <v>0</v>
      </c>
      <c r="I37" s="8" t="s">
        <v>93</v>
      </c>
      <c r="J37" s="19">
        <v>0</v>
      </c>
      <c r="K37" s="8" t="s">
        <v>92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70</v>
      </c>
      <c r="B38" s="18">
        <v>52349</v>
      </c>
      <c r="C38" s="19">
        <v>0</v>
      </c>
      <c r="D38" s="8" t="s">
        <v>161</v>
      </c>
      <c r="E38" s="20">
        <v>0</v>
      </c>
      <c r="F38" s="20">
        <v>12</v>
      </c>
      <c r="G38" s="8" t="s">
        <v>54</v>
      </c>
      <c r="H38" s="20">
        <v>12</v>
      </c>
      <c r="I38" s="8" t="s">
        <v>162</v>
      </c>
      <c r="J38" s="19">
        <v>0</v>
      </c>
      <c r="K38" s="8" t="s">
        <v>163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70</v>
      </c>
      <c r="B39" s="18">
        <v>52350</v>
      </c>
      <c r="C39" s="19">
        <v>0</v>
      </c>
      <c r="D39" s="8" t="s">
        <v>95</v>
      </c>
      <c r="E39" s="20">
        <v>0</v>
      </c>
      <c r="F39" s="20">
        <v>7</v>
      </c>
      <c r="G39" s="8" t="s">
        <v>54</v>
      </c>
      <c r="H39" s="20">
        <v>7</v>
      </c>
      <c r="I39" s="8" t="s">
        <v>96</v>
      </c>
      <c r="J39" s="19">
        <v>0</v>
      </c>
      <c r="K39" s="8" t="s">
        <v>164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70</v>
      </c>
      <c r="B40" s="18">
        <v>52351</v>
      </c>
      <c r="C40" s="19">
        <v>0</v>
      </c>
      <c r="D40" s="8" t="s">
        <v>97</v>
      </c>
      <c r="E40" s="20">
        <v>0</v>
      </c>
      <c r="F40" s="20">
        <v>12</v>
      </c>
      <c r="G40" s="8" t="s">
        <v>54</v>
      </c>
      <c r="H40" s="20">
        <v>12</v>
      </c>
      <c r="I40" s="8" t="s">
        <v>98</v>
      </c>
      <c r="J40" s="19">
        <v>0</v>
      </c>
      <c r="K40" s="8" t="s">
        <v>165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60</v>
      </c>
      <c r="B41" s="18">
        <v>52352</v>
      </c>
      <c r="C41" s="19">
        <v>0</v>
      </c>
      <c r="D41" s="8" t="s">
        <v>99</v>
      </c>
      <c r="E41" s="20">
        <v>0</v>
      </c>
      <c r="F41" s="20">
        <v>1</v>
      </c>
      <c r="G41" s="8" t="s">
        <v>54</v>
      </c>
      <c r="H41" s="20">
        <v>1</v>
      </c>
      <c r="I41" s="8" t="s">
        <v>100</v>
      </c>
      <c r="J41" s="19">
        <v>0</v>
      </c>
      <c r="K41" s="8" t="s">
        <v>101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70</v>
      </c>
      <c r="B42" s="18">
        <v>52353</v>
      </c>
      <c r="C42" s="19">
        <v>0</v>
      </c>
      <c r="D42" s="8" t="s">
        <v>102</v>
      </c>
      <c r="E42" s="20">
        <v>0</v>
      </c>
      <c r="F42" s="20">
        <v>1</v>
      </c>
      <c r="G42" s="8" t="s">
        <v>54</v>
      </c>
      <c r="H42" s="20">
        <v>1</v>
      </c>
      <c r="I42" s="8" t="s">
        <v>103</v>
      </c>
      <c r="J42" s="19">
        <v>0</v>
      </c>
      <c r="K42" s="8" t="s">
        <v>104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52354</v>
      </c>
      <c r="C43" s="19">
        <v>0</v>
      </c>
      <c r="D43" s="8" t="s">
        <v>105</v>
      </c>
      <c r="E43" s="20">
        <v>0</v>
      </c>
      <c r="F43" s="20">
        <v>0</v>
      </c>
      <c r="G43" s="8" t="s">
        <v>54</v>
      </c>
      <c r="H43" s="20">
        <v>0</v>
      </c>
      <c r="I43" s="8" t="s">
        <v>106</v>
      </c>
      <c r="J43" s="19">
        <v>0</v>
      </c>
      <c r="K43" s="8" t="s">
        <v>107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94</v>
      </c>
      <c r="B44" s="18">
        <v>52355</v>
      </c>
      <c r="C44" s="19">
        <v>0</v>
      </c>
      <c r="D44" s="8" t="s">
        <v>108</v>
      </c>
      <c r="E44" s="20">
        <v>0</v>
      </c>
      <c r="F44" s="20">
        <v>2</v>
      </c>
      <c r="G44" s="8" t="s">
        <v>54</v>
      </c>
      <c r="H44" s="20">
        <v>2</v>
      </c>
      <c r="I44" s="8" t="s">
        <v>109</v>
      </c>
      <c r="J44" s="19">
        <v>0</v>
      </c>
      <c r="K44" s="8" t="s">
        <v>110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60</v>
      </c>
      <c r="B45" s="18">
        <v>52356</v>
      </c>
      <c r="C45" s="19">
        <v>0</v>
      </c>
      <c r="D45" s="8" t="s">
        <v>137</v>
      </c>
      <c r="E45" s="20">
        <v>0</v>
      </c>
      <c r="F45" s="20">
        <v>4</v>
      </c>
      <c r="G45" s="8" t="s">
        <v>54</v>
      </c>
      <c r="H45" s="20">
        <v>4</v>
      </c>
      <c r="I45" s="8" t="s">
        <v>138</v>
      </c>
      <c r="J45" s="19">
        <v>0</v>
      </c>
      <c r="K45" s="8" t="s">
        <v>139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60</v>
      </c>
      <c r="B46" s="18">
        <v>52357</v>
      </c>
      <c r="C46" s="19">
        <v>0</v>
      </c>
      <c r="D46" s="8" t="s">
        <v>111</v>
      </c>
      <c r="E46" s="20">
        <v>0</v>
      </c>
      <c r="F46" s="20">
        <v>8</v>
      </c>
      <c r="G46" s="8" t="s">
        <v>54</v>
      </c>
      <c r="H46" s="20">
        <v>8</v>
      </c>
      <c r="I46" s="8" t="s">
        <v>112</v>
      </c>
      <c r="J46" s="19">
        <v>0</v>
      </c>
      <c r="K46" s="8" t="s">
        <v>113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52358</v>
      </c>
      <c r="C47" s="19">
        <v>0</v>
      </c>
      <c r="D47" s="8" t="s">
        <v>114</v>
      </c>
      <c r="E47" s="20">
        <v>0</v>
      </c>
      <c r="F47" s="20">
        <v>0</v>
      </c>
      <c r="G47" s="8" t="s">
        <v>54</v>
      </c>
      <c r="H47" s="20">
        <v>0</v>
      </c>
      <c r="I47" s="8" t="s">
        <v>115</v>
      </c>
      <c r="J47" s="19">
        <v>0</v>
      </c>
      <c r="K47" s="8" t="s">
        <v>114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60</v>
      </c>
      <c r="B48" s="18">
        <v>52359</v>
      </c>
      <c r="C48" s="19">
        <v>0</v>
      </c>
      <c r="D48" s="8" t="s">
        <v>116</v>
      </c>
      <c r="E48" s="20">
        <v>0</v>
      </c>
      <c r="F48" s="20">
        <v>15</v>
      </c>
      <c r="G48" s="8" t="s">
        <v>54</v>
      </c>
      <c r="H48" s="20">
        <v>15</v>
      </c>
      <c r="I48" s="8" t="s">
        <v>117</v>
      </c>
      <c r="J48" s="19">
        <v>0</v>
      </c>
      <c r="K48" s="8" t="s">
        <v>118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52360</v>
      </c>
      <c r="C49" s="19">
        <v>0</v>
      </c>
      <c r="D49" s="8" t="s">
        <v>119</v>
      </c>
      <c r="E49" s="20">
        <v>0</v>
      </c>
      <c r="F49" s="20">
        <v>0</v>
      </c>
      <c r="G49" s="8" t="s">
        <v>54</v>
      </c>
      <c r="H49" s="20">
        <v>0</v>
      </c>
      <c r="I49" s="8" t="s">
        <v>120</v>
      </c>
      <c r="J49" s="19">
        <v>0</v>
      </c>
      <c r="K49" s="8" t="s">
        <v>119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60</v>
      </c>
      <c r="B50" s="18">
        <v>52361</v>
      </c>
      <c r="C50" s="19">
        <v>0</v>
      </c>
      <c r="D50" s="8" t="s">
        <v>166</v>
      </c>
      <c r="E50" s="20">
        <v>0</v>
      </c>
      <c r="F50" s="20">
        <v>1</v>
      </c>
      <c r="G50" s="8" t="s">
        <v>54</v>
      </c>
      <c r="H50" s="20">
        <v>1</v>
      </c>
      <c r="I50" s="8" t="s">
        <v>167</v>
      </c>
      <c r="J50" s="19">
        <v>0</v>
      </c>
      <c r="K50" s="8" t="s">
        <v>168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53</v>
      </c>
      <c r="B51" s="18">
        <v>52362</v>
      </c>
      <c r="C51" s="19">
        <v>0</v>
      </c>
      <c r="D51" s="8" t="s">
        <v>61</v>
      </c>
      <c r="E51" s="20">
        <v>0</v>
      </c>
      <c r="F51" s="20">
        <v>0</v>
      </c>
      <c r="G51" s="8" t="s">
        <v>54</v>
      </c>
      <c r="H51" s="20">
        <v>0</v>
      </c>
      <c r="I51" s="8" t="s">
        <v>62</v>
      </c>
      <c r="J51" s="19">
        <v>0</v>
      </c>
      <c r="K51" s="8" t="s">
        <v>63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64</v>
      </c>
      <c r="B52" s="18">
        <v>52363</v>
      </c>
      <c r="C52" s="19">
        <v>0</v>
      </c>
      <c r="D52" s="8" t="s">
        <v>65</v>
      </c>
      <c r="E52" s="20">
        <v>0</v>
      </c>
      <c r="F52" s="20">
        <v>2</v>
      </c>
      <c r="G52" s="8" t="s">
        <v>54</v>
      </c>
      <c r="H52" s="20">
        <v>2</v>
      </c>
      <c r="I52" s="8" t="s">
        <v>66</v>
      </c>
      <c r="J52" s="19">
        <v>0</v>
      </c>
      <c r="K52" s="8" t="s">
        <v>67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/>
    <row r="54" spans="1:14" ht="12.75" customHeight="1" x14ac:dyDescent="0.2">
      <c r="B54" s="8" t="s">
        <v>16</v>
      </c>
      <c r="C54" s="8" t="s">
        <v>140</v>
      </c>
      <c r="E54" s="8" t="s">
        <v>19</v>
      </c>
      <c r="F54" s="8" t="s">
        <v>19</v>
      </c>
      <c r="G54" s="8" t="s">
        <v>21</v>
      </c>
      <c r="H54" s="8" t="s">
        <v>19</v>
      </c>
      <c r="J54" s="8" t="s">
        <v>19</v>
      </c>
    </row>
    <row r="55" spans="1:14" ht="12.75" customHeight="1" x14ac:dyDescent="0.2"/>
    <row r="56" spans="1:14" ht="12.75" customHeight="1" x14ac:dyDescent="0.2"/>
    <row r="57" spans="1:14" ht="12.75" customHeight="1" x14ac:dyDescent="0.2"/>
    <row r="58" spans="1:14" ht="12.75" customHeight="1" x14ac:dyDescent="0.2"/>
    <row r="59" spans="1:14" ht="12.75" customHeight="1" x14ac:dyDescent="0.2"/>
    <row r="60" spans="1:14" ht="12.75" customHeight="1" x14ac:dyDescent="0.2"/>
    <row r="61" spans="1:14" ht="12.75" customHeight="1" x14ac:dyDescent="0.2"/>
    <row r="62" spans="1:14" ht="12.75" customHeight="1" x14ac:dyDescent="0.2"/>
    <row r="63" spans="1:14" ht="12.75" customHeight="1" x14ac:dyDescent="0.2"/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035-25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035-25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035-25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N2 AND N4 A &amp;  B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035-25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12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035-25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035-25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 t="str">
        <f>'Build Plan w Hours'!D12</f>
        <v/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3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035-25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.200</v>
      </c>
      <c r="C38" s="40" t="str">
        <f>'Build Plan w Hours'!D13</f>
        <v>Make lift lugs, ground lugs, etc.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035-25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.205</v>
      </c>
      <c r="C44" s="40" t="str">
        <f>'Build Plan w Hours'!D14</f>
        <v>Roll rim angle_x000D_
CUT AND MITER ANGLES; PUNCH (4) HOLES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4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035-25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.225</v>
      </c>
      <c r="C50" s="40" t="str">
        <f>'Build Plan w Hours'!D15</f>
        <v>Cut and make baffle supports_x000D_
CUT BAFFLE SUPPORT ANGLES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035-25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.QC3</v>
      </c>
      <c r="C56" s="40" t="str">
        <f>'Build Plan w Hours'!D16</f>
        <v>UT Shells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035-25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.305</v>
      </c>
      <c r="C62" s="40" t="str">
        <f>'Build Plan w Hours'!D17</f>
        <v>Shells: bring in plate, square, trim and clean_x000D_
SEE RUTANG FOR PATTERNS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6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035-25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.315</v>
      </c>
      <c r="C68" s="40" t="str">
        <f>'Build Plan w Hours'!D18</f>
        <v>Roll shells, tack and weld inside seams_x000D_
BREAK SIDE PANELS - SEE RUTANG FOR PATTERNS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6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035-25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.320</v>
      </c>
      <c r="C74" s="40" t="str">
        <f>'Build Plan w Hours'!D19</f>
        <v>Set up and weld sides - rectangular tank _x000D_
BUILD TANK; WELD INSIDE AND OUTSIDE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35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035-25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.450</v>
      </c>
      <c r="C80" s="40" t="str">
        <f>'Build Plan w Hours'!D20</f>
        <v>Build bottom head/cone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3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035-25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.QC4</v>
      </c>
      <c r="C86" s="40" t="str">
        <f>'Build Plan w Hours'!D21</f>
        <v>QC Inspection - Top/Bottom/Cones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035-25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.615</v>
      </c>
      <c r="C92" s="40" t="str">
        <f>'Build Plan w Hours'!D22</f>
        <v>Install rim angle - tack only_x000D_
FIT AND TACK TOP AND BOTTOM ANGLES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6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035-25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.616</v>
      </c>
      <c r="C98" s="40" t="str">
        <f>'Build Plan w Hours'!D23</f>
        <v>Weld rim angle complete_x000D_
WELD TOP AND BOTTOM ANGLES; USE COBOT AS POSSIBLE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035-25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.620</v>
      </c>
      <c r="C104" s="40" t="str">
        <f>'Build Plan w Hours'!D24</f>
        <v>Lay out shell, burn and clean holes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035-25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.625</v>
      </c>
      <c r="C110" s="40" t="str">
        <f>'Build Plan w Hours'!D25</f>
        <v>Install baffles and weld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12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035-25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.630</v>
      </c>
      <c r="C116" s="40" t="str">
        <f>'Build Plan w Hours'!D26</f>
        <v>Install internals - wear plates, rings, clips, etc._x000D_
WELD IN BAFFLE ANGLE SUPPORTS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035-25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.QC5</v>
      </c>
      <c r="C122" s="40" t="str">
        <f>'Build Plan w Hours'!D27</f>
        <v>QC Inspection - Internal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035-25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.715</v>
      </c>
      <c r="C128" s="40" t="str">
        <f>'Build Plan w Hours'!D28</f>
        <v>Install insulation/vacuum rings - tack_x000D_
FIT STIFFENERS AND WELD; USE COBOT WHERE POSSIBLE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035-25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.725</v>
      </c>
      <c r="C134" s="40" t="str">
        <f>'Build Plan w Hours'!D29</f>
        <v>Set nozzles in shell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7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035-25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.726</v>
      </c>
      <c r="C140" s="40" t="str">
        <f>'Build Plan w Hours'!D30</f>
        <v>Weld shell nozzles, manways, etc.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12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035-25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.765</v>
      </c>
      <c r="C146" s="40" t="str">
        <f>'Build Plan w Hours'!D31</f>
        <v>Install name tag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1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035-25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.770</v>
      </c>
      <c r="C152" s="40" t="str">
        <f>'Build Plan w Hours'!D32</f>
        <v>Inspect tank, make repairs, get QC inspector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1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035-25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.QC6</v>
      </c>
      <c r="C158" s="40" t="str">
        <f>'Build Plan w Hours'!D33</f>
        <v>QC Inspection - Fabrication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035-25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.801</v>
      </c>
      <c r="C164" s="40" t="str">
        <f>'Build Plan w Hours'!D34</f>
        <v>Move to shop test area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035-25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.900</v>
      </c>
      <c r="C170" s="40" t="str">
        <f>'Build Plan w Hours'!D35</f>
        <v>Dye pen test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4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035-25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.910</v>
      </c>
      <c r="C176" s="40" t="str">
        <f>'Build Plan w Hours'!D36</f>
        <v>Test tank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8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035-25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.QC7</v>
      </c>
      <c r="C182" s="40" t="str">
        <f>'Build Plan w Hours'!D37</f>
        <v>QC Inspection - Test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035-25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.920</v>
      </c>
      <c r="C188" s="40" t="str">
        <f>'Build Plan w Hours'!D38</f>
        <v>Clean tank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15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035-25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.QC8</v>
      </c>
      <c r="C194" s="40" t="str">
        <f>'Build Plan w Hours'!D39</f>
        <v>QC Inspection - Clean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035-25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.940</v>
      </c>
      <c r="C200" s="40" t="str">
        <f>'Build Plan w Hours'!D40</f>
        <v>Prepare tank for shipment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035-25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.QC95</v>
      </c>
      <c r="C206" s="40" t="str">
        <f>'Build Plan w Hours'!D41</f>
        <v>QC Inspection - Final &amp; Loose Items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035-25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.960</v>
      </c>
      <c r="C212" s="40" t="str">
        <f>'Build Plan w Hours'!D42</f>
        <v>Load on truck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2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035-25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035-25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 t="str">
        <f>'Build Plan w Hours'!E44</f>
        <v/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035-25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035-25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035-25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035-25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035-25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035-25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035-25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035-25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035-25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035-25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035-25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035-25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035-25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035-25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035-25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035-25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035-25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035-25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035-25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035-25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035-25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035-25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035-25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035-25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035-25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035-25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035-25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035-25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035-25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035-25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035-25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035-25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035-25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035-25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035-25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035-25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035-25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035-25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035-25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035-25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035-25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035-25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035-25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035-25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035-25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N2 AND N4 A &amp;  B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035-25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035-25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035-25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 t="str">
        <f>'Build Plan w Hours'!D12</f>
        <v/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035-25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.200</v>
      </c>
      <c r="C38" s="40" t="str">
        <f>'Build Plan w Hours'!D13</f>
        <v>Make lift lugs, ground lugs, etc.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035-25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.205</v>
      </c>
      <c r="C44" s="40" t="str">
        <f>'Build Plan w Hours'!D14</f>
        <v>Roll rim angle_x000D_
CUT AND MITER ANGLES; PUNCH (4) HOLES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035-25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.225</v>
      </c>
      <c r="C50" s="40" t="str">
        <f>'Build Plan w Hours'!D15</f>
        <v>Cut and make baffle supports_x000D_
CUT BAFFLE SUPPORT ANGLES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035-25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.QC3</v>
      </c>
      <c r="C56" s="40" t="str">
        <f>'Build Plan w Hours'!D16</f>
        <v>UT Shells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035-25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.305</v>
      </c>
      <c r="C62" s="40" t="str">
        <f>'Build Plan w Hours'!D17</f>
        <v>Shells: bring in plate, square, trim and clean_x000D_
SEE RUTANG FOR PATTERNS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035-25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.315</v>
      </c>
      <c r="C68" s="40" t="str">
        <f>'Build Plan w Hours'!D18</f>
        <v>Roll shells, tack and weld inside seams_x000D_
BREAK SIDE PANELS - SEE RUTANG FOR PATTERNS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035-25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.320</v>
      </c>
      <c r="C74" s="40" t="str">
        <f>'Build Plan w Hours'!D19</f>
        <v>Set up and weld sides - rectangular tank _x000D_
BUILD TANK; WELD INSIDE AND OUTSIDE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035-25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.450</v>
      </c>
      <c r="C80" s="40" t="str">
        <f>'Build Plan w Hours'!D20</f>
        <v>Build bottom head/cone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035-25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.QC4</v>
      </c>
      <c r="C86" s="40" t="str">
        <f>'Build Plan w Hours'!D21</f>
        <v>QC Inspection - Top/Bottom/Cones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035-25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.615</v>
      </c>
      <c r="C92" s="40" t="str">
        <f>'Build Plan w Hours'!D22</f>
        <v>Install rim angle - tack only_x000D_
FIT AND TACK TOP AND BOTTOM ANGLES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035-25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.616</v>
      </c>
      <c r="C98" s="40" t="str">
        <f>'Build Plan w Hours'!D23</f>
        <v>Weld rim angle complete_x000D_
WELD TOP AND BOTTOM ANGLES; USE COBOT AS POSSIBLE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035-25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.620</v>
      </c>
      <c r="C104" s="40" t="str">
        <f>'Build Plan w Hours'!D24</f>
        <v>Lay out shell, burn and clean holes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035-25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.625</v>
      </c>
      <c r="C110" s="40" t="str">
        <f>'Build Plan w Hours'!D25</f>
        <v>Install baffles and weld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035-25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.630</v>
      </c>
      <c r="C116" s="40" t="str">
        <f>'Build Plan w Hours'!D26</f>
        <v>Install internals - wear plates, rings, clips, etc._x000D_
WELD IN BAFFLE ANGLE SUPPORTS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035-25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.QC5</v>
      </c>
      <c r="C122" s="40" t="str">
        <f>'Build Plan w Hours'!D27</f>
        <v>QC Inspection - Internal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035-25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.715</v>
      </c>
      <c r="C128" s="40" t="str">
        <f>'Build Plan w Hours'!D28</f>
        <v>Install insulation/vacuum rings - tack_x000D_
FIT STIFFENERS AND WELD; USE COBOT WHERE POSSIBLE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035-25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.725</v>
      </c>
      <c r="C134" s="40" t="str">
        <f>'Build Plan w Hours'!D29</f>
        <v>Set nozzles in shell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035-25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.726</v>
      </c>
      <c r="C140" s="40" t="str">
        <f>'Build Plan w Hours'!D30</f>
        <v>Weld shell nozzles, manways, etc.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035-25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.765</v>
      </c>
      <c r="C146" s="40" t="str">
        <f>'Build Plan w Hours'!D31</f>
        <v>Install name tag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035-25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.770</v>
      </c>
      <c r="C152" s="40" t="str">
        <f>'Build Plan w Hours'!D32</f>
        <v>Inspect tank, make repairs, get QC inspector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035-25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.QC6</v>
      </c>
      <c r="C158" s="40" t="str">
        <f>'Build Plan w Hours'!D33</f>
        <v>QC Inspection - Fabrication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035-25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.801</v>
      </c>
      <c r="C164" s="40" t="str">
        <f>'Build Plan w Hours'!D34</f>
        <v>Move to shop test area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035-25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.900</v>
      </c>
      <c r="C170" s="40" t="str">
        <f>'Build Plan w Hours'!D35</f>
        <v>Dye pen test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035-25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.910</v>
      </c>
      <c r="C176" s="40" t="str">
        <f>'Build Plan w Hours'!D36</f>
        <v>Test tank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035-25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.QC7</v>
      </c>
      <c r="C182" s="40" t="str">
        <f>'Build Plan w Hours'!D37</f>
        <v>QC Inspection - Test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035-25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.920</v>
      </c>
      <c r="C188" s="40" t="str">
        <f>'Build Plan w Hours'!D38</f>
        <v>Clean tank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035-25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.QC8</v>
      </c>
      <c r="C194" s="40" t="str">
        <f>'Build Plan w Hours'!D39</f>
        <v>QC Inspection - Clean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035-25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.940</v>
      </c>
      <c r="C200" s="40" t="str">
        <f>'Build Plan w Hours'!D40</f>
        <v>Prepare tank for shipment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035-25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.QC95</v>
      </c>
      <c r="C206" s="40" t="str">
        <f>'Build Plan w Hours'!D41</f>
        <v>QC Inspection - Final &amp; Loose Items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035-25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.960</v>
      </c>
      <c r="C212" s="40" t="str">
        <f>'Build Plan w Hours'!D42</f>
        <v>Load on truck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035-25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035-25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035-25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035-25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035-25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035-25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035-25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035-25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035-25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035-25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035-25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035-25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035-25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035-25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035-25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035-25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035-25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035-25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035-25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035-25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035-25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035-25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035-25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035-25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035-25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035-25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035-25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035-25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035-25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035-25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035-25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035-25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035-25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035-25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035-25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035-25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035-25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035-25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035-25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035-25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035-25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035-25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035-25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035-25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035-25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035-25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2025-06-18T14:14:01Z</cp:lastPrinted>
  <dcterms:created xsi:type="dcterms:W3CDTF">2016-06-28T20:53:17Z</dcterms:created>
  <dcterms:modified xsi:type="dcterms:W3CDTF">2025-06-18T14:14:32Z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