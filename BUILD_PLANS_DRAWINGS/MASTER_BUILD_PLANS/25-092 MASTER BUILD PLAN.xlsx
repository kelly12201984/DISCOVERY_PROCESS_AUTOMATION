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92-25 - Symrise - Carbon Unit #1\"/>
    </mc:Choice>
  </mc:AlternateContent>
  <xr:revisionPtr revIDLastSave="0" documentId="8_{DFA96D89-9A2A-4510-9BEE-307C5AA8598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Hours'!$A$1:$H$69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<sst xmlns="http://schemas.openxmlformats.org/spreadsheetml/2006/main" count="1818" uniqueCount="251">
  <si>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</si>
  <si>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</si>
  <si>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</si>
  <si>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</si>
  <si>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</si>
  <si>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</si>
  <si>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</si>
  <si>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</si>
  <si>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</si>
  <si>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</si>
  <si>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</si>
  <si>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</si>
  <si>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</si>
  <si>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</si>
  <si>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</si>
  <si>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</si>
  <si>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</si>
  <si>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</si>
  <si>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</si>
  <si>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</si>
  <si>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</si>
  <si>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</si>
  <si>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</si>
  <si>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</si>
  <si>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</si>
  <si>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</si>
  <si>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</si>
  <si>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</si>
  <si>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</si>
  <si>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</si>
  <si>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</si>
  <si>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</si>
  <si>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</si>
  <si>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</si>
  <si>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</si>
  <si>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</si>
  <si>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</si>
  <si>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</si>
  <si>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</si>
  <si>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</si>
  <si>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</si>
  <si>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</si>
  <si>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</si>
  <si>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</si>
  <si>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</si>
  <si>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</si>
  <si>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</si>
  <si>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</si>
  <si>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</si>
  <si>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</si>
  <si>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</si>
  <si>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</si>
  <si>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</si>
  <si>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</si>
  <si>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</si>
  <si>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</si>
  <si>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</si>
  <si>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</si>
  <si>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</si>
  <si>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</si>
  <si>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</si>
  <si>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</si>
  <si>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</si>
  <si>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</si>
  <si>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</si>
  <si>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</si>
  <si>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</si>
  <si>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</si>
  <si>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</si>
  <si>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</si>
  <si>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</si>
  <si>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</si>
  <si>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</si>
  <si>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</si>
  <si>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</si>
  <si>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</si>
  <si>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</si>
  <si>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</si>
  <si>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Build Nozzles-Weld</t>
  </si>
  <si>
    <t>.105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</si>
  <si>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</si>
  <si>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</si>
  <si>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</si>
  <si>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</si>
  <si>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</si>
  <si>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</si>
  <si>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</si>
  <si>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</si>
  <si>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</si>
  <si>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</si>
  <si>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</si>
  <si>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</si>
  <si>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</si>
  <si>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</si>
  <si>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</si>
  <si>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</si>
  <si>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</si>
  <si>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</si>
  <si>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</si>
  <si>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</si>
  <si>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</si>
  <si>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</si>
  <si>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</si>
  <si>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</si>
  <si>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</si>
  <si>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</si>
  <si>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</si>
  <si>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</si>
  <si>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</si>
  <si>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</si>
  <si>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</si>
  <si>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</si>
  <si>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</si>
  <si>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</si>
  <si>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</si>
  <si>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</si>
  <si>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</si>
  <si>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</si>
  <si>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</si>
  <si>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</si>
  <si>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</si>
  <si>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</si>
  <si>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</si>
  <si>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</si>
  <si>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</si>
  <si>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</si>
  <si>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</si>
  <si>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</si>
  <si>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</si>
  <si>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</si>
  <si>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</si>
  <si>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</si>
  <si>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</si>
  <si>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</si>
  <si>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</si>
  <si>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</si>
  <si>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</si>
  <si>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</si>
  <si>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</si>
  <si>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</si>
  <si>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</si>
  <si>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</si>
  <si>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</si>
  <si>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</si>
  <si>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</si>
  <si>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</si>
  <si>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</si>
  <si>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</si>
  <si>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</si>
  <si>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</si>
  <si>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</si>
  <si>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</si>
  <si>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</si>
  <si>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</si>
  <si>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</si>
  <si>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</si>
  <si>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</si>
  <si>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Fab Miscellaneous Parts</t>
  </si>
  <si>
    <t>.252</t>
  </si>
  <si>
    <t>I&amp;W Repads -Top</t>
  </si>
  <si>
    <t>.370</t>
  </si>
  <si>
    <t>Cut Parts on Burn Table</t>
  </si>
  <si>
    <t>Clean &amp; Prep Parts</t>
  </si>
  <si>
    <t>.156</t>
  </si>
  <si>
    <t>Misc Fabrication</t>
  </si>
  <si>
    <t>.261</t>
  </si>
  <si>
    <t>L/O Bottom, B&amp;C Holes</t>
  </si>
  <si>
    <t>.455</t>
  </si>
  <si>
    <t>Tack shell courses together</t>
  </si>
  <si>
    <t>Weld all Outside Seams</t>
  </si>
  <si>
    <t>.645</t>
  </si>
  <si>
    <t>Add Repads-Weld</t>
  </si>
  <si>
    <t>.730</t>
  </si>
  <si>
    <t>CARBON UNIT #1</t>
  </si>
  <si>
    <t>175/4501798219</t>
  </si>
  <si>
    <t>9273.4</t>
  </si>
  <si>
    <t>Cut nozzle pipe and clean_x000D_
INCL Q1, Q2, R1, R2</t>
  </si>
  <si>
    <t>Build nozzles and weld</t>
  </si>
  <si>
    <t>Build Repads for Nozzles</t>
  </si>
  <si>
    <t>.107</t>
  </si>
  <si>
    <t>Build Repads for Nozzles, drill and tap holes</t>
  </si>
  <si>
    <t>Make lift lugs, ground lugs, etc.</t>
  </si>
  <si>
    <t>Fabricate miscellaneous parts_x000D_
END CAP FOR NOZZLE E</t>
  </si>
  <si>
    <t>Miscellaneous Fabrication - Braces, Mounting Plates, Cone Outlet Necks_x000D_
CUT ANGLES FOR NOZZLES M, N &amp; P</t>
  </si>
  <si>
    <t>Wrap Top &amp; Bottom Heads</t>
  </si>
  <si>
    <t>.300</t>
  </si>
  <si>
    <t>Wrap top and bottom heads</t>
  </si>
  <si>
    <t>Shells: bring in plate, square, trim and clean_x000D_
PREP (2) DOUBLE SHELLS</t>
  </si>
  <si>
    <t>Roll shells, tack and weld inside seams_x000D_
ROLL (2) DOUBLE SHELLS; WELD L/S WITH COBOT ***X-RAY***</t>
  </si>
  <si>
    <t>Lay out top head, burn and clean holes_x000D_
ON BURN TABLE</t>
  </si>
  <si>
    <t>Bevel Top Head</t>
  </si>
  <si>
    <t>.360</t>
  </si>
  <si>
    <t>Bevel top head_x000D_
PREP HOLES FOR FULL PEN WELDS</t>
  </si>
  <si>
    <t>Set  nozzles, lift lugs, etc. in top head - tack</t>
  </si>
  <si>
    <t>Weld out top head nozzles, etc.</t>
  </si>
  <si>
    <t>Install and weld out repads - top head</t>
  </si>
  <si>
    <t>Lay out bottom head, burn and clean holes_x000D_
ON BURN TABLE</t>
  </si>
  <si>
    <t>Bevel Bottom Head</t>
  </si>
  <si>
    <t>.460</t>
  </si>
  <si>
    <t>Bevel bottom head_x000D_
PREP HOLES FOR FULL PEN WELDS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</si>
  <si>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</si>
  <si>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</si>
  <si>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</si>
  <si>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</si>
  <si>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</si>
  <si>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</t>
  </si>
  <si>
    <t>Bld Skirt, Roll &amp; Tack</t>
  </si>
  <si>
    <t>.500</t>
  </si>
  <si>
    <t>Build skirt - fit and weld shells_x000D_
MAIN &amp; INTERMEDIATE SKIRT SHELLS</t>
  </si>
  <si>
    <t>Bld Skirt, F&amp;T to Base</t>
  </si>
  <si>
    <t>.510</t>
  </si>
  <si>
    <t>Build skirt; fit base ring to shell and weld</t>
  </si>
  <si>
    <t>Weld Skirt</t>
  </si>
  <si>
    <t>.515</t>
  </si>
  <si>
    <t>Weld skirt shell seams and base ring_x000D_
WELD MAIN SKIRT TO BASE RING INSIDE &amp; OUTSIDE</t>
  </si>
  <si>
    <t>L/O Skirt, B&amp;C Holes</t>
  </si>
  <si>
    <t>.520</t>
  </si>
  <si>
    <t>Lay out skirt, burn and clean holes_x000D_
ON BURN TABLE</t>
  </si>
  <si>
    <t>Set Nzl/MW in Skirt-Tack</t>
  </si>
  <si>
    <t>.540</t>
  </si>
  <si>
    <t>Set  nozzles / manway in skirt - tack_x000D_
Q1, Q2, R1, R2, S</t>
  </si>
  <si>
    <t>Weld Skirt Nozzles, Etc.</t>
  </si>
  <si>
    <t>.545</t>
  </si>
  <si>
    <t>Weld skirt anchors, gussets, nozzles, manways, etc._x000D_
Q1, Q2, R1, R2, S</t>
  </si>
  <si>
    <t>Fit bottom head to shell_x000D_
AND WELD INSIDE ***X-RAY***</t>
  </si>
  <si>
    <t>Weld inside round seams_x000D_
(1) ROUND SEAM  ***X-RAY***</t>
  </si>
  <si>
    <t>Lay out shell, burn and clean holes_x000D_
CLEAN UP HOLES CUT ON BURN TABLE; PREP FOR X-RAY</t>
  </si>
  <si>
    <t>Fit top head to shell - tack</t>
  </si>
  <si>
    <t>Weld top to shell</t>
  </si>
  <si>
    <t>.641</t>
  </si>
  <si>
    <t>Weld top head to shell - inside_x000D_
INCL HOLE WATCH</t>
  </si>
  <si>
    <t>Weld all outside seams_x000D_
USE COLUMN &amp; BOOM ***X-RAY***</t>
  </si>
  <si>
    <t>Install Insul/Vac Rings</t>
  </si>
  <si>
    <t>.715</t>
  </si>
  <si>
    <t>Install insulation/vacuum rings - tack_x000D_
FIT &amp; WELD (6) INSULATION RINGS</t>
  </si>
  <si>
    <t>Install lift lugs on shell</t>
  </si>
  <si>
    <t>Install supports - legs, lugs, anchors, saddles, skirt_x000D_
FIT &amp; WELD INTERMEDIATE SKIRT AND MAIN SKIRT</t>
  </si>
  <si>
    <t>Set nozzles in shell - tack_x000D_
NOTE ANGLE AND PROJECTION FOR J &amp; K</t>
  </si>
  <si>
    <t>Weld shell nozzles, manways, etc._x000D_
INCL HOLE WATCH &amp; ANGLES FOR NOZZ M, N, &amp; P</t>
  </si>
  <si>
    <t>Add repads and weld</t>
  </si>
  <si>
    <t>ASME Inspection Internal</t>
  </si>
  <si>
    <t>.OI2</t>
  </si>
  <si>
    <t>ASME Inspection Test</t>
  </si>
  <si>
    <t>.OI3</t>
  </si>
  <si>
    <t>Move to Paint Area</t>
  </si>
  <si>
    <t>.802</t>
  </si>
  <si>
    <t>Move to paint area</t>
  </si>
  <si>
    <t>Prepare Tank for Shipment</t>
  </si>
  <si>
    <t>.940</t>
  </si>
  <si>
    <t>Prepare tank for shipment</t>
  </si>
  <si>
    <t>092-25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</si>
</sst>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69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250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CARBON UNIT #1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Q1, Q2, R1, R2</v>
      </c>
      <c r="E7" s="13">
        <f>'Sheet2-PASTE HERE!'!F17</f>
        <v>8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20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2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.115</v>
      </c>
      <c r="D10" s="22" t="str">
        <f>'Sheet2-PASTE HERE!'!K20</f>
        <v>Make manway parts: cut clips, form handles, etc.</v>
      </c>
      <c r="E10" s="13">
        <f>'Sheet2-PASTE HERE!'!F20</f>
        <v>2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.120</v>
      </c>
      <c r="D11" s="22" t="str">
        <f>'Sheet2-PASTE HERE!'!K21</f>
        <v>Burn manway neck (CHECK BEFORE BURNING) - Clean and Bevel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.125</v>
      </c>
      <c r="D12" s="22" t="str">
        <f>'Sheet2-PASTE HERE!'!K22</f>
        <v>Roll manway neck</v>
      </c>
      <c r="E12" s="13">
        <f>'Sheet2-PASTE HERE!'!F22</f>
        <v>4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.130</v>
      </c>
      <c r="D13" s="22" t="str">
        <f>'Sheet2-PASTE HERE!'!K23</f>
        <v>Set up and weld manway flange and neck seam</v>
      </c>
      <c r="E13" s="13">
        <f>'Sheet2-PASTE HERE!'!F23</f>
        <v>4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.135</v>
      </c>
      <c r="D14" s="22" t="str">
        <f>'Sheet2-PASTE HERE!'!K24</f>
        <v>Build davit arm assembly and cover</v>
      </c>
      <c r="E14" s="13">
        <f>'Sheet2-PASTE HERE!'!F24</f>
        <v>3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.155</v>
      </c>
      <c r="D15" s="22" t="str">
        <f>'Sheet2-PASTE HERE!'!K25</f>
        <v>Burn and clean parts:  lugs, supports, repads, base ring, etc. (CHECK!)</v>
      </c>
      <c r="E15" s="13">
        <f>'Sheet2-PASTE HERE!'!F25</f>
        <v>20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.156</v>
      </c>
      <c r="D16" s="22">
        <f>'Sheet2-PASTE HERE!'!K26</f>
        <v>0</v>
      </c>
      <c r="E16" s="13">
        <f>'Sheet2-PASTE HERE!'!F26</f>
        <v>10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.200</v>
      </c>
      <c r="D17" s="22" t="str">
        <f>'Sheet2-PASTE HERE!'!K27</f>
        <v>Make lift lugs, ground lugs, etc.</v>
      </c>
      <c r="E17" s="13">
        <f>'Sheet2-PASTE HERE!'!F27</f>
        <v>2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.252</v>
      </c>
      <c r="D18" s="22" t="str">
        <f>'Sheet2-PASTE HERE!'!K28</f>
        <v>Fabricate miscellaneous parts_x000D_
END CAP FOR NOZZLE E</v>
      </c>
      <c r="E18" s="13">
        <f>'Sheet2-PASTE HERE!'!F28</f>
        <v>1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.261</v>
      </c>
      <c r="D19" s="22" t="str">
        <f>'Sheet2-PASTE HERE!'!K29</f>
        <v>Miscellaneous Fabrication - Braces, Mounting Plates, Cone Outlet Necks_x000D_
CUT ANGLES FOR NOZZLES M, N &amp; P</v>
      </c>
      <c r="E19" s="13">
        <f>'Sheet2-PASTE HERE!'!F29</f>
        <v>1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.300</v>
      </c>
      <c r="D20" s="22" t="str">
        <f>'Sheet2-PASTE HERE!'!K30</f>
        <v>Wrap top and bottom heads</v>
      </c>
      <c r="E20" s="13">
        <f>'Sheet2-PASTE HERE!'!F30</f>
        <v>1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.QC3</v>
      </c>
      <c r="D21" s="22" t="str">
        <f>'Sheet2-PASTE HERE!'!K31</f>
        <v>UT Shells</v>
      </c>
      <c r="E21" s="13">
        <f>'Sheet2-PASTE HERE!'!F31</f>
        <v>0</v>
      </c>
      <c r="F21" s="12"/>
      <c r="G21" s="12"/>
      <c r="H21" s="12"/>
      <c r="K21">
        <f t="shared" si="2"/>
        <v>1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.305</v>
      </c>
      <c r="D22" s="22" t="str">
        <f>'Sheet2-PASTE HERE!'!K32</f>
        <v>Shells: bring in plate, square, trim and clean_x000D_
PREP (2) DOUBLE SHELLS</v>
      </c>
      <c r="E22" s="13">
        <f>'Sheet2-PASTE HERE!'!F32</f>
        <v>6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.315</v>
      </c>
      <c r="D23" s="22" t="str">
        <f>'Sheet2-PASTE HERE!'!K33</f>
        <v>Roll shells, tack and weld inside seams_x000D_
ROLL (2) DOUBLE SHELLS; WELD L/S WITH COBOT ***X-RAY***</v>
      </c>
      <c r="E23" s="13">
        <f>'Sheet2-PASTE HERE!'!F33</f>
        <v>12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INSPECTION</v>
      </c>
      <c r="B24" s="11"/>
      <c r="C24" s="17" t="str">
        <f>'Sheet2-PASTE HERE!'!I34</f>
        <v>.QC4</v>
      </c>
      <c r="D24" s="22" t="str">
        <f>'Sheet2-PASTE HERE!'!K34</f>
        <v>QC Inspection - Top/Bottom/Cones</v>
      </c>
      <c r="E24" s="13">
        <f>'Sheet2-PASTE HERE!'!F34</f>
        <v>0</v>
      </c>
      <c r="F24" s="12"/>
      <c r="G24" s="12"/>
      <c r="H24" s="12"/>
      <c r="K24">
        <f t="shared" si="2"/>
        <v>1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.355</v>
      </c>
      <c r="D25" s="22" t="str">
        <f>'Sheet2-PASTE HERE!'!K35</f>
        <v>Lay out top head, burn and clean holes_x000D_
ON BURN TABLE</v>
      </c>
      <c r="E25" s="13">
        <f>'Sheet2-PASTE HERE!'!F35</f>
        <v>1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.360</v>
      </c>
      <c r="D26" s="22" t="str">
        <f>'Sheet2-PASTE HERE!'!K36</f>
        <v>Bevel top head_x000D_
PREP HOLES FOR FULL PEN WELDS</v>
      </c>
      <c r="E26" s="13">
        <f>'Sheet2-PASTE HERE!'!F36</f>
        <v>5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.365</v>
      </c>
      <c r="D27" s="22" t="str">
        <f>'Sheet2-PASTE HERE!'!K37</f>
        <v>Set  nozzles, lift lugs, etc. in top head - tack</v>
      </c>
      <c r="E27" s="13">
        <f>'Sheet2-PASTE HERE!'!F37</f>
        <v>4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.366</v>
      </c>
      <c r="D28" s="22" t="str">
        <f>'Sheet2-PASTE HERE!'!K38</f>
        <v>Weld out top head nozzles, etc.</v>
      </c>
      <c r="E28" s="13">
        <f>'Sheet2-PASTE HERE!'!F38</f>
        <v>10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.370</v>
      </c>
      <c r="D29" s="22" t="str">
        <f>'Sheet2-PASTE HERE!'!K39</f>
        <v>Install and weld out repads - top head</v>
      </c>
      <c r="E29" s="13">
        <f>'Sheet2-PASTE HERE!'!F39</f>
        <v>3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INSPECTION</v>
      </c>
      <c r="B30" s="11"/>
      <c r="C30" s="17" t="str">
        <f>'Sheet2-PASTE HERE!'!I40</f>
        <v>.QC4</v>
      </c>
      <c r="D30" s="22" t="str">
        <f>'Sheet2-PASTE HERE!'!K40</f>
        <v>QC Inspection - Top/Bottom/Cones</v>
      </c>
      <c r="E30" s="13">
        <f>'Sheet2-PASTE HERE!'!F40</f>
        <v>0</v>
      </c>
      <c r="F30" s="12"/>
      <c r="G30" s="12"/>
      <c r="H30" s="12"/>
      <c r="K30">
        <f t="shared" si="2"/>
        <v>1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.455</v>
      </c>
      <c r="D31" s="22" t="str">
        <f>'Sheet2-PASTE HERE!'!K41</f>
        <v>Lay out bottom head, burn and clean holes_x000D_
ON BURN TABLE</v>
      </c>
      <c r="E31" s="13">
        <f>'Sheet2-PASTE HERE!'!F41</f>
        <v>1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.460</v>
      </c>
      <c r="D32" s="22" t="str">
        <f>'Sheet2-PASTE HERE!'!K42</f>
        <v>Bevel bottom head_x000D_
PREP HOLES FOR FULL PEN WELDS</v>
      </c>
      <c r="E32" s="13">
        <f>'Sheet2-PASTE HERE!'!F42</f>
        <v>1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.465</v>
      </c>
      <c r="D33" s="22" t="str">
        <f>'Sheet2-PASTE HERE!'!K43</f>
        <v>Set  nozzles in bottom head - tack</v>
      </c>
      <c r="E33" s="13">
        <f>'Sheet2-PASTE HERE!'!F43</f>
        <v>1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.466</v>
      </c>
      <c r="D34" s="22" t="str">
        <f>'Sheet2-PASTE HERE!'!K44</f>
        <v>Weld nozzles in bottom head; weld complete</v>
      </c>
      <c r="E34" s="13">
        <f>'Sheet2-PASTE HERE!'!F44</f>
        <v>3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.500</v>
      </c>
      <c r="D35" s="22" t="str">
        <f>'Sheet2-PASTE HERE!'!K45</f>
        <v>Build skirt - fit and weld shells_x000D_
MAIN &amp; INTERMEDIATE SKIRT SHELLS</v>
      </c>
      <c r="E35" s="13">
        <f>'Sheet2-PASTE HERE!'!F45</f>
        <v>6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.510</v>
      </c>
      <c r="D36" s="22" t="str">
        <f>'Sheet2-PASTE HERE!'!K46</f>
        <v>Build skirt; fit base ring to shell and weld</v>
      </c>
      <c r="E36" s="13">
        <f>'Sheet2-PASTE HERE!'!F46</f>
        <v>3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.515</v>
      </c>
      <c r="D37" s="22" t="str">
        <f>'Sheet2-PASTE HERE!'!K47</f>
        <v>Weld skirt shell seams and base ring_x000D_
WELD MAIN SKIRT TO BASE RING INSIDE &amp; OUTSIDE</v>
      </c>
      <c r="E37" s="13">
        <f>'Sheet2-PASTE HERE!'!F47</f>
        <v>5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.520</v>
      </c>
      <c r="D38" s="22" t="str">
        <f>'Sheet2-PASTE HERE!'!K48</f>
        <v>Lay out skirt, burn and clean holes_x000D_
ON BURN TABLE</v>
      </c>
      <c r="E38" s="13">
        <f>'Sheet2-PASTE HERE!'!F48</f>
        <v>1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.540</v>
      </c>
      <c r="D39" s="22" t="str">
        <f>'Sheet2-PASTE HERE!'!K49</f>
        <v>Set  nozzles / manway in skirt - tack_x000D_
Q1, Q2, R1, R2, S</v>
      </c>
      <c r="E39" s="13">
        <f>'Sheet2-PASTE HERE!'!F49</f>
        <v>3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.545</v>
      </c>
      <c r="D40" s="22" t="str">
        <f>'Sheet2-PASTE HERE!'!K50</f>
        <v>Weld skirt anchors, gussets, nozzles, manways, etc._x000D_
Q1, Q2, R1, R2, S</v>
      </c>
      <c r="E40" s="13">
        <f>'Sheet2-PASTE HERE!'!F50</f>
        <v>7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.600</v>
      </c>
      <c r="D41" s="22" t="str">
        <f>'Sheet2-PASTE HERE!'!K51</f>
        <v>Fit bottom head to shell_x000D_
AND WELD INSIDE ***X-RAY***</v>
      </c>
      <c r="E41" s="13">
        <f>'Sheet2-PASTE HERE!'!F51</f>
        <v>8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.605</v>
      </c>
      <c r="D42" s="22" t="str">
        <f>'Sheet2-PASTE HERE!'!K52</f>
        <v>Tack shell courses together</v>
      </c>
      <c r="E42" s="13">
        <f>'Sheet2-PASTE HERE!'!F52</f>
        <v>3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.610</v>
      </c>
      <c r="D43" s="22" t="str">
        <f>'Sheet2-PASTE HERE!'!K53</f>
        <v>Weld inside round seams_x000D_
(1) ROUND SEAM  ***X-RAY***</v>
      </c>
      <c r="E43" s="13">
        <f>'Sheet2-PASTE HERE!'!F53</f>
        <v>4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.620</v>
      </c>
      <c r="D44" s="22" t="str">
        <f>'Sheet2-PASTE HERE!'!K54</f>
        <v>Lay out shell, burn and clean holes_x000D_
CLEAN UP HOLES CUT ON BURN TABLE; PREP FOR X-RAY</v>
      </c>
      <c r="E44" s="13">
        <f>'Sheet2-PASTE HERE!'!F54</f>
        <v>5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.QC5</v>
      </c>
      <c r="D45" s="22" t="str">
        <f>'Sheet2-PASTE HERE!'!K55</f>
        <v>QC Inspection - Internal</v>
      </c>
      <c r="E45" s="13">
        <f>'Sheet2-PASTE HERE!'!F55</f>
        <v>0</v>
      </c>
      <c r="F45" s="12"/>
      <c r="G45" s="12"/>
      <c r="H45" s="12"/>
      <c r="K45">
        <f t="shared" si="2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.640</v>
      </c>
      <c r="D46" s="22" t="str">
        <f>'Sheet2-PASTE HERE!'!K56</f>
        <v>Fit top head to shell - tack</v>
      </c>
      <c r="E46" s="13">
        <f>'Sheet2-PASTE HERE!'!F56</f>
        <v>4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.641</v>
      </c>
      <c r="D47" s="22" t="str">
        <f>'Sheet2-PASTE HERE!'!K57</f>
        <v>Weld top head to shell - inside_x000D_
INCL HOLE WATCH</v>
      </c>
      <c r="E47" s="13">
        <f>'Sheet2-PASTE HERE!'!F57</f>
        <v>10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.645</v>
      </c>
      <c r="D48" s="22" t="str">
        <f>'Sheet2-PASTE HERE!'!K58</f>
        <v>Weld all outside seams_x000D_
USE COLUMN &amp; BOOM ***X-RAY***</v>
      </c>
      <c r="E48" s="13">
        <f>'Sheet2-PASTE HERE!'!F58</f>
        <v>8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MOVE TANK</v>
      </c>
      <c r="B49" s="11"/>
      <c r="C49" s="17" t="str">
        <f>'Sheet2-PASTE HERE!'!I59</f>
        <v>.800</v>
      </c>
      <c r="D49" s="22" t="str">
        <f>'Sheet2-PASTE HERE!'!K59</f>
        <v>Move tank to detail rolls</v>
      </c>
      <c r="E49" s="13">
        <f>'Sheet2-PASTE HERE!'!F59</f>
        <v>2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.715</v>
      </c>
      <c r="D50" s="22" t="str">
        <f>'Sheet2-PASTE HERE!'!K60</f>
        <v>Install insulation/vacuum rings - tack_x000D_
FIT &amp; WELD (6) INSULATION RINGS</v>
      </c>
      <c r="E50" s="13">
        <f>'Sheet2-PASTE HERE!'!F60</f>
        <v>24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.717</v>
      </c>
      <c r="D51" s="22" t="str">
        <f>'Sheet2-PASTE HERE!'!K61</f>
        <v>Install lift lugs on shell</v>
      </c>
      <c r="E51" s="13">
        <f>'Sheet2-PASTE HERE!'!F61</f>
        <v>2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.720</v>
      </c>
      <c r="D52" s="22" t="str">
        <f>'Sheet2-PASTE HERE!'!K62</f>
        <v>Install supports - legs, lugs, anchors, saddles, skirt_x000D_
FIT &amp; WELD INTERMEDIATE SKIRT AND MAIN SKIRT</v>
      </c>
      <c r="E52" s="13">
        <f>'Sheet2-PASTE HERE!'!F62</f>
        <v>25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.725</v>
      </c>
      <c r="D53" s="22" t="str">
        <f>'Sheet2-PASTE HERE!'!K63</f>
        <v>Set nozzles in shell - tack_x000D_
NOTE ANGLE AND PROJECTION FOR J &amp; K</v>
      </c>
      <c r="E53" s="13">
        <f>'Sheet2-PASTE HERE!'!F63</f>
        <v>6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.726</v>
      </c>
      <c r="D54" s="22" t="str">
        <f>'Sheet2-PASTE HERE!'!K64</f>
        <v>Weld shell nozzles, manways, etc._x000D_
INCL HOLE WATCH &amp; ANGLES FOR NOZZ M, N, &amp; P</v>
      </c>
      <c r="E54" s="13">
        <f>'Sheet2-PASTE HERE!'!F64</f>
        <v>30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.730</v>
      </c>
      <c r="D55" s="22" t="str">
        <f>'Sheet2-PASTE HERE!'!K65</f>
        <v>Add repads and weld</v>
      </c>
      <c r="E55" s="13">
        <f>'Sheet2-PASTE HERE!'!F65</f>
        <v>3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FINISHING</v>
      </c>
      <c r="B56" s="11"/>
      <c r="C56" s="17" t="str">
        <f>'Sheet2-PASTE HERE!'!I66</f>
        <v>.765</v>
      </c>
      <c r="D56" s="22" t="str">
        <f>'Sheet2-PASTE HERE!'!K66</f>
        <v>Install name tag</v>
      </c>
      <c r="E56" s="13">
        <f>'Sheet2-PASTE HERE!'!F66</f>
        <v>1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.770</v>
      </c>
      <c r="D57" s="22" t="str">
        <f>'Sheet2-PASTE HERE!'!K67</f>
        <v>Inspect tank, make repairs, get QC inspector</v>
      </c>
      <c r="E57" s="13">
        <f>'Sheet2-PASTE HERE!'!F67</f>
        <v>1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INSPECTION</v>
      </c>
      <c r="B58" s="11"/>
      <c r="C58" s="17" t="str">
        <f>'Sheet2-PASTE HERE!'!I68</f>
        <v>.QC6</v>
      </c>
      <c r="D58" s="22" t="str">
        <f>'Sheet2-PASTE HERE!'!K68</f>
        <v>QC Inspection - Fabrication</v>
      </c>
      <c r="E58" s="13">
        <f>'Sheet2-PASTE HERE!'!F68</f>
        <v>0</v>
      </c>
      <c r="F58" s="12"/>
      <c r="G58" s="12"/>
      <c r="H58" s="12"/>
      <c r="K58">
        <f t="shared" si="2"/>
        <v>1</v>
      </c>
      <c r="L58">
        <f t="shared" si="1"/>
        <v>0</v>
      </c>
    </row>
    <row r="59" spans="1:12" ht="26.25" customHeight="1" x14ac:dyDescent="0.2">
      <c r="A59" s="10" t="str">
        <f>'Sheet2-PASTE HERE!'!A69</f>
        <v>INSPECTION</v>
      </c>
      <c r="B59" s="11"/>
      <c r="C59" s="17" t="str">
        <f>'Sheet2-PASTE HERE!'!I69</f>
        <v>.OI2</v>
      </c>
      <c r="D59" s="22" t="str">
        <f>'Sheet2-PASTE HERE!'!K69</f>
        <v>ASME Inspection Internal</v>
      </c>
      <c r="E59" s="13">
        <f>'Sheet2-PASTE HERE!'!F69</f>
        <v>0</v>
      </c>
      <c r="F59" s="12"/>
      <c r="G59" s="12"/>
      <c r="H59" s="12"/>
      <c r="K59">
        <f t="shared" si="2"/>
        <v>1</v>
      </c>
      <c r="L59">
        <f t="shared" si="1"/>
        <v>1</v>
      </c>
    </row>
    <row r="60" spans="1:12" ht="26.25" customHeight="1" x14ac:dyDescent="0.2">
      <c r="A60" s="10" t="str">
        <f>'Sheet2-PASTE HERE!'!A70</f>
        <v>MOVE TANK</v>
      </c>
      <c r="B60" s="11"/>
      <c r="C60" s="17" t="str">
        <f>'Sheet2-PASTE HERE!'!I70</f>
        <v>.801</v>
      </c>
      <c r="D60" s="22" t="str">
        <f>'Sheet2-PASTE HERE!'!K70</f>
        <v>Move to shop test area</v>
      </c>
      <c r="E60" s="13">
        <f>'Sheet2-PASTE HERE!'!F70</f>
        <v>2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FINISHING</v>
      </c>
      <c r="B61" s="11"/>
      <c r="C61" s="17" t="str">
        <f>'Sheet2-PASTE HERE!'!I71</f>
        <v>.910</v>
      </c>
      <c r="D61" s="22" t="str">
        <f>'Sheet2-PASTE HERE!'!K71</f>
        <v>Test tank</v>
      </c>
      <c r="E61" s="13">
        <f>'Sheet2-PASTE HERE!'!F71</f>
        <v>12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INSPECTION</v>
      </c>
      <c r="B62" s="11"/>
      <c r="C62" s="17" t="str">
        <f>'Sheet2-PASTE HERE!'!I72</f>
        <v>.QC7</v>
      </c>
      <c r="D62" s="22" t="str">
        <f>'Sheet2-PASTE HERE!'!K72</f>
        <v>QC Inspection - Test</v>
      </c>
      <c r="E62" s="13">
        <f>'Sheet2-PASTE HERE!'!F72</f>
        <v>0</v>
      </c>
      <c r="F62" s="12"/>
      <c r="G62" s="12"/>
      <c r="H62" s="12"/>
      <c r="K62">
        <f t="shared" si="2"/>
        <v>1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.OI3</v>
      </c>
      <c r="D63" s="22" t="str">
        <f>'Sheet2-PASTE HERE!'!K73</f>
        <v>ASME Inspection Test</v>
      </c>
      <c r="E63" s="13">
        <f>'Sheet2-PASTE HERE!'!F73</f>
        <v>0</v>
      </c>
      <c r="F63" s="12"/>
      <c r="G63" s="12"/>
      <c r="H63" s="12"/>
      <c r="K63">
        <f t="shared" si="2"/>
        <v>1</v>
      </c>
      <c r="L63">
        <f t="shared" si="1"/>
        <v>1</v>
      </c>
    </row>
    <row r="64" spans="1:12" ht="26.25" customHeight="1" x14ac:dyDescent="0.2">
      <c r="A64" s="10" t="str">
        <f>'Sheet2-PASTE HERE!'!A74</f>
        <v>FINISHING</v>
      </c>
      <c r="B64" s="11"/>
      <c r="C64" s="17" t="str">
        <f>'Sheet2-PASTE HERE!'!I74</f>
        <v>.920</v>
      </c>
      <c r="D64" s="22" t="str">
        <f>'Sheet2-PASTE HERE!'!K74</f>
        <v>Clean tank complete</v>
      </c>
      <c r="E64" s="13">
        <f>'Sheet2-PASTE HERE!'!F74</f>
        <v>16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INSPECTION</v>
      </c>
      <c r="B65" s="11"/>
      <c r="C65" s="17" t="str">
        <f>'Sheet2-PASTE HERE!'!I75</f>
        <v>.QC8</v>
      </c>
      <c r="D65" s="22" t="str">
        <f>'Sheet2-PASTE HERE!'!K75</f>
        <v>QC Inspection - Clean</v>
      </c>
      <c r="E65" s="13">
        <f>'Sheet2-PASTE HERE!'!F75</f>
        <v>0</v>
      </c>
      <c r="F65" s="12"/>
      <c r="G65" s="12"/>
      <c r="H65" s="12"/>
      <c r="K65">
        <f t="shared" si="2"/>
        <v>1</v>
      </c>
      <c r="L65">
        <f t="shared" si="1"/>
        <v>0</v>
      </c>
    </row>
    <row r="66" spans="1:12" ht="26.25" customHeight="1" x14ac:dyDescent="0.2">
      <c r="A66" s="10" t="str">
        <f>'Sheet2-PASTE HERE!'!A76</f>
        <v>MOVE TANK</v>
      </c>
      <c r="B66" s="11"/>
      <c r="C66" s="17" t="str">
        <f>'Sheet2-PASTE HERE!'!I76</f>
        <v>.802</v>
      </c>
      <c r="D66" s="22" t="str">
        <f>'Sheet2-PASTE HERE!'!K76</f>
        <v>Move to paint area</v>
      </c>
      <c r="E66" s="13">
        <f>'Sheet2-PASTE HERE!'!F76</f>
        <v>2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FINISHING</v>
      </c>
      <c r="B67" s="11"/>
      <c r="C67" s="17" t="str">
        <f>'Sheet2-PASTE HERE!'!I77</f>
        <v>.940</v>
      </c>
      <c r="D67" s="22" t="str">
        <f>'Sheet2-PASTE HERE!'!K77</f>
        <v>Prepare tank for shipment</v>
      </c>
      <c r="E67" s="13">
        <f>'Sheet2-PASTE HERE!'!F77</f>
        <v>2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 t="str">
        <f>'Sheet2-PASTE HERE!'!A78</f>
        <v>INSPECTION</v>
      </c>
      <c r="B68" s="11"/>
      <c r="C68" s="17" t="str">
        <f>'Sheet2-PASTE HERE!'!I78</f>
        <v>.QC95</v>
      </c>
      <c r="D68" s="22" t="str">
        <f>'Sheet2-PASTE HERE!'!K78</f>
        <v>QC Inspection - Final &amp; Loose Items</v>
      </c>
      <c r="E68" s="13">
        <f>'Sheet2-PASTE HERE!'!F78</f>
        <v>0</v>
      </c>
      <c r="F68" s="12"/>
      <c r="G68" s="12"/>
      <c r="H68" s="12"/>
      <c r="K68">
        <f t="shared" si="2"/>
        <v>1</v>
      </c>
      <c r="L68">
        <f t="shared" si="1"/>
        <v>0</v>
      </c>
    </row>
    <row r="69" spans="1:12" ht="26.25" customHeight="1" x14ac:dyDescent="0.2">
      <c r="A69" s="10" t="str">
        <f>'Sheet2-PASTE HERE!'!A79</f>
        <v>SHIPPING</v>
      </c>
      <c r="B69" s="11"/>
      <c r="C69" s="17" t="str">
        <f>'Sheet2-PASTE HERE!'!I79</f>
        <v>.960</v>
      </c>
      <c r="D69" s="22" t="str">
        <f>'Sheet2-PASTE HERE!'!K79</f>
        <v>Load on truck</v>
      </c>
      <c r="E69" s="13">
        <f>'Sheet2-PASTE HERE!'!F79</f>
        <v>3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 t="str">
        <f>'Sheet2-PASTE HERE!'!F81</f>
        <v/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250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CARBON UNIT #1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Q1, Q2, R1, R2</v>
      </c>
      <c r="E7" s="13">
        <f>'Sheet2-PASTE HERE!'!F17</f>
        <v>8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20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2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.115</v>
      </c>
      <c r="D10" s="22" t="str">
        <f>'Sheet2-PASTE HERE!'!K20</f>
        <v>Make manway parts: cut clips, form handles, etc.</v>
      </c>
      <c r="E10" s="13">
        <f>'Sheet2-PASTE HERE!'!F20</f>
        <v>2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.120</v>
      </c>
      <c r="D11" s="22" t="str">
        <f>'Sheet2-PASTE HERE!'!K21</f>
        <v>Burn manway neck (CHECK BEFORE BURNING) - Clean and Bevel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.125</v>
      </c>
      <c r="D12" s="22" t="str">
        <f>'Sheet2-PASTE HERE!'!K22</f>
        <v>Roll manway neck</v>
      </c>
      <c r="E12" s="13">
        <f>'Sheet2-PASTE HERE!'!F22</f>
        <v>4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.130</v>
      </c>
      <c r="D13" s="22" t="str">
        <f>'Sheet2-PASTE HERE!'!K23</f>
        <v>Set up and weld manway flange and neck seam</v>
      </c>
      <c r="E13" s="13">
        <f>'Sheet2-PASTE HERE!'!F23</f>
        <v>4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.135</v>
      </c>
      <c r="D14" s="22" t="str">
        <f>'Sheet2-PASTE HERE!'!K24</f>
        <v>Build davit arm assembly and cover</v>
      </c>
      <c r="E14" s="13">
        <f>'Sheet2-PASTE HERE!'!F24</f>
        <v>3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.155</v>
      </c>
      <c r="D15" s="22" t="str">
        <f>'Sheet2-PASTE HERE!'!K25</f>
        <v>Burn and clean parts:  lugs, supports, repads, base ring, etc. (CHECK!)</v>
      </c>
      <c r="E15" s="13">
        <f>'Sheet2-PASTE HERE!'!F25</f>
        <v>20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.156</v>
      </c>
      <c r="D16" s="22">
        <f>'Sheet2-PASTE HERE!'!K26</f>
        <v>0</v>
      </c>
      <c r="E16" s="13">
        <f>'Sheet2-PASTE HERE!'!F26</f>
        <v>10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.200</v>
      </c>
      <c r="D17" s="22" t="str">
        <f>'Sheet2-PASTE HERE!'!K27</f>
        <v>Make lift lugs, ground lugs, etc.</v>
      </c>
      <c r="E17" s="13">
        <f>'Sheet2-PASTE HERE!'!F27</f>
        <v>2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.252</v>
      </c>
      <c r="D18" s="22" t="str">
        <f>'Sheet2-PASTE HERE!'!K28</f>
        <v>Fabricate miscellaneous parts_x000D_
END CAP FOR NOZZLE E</v>
      </c>
      <c r="E18" s="13">
        <f>'Sheet2-PASTE HERE!'!F28</f>
        <v>1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.261</v>
      </c>
      <c r="D19" s="22" t="str">
        <f>'Sheet2-PASTE HERE!'!K29</f>
        <v>Miscellaneous Fabrication - Braces, Mounting Plates, Cone Outlet Necks_x000D_
CUT ANGLES FOR NOZZLES M, N &amp; P</v>
      </c>
      <c r="E19" s="13">
        <f>'Sheet2-PASTE HERE!'!F29</f>
        <v>1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.300</v>
      </c>
      <c r="D20" s="22" t="str">
        <f>'Sheet2-PASTE HERE!'!K30</f>
        <v>Wrap top and bottom heads</v>
      </c>
      <c r="E20" s="13">
        <f>'Sheet2-PASTE HERE!'!F30</f>
        <v>1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.QC3</v>
      </c>
      <c r="D21" s="22" t="str">
        <f>'Sheet2-PASTE HERE!'!K31</f>
        <v>UT Shells</v>
      </c>
      <c r="E21" s="13">
        <f>'Sheet2-PASTE HERE!'!F31</f>
        <v>0</v>
      </c>
      <c r="F21" s="12"/>
      <c r="G21" s="12"/>
      <c r="H21" s="12"/>
      <c r="K21">
        <f t="shared" si="0"/>
        <v>1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.305</v>
      </c>
      <c r="D22" s="22" t="str">
        <f>'Sheet2-PASTE HERE!'!K32</f>
        <v>Shells: bring in plate, square, trim and clean_x000D_
PREP (2) DOUBLE SHELLS</v>
      </c>
      <c r="E22" s="13">
        <f>'Sheet2-PASTE HERE!'!F32</f>
        <v>6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.315</v>
      </c>
      <c r="D23" s="22" t="str">
        <f>'Sheet2-PASTE HERE!'!K33</f>
        <v>Roll shells, tack and weld inside seams_x000D_
ROLL (2) DOUBLE SHELLS; WELD L/S WITH COBOT ***X-RAY***</v>
      </c>
      <c r="E23" s="13">
        <f>'Sheet2-PASTE HERE!'!F33</f>
        <v>12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INSPECTION</v>
      </c>
      <c r="B24" s="11"/>
      <c r="C24" s="17" t="str">
        <f>'Sheet2-PASTE HERE!'!I34</f>
        <v>.QC4</v>
      </c>
      <c r="D24" s="22" t="str">
        <f>'Sheet2-PASTE HERE!'!K34</f>
        <v>QC Inspection - Top/Bottom/Cones</v>
      </c>
      <c r="E24" s="13">
        <f>'Sheet2-PASTE HERE!'!F34</f>
        <v>0</v>
      </c>
      <c r="F24" s="12"/>
      <c r="G24" s="12"/>
      <c r="H24" s="12"/>
      <c r="K24">
        <f t="shared" si="0"/>
        <v>1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.355</v>
      </c>
      <c r="D25" s="22" t="str">
        <f>'Sheet2-PASTE HERE!'!K35</f>
        <v>Lay out top head, burn and clean holes_x000D_
ON BURN TABLE</v>
      </c>
      <c r="E25" s="13">
        <f>'Sheet2-PASTE HERE!'!F35</f>
        <v>1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.360</v>
      </c>
      <c r="D26" s="22" t="str">
        <f>'Sheet2-PASTE HERE!'!K36</f>
        <v>Bevel top head_x000D_
PREP HOLES FOR FULL PEN WELDS</v>
      </c>
      <c r="E26" s="13">
        <f>'Sheet2-PASTE HERE!'!F36</f>
        <v>5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.365</v>
      </c>
      <c r="D27" s="22" t="str">
        <f>'Sheet2-PASTE HERE!'!K37</f>
        <v>Set  nozzles, lift lugs, etc. in top head - tack</v>
      </c>
      <c r="E27" s="13">
        <f>'Sheet2-PASTE HERE!'!F37</f>
        <v>4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.366</v>
      </c>
      <c r="D28" s="22" t="str">
        <f>'Sheet2-PASTE HERE!'!K38</f>
        <v>Weld out top head nozzles, etc.</v>
      </c>
      <c r="E28" s="13">
        <f>'Sheet2-PASTE HERE!'!F38</f>
        <v>10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.370</v>
      </c>
      <c r="D29" s="22" t="str">
        <f>'Sheet2-PASTE HERE!'!K39</f>
        <v>Install and weld out repads - top head</v>
      </c>
      <c r="E29" s="13">
        <f>'Sheet2-PASTE HERE!'!F39</f>
        <v>3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INSPECTION</v>
      </c>
      <c r="B30" s="11"/>
      <c r="C30" s="17" t="str">
        <f>'Sheet2-PASTE HERE!'!I40</f>
        <v>.QC4</v>
      </c>
      <c r="D30" s="22" t="str">
        <f>'Sheet2-PASTE HERE!'!K40</f>
        <v>QC Inspection - Top/Bottom/Cones</v>
      </c>
      <c r="E30" s="13">
        <f>'Sheet2-PASTE HERE!'!F40</f>
        <v>0</v>
      </c>
      <c r="F30" s="12"/>
      <c r="G30" s="12"/>
      <c r="H30" s="12"/>
      <c r="K30">
        <f t="shared" si="0"/>
        <v>1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.455</v>
      </c>
      <c r="D31" s="22" t="str">
        <f>'Sheet2-PASTE HERE!'!K41</f>
        <v>Lay out bottom head, burn and clean holes_x000D_
ON BURN TABLE</v>
      </c>
      <c r="E31" s="13">
        <f>'Sheet2-PASTE HERE!'!F41</f>
        <v>1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.460</v>
      </c>
      <c r="D32" s="22" t="str">
        <f>'Sheet2-PASTE HERE!'!K42</f>
        <v>Bevel bottom head_x000D_
PREP HOLES FOR FULL PEN WELDS</v>
      </c>
      <c r="E32" s="13">
        <f>'Sheet2-PASTE HERE!'!F42</f>
        <v>1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.465</v>
      </c>
      <c r="D33" s="22" t="str">
        <f>'Sheet2-PASTE HERE!'!K43</f>
        <v>Set  nozzles in bottom head - tack</v>
      </c>
      <c r="E33" s="13">
        <f>'Sheet2-PASTE HERE!'!F43</f>
        <v>1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.466</v>
      </c>
      <c r="D34" s="22" t="str">
        <f>'Sheet2-PASTE HERE!'!K44</f>
        <v>Weld nozzles in bottom head; weld complete</v>
      </c>
      <c r="E34" s="13">
        <f>'Sheet2-PASTE HERE!'!F44</f>
        <v>3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.500</v>
      </c>
      <c r="D35" s="22" t="str">
        <f>'Sheet2-PASTE HERE!'!K45</f>
        <v>Build skirt - fit and weld shells_x000D_
MAIN &amp; INTERMEDIATE SKIRT SHELLS</v>
      </c>
      <c r="E35" s="13">
        <f>'Sheet2-PASTE HERE!'!F45</f>
        <v>6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.510</v>
      </c>
      <c r="D36" s="22" t="str">
        <f>'Sheet2-PASTE HERE!'!K46</f>
        <v>Build skirt; fit base ring to shell and weld</v>
      </c>
      <c r="E36" s="13">
        <f>'Sheet2-PASTE HERE!'!F46</f>
        <v>3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.515</v>
      </c>
      <c r="D37" s="22" t="str">
        <f>'Sheet2-PASTE HERE!'!K47</f>
        <v>Weld skirt shell seams and base ring_x000D_
WELD MAIN SKIRT TO BASE RING INSIDE &amp; OUTSIDE</v>
      </c>
      <c r="E37" s="13">
        <f>'Sheet2-PASTE HERE!'!F47</f>
        <v>5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.520</v>
      </c>
      <c r="D38" s="22" t="str">
        <f>'Sheet2-PASTE HERE!'!K48</f>
        <v>Lay out skirt, burn and clean holes_x000D_
ON BURN TABLE</v>
      </c>
      <c r="E38" s="13">
        <f>'Sheet2-PASTE HERE!'!F48</f>
        <v>1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.540</v>
      </c>
      <c r="D39" s="22" t="str">
        <f>'Sheet2-PASTE HERE!'!K49</f>
        <v>Set  nozzles / manway in skirt - tack_x000D_
Q1, Q2, R1, R2, S</v>
      </c>
      <c r="E39" s="13">
        <f>'Sheet2-PASTE HERE!'!F49</f>
        <v>3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.545</v>
      </c>
      <c r="D40" s="22" t="str">
        <f>'Sheet2-PASTE HERE!'!K50</f>
        <v>Weld skirt anchors, gussets, nozzles, manways, etc._x000D_
Q1, Q2, R1, R2, S</v>
      </c>
      <c r="E40" s="13">
        <f>'Sheet2-PASTE HERE!'!F50</f>
        <v>7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.600</v>
      </c>
      <c r="D41" s="22" t="str">
        <f>'Sheet2-PASTE HERE!'!K51</f>
        <v>Fit bottom head to shell_x000D_
AND WELD INSIDE ***X-RAY***</v>
      </c>
      <c r="E41" s="13">
        <f>'Sheet2-PASTE HERE!'!F51</f>
        <v>8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.605</v>
      </c>
      <c r="D42" s="22" t="str">
        <f>'Sheet2-PASTE HERE!'!K52</f>
        <v>Tack shell courses together</v>
      </c>
      <c r="E42" s="13">
        <f>'Sheet2-PASTE HERE!'!F52</f>
        <v>3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.610</v>
      </c>
      <c r="D43" s="22" t="str">
        <f>'Sheet2-PASTE HERE!'!K53</f>
        <v>Weld inside round seams_x000D_
(1) ROUND SEAM  ***X-RAY***</v>
      </c>
      <c r="E43" s="13">
        <f>'Sheet2-PASTE HERE!'!F53</f>
        <v>4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.620</v>
      </c>
      <c r="D44" s="22" t="str">
        <f>'Sheet2-PASTE HERE!'!K54</f>
        <v>Lay out shell, burn and clean holes_x000D_
CLEAN UP HOLES CUT ON BURN TABLE; PREP FOR X-RAY</v>
      </c>
      <c r="E44" s="13">
        <f>'Sheet2-PASTE HERE!'!F54</f>
        <v>5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.QC5</v>
      </c>
      <c r="D45" s="22" t="str">
        <f>'Sheet2-PASTE HERE!'!K55</f>
        <v>QC Inspection - Internal</v>
      </c>
      <c r="E45" s="13">
        <f>'Sheet2-PASTE HERE!'!F55</f>
        <v>0</v>
      </c>
      <c r="F45" s="12"/>
      <c r="G45" s="12"/>
      <c r="H45" s="12"/>
      <c r="K45">
        <f t="shared" si="0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.640</v>
      </c>
      <c r="D46" s="22" t="str">
        <f>'Sheet2-PASTE HERE!'!K56</f>
        <v>Fit top head to shell - tack</v>
      </c>
      <c r="E46" s="13">
        <f>'Sheet2-PASTE HERE!'!F56</f>
        <v>4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.641</v>
      </c>
      <c r="D47" s="22" t="str">
        <f>'Sheet2-PASTE HERE!'!K57</f>
        <v>Weld top head to shell - inside_x000D_
INCL HOLE WATCH</v>
      </c>
      <c r="E47" s="13">
        <f>'Sheet2-PASTE HERE!'!F57</f>
        <v>10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.645</v>
      </c>
      <c r="D48" s="22" t="str">
        <f>'Sheet2-PASTE HERE!'!K58</f>
        <v>Weld all outside seams_x000D_
USE COLUMN &amp; BOOM ***X-RAY***</v>
      </c>
      <c r="E48" s="13">
        <f>'Sheet2-PASTE HERE!'!F58</f>
        <v>8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MOVE TANK</v>
      </c>
      <c r="B49" s="11"/>
      <c r="C49" s="17" t="str">
        <f>'Sheet2-PASTE HERE!'!I59</f>
        <v>.800</v>
      </c>
      <c r="D49" s="22" t="str">
        <f>'Sheet2-PASTE HERE!'!K59</f>
        <v>Move tank to detail rolls</v>
      </c>
      <c r="E49" s="13">
        <f>'Sheet2-PASTE HERE!'!F59</f>
        <v>2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.715</v>
      </c>
      <c r="D50" s="22" t="str">
        <f>'Sheet2-PASTE HERE!'!K60</f>
        <v>Install insulation/vacuum rings - tack_x000D_
FIT &amp; WELD (6) INSULATION RINGS</v>
      </c>
      <c r="E50" s="13">
        <f>'Sheet2-PASTE HERE!'!F60</f>
        <v>24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.717</v>
      </c>
      <c r="D51" s="22" t="str">
        <f>'Sheet2-PASTE HERE!'!K61</f>
        <v>Install lift lugs on shell</v>
      </c>
      <c r="E51" s="13">
        <f>'Sheet2-PASTE HERE!'!F61</f>
        <v>2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.720</v>
      </c>
      <c r="D52" s="22" t="str">
        <f>'Sheet2-PASTE HERE!'!K62</f>
        <v>Install supports - legs, lugs, anchors, saddles, skirt_x000D_
FIT &amp; WELD INTERMEDIATE SKIRT AND MAIN SKIRT</v>
      </c>
      <c r="E52" s="13">
        <f>'Sheet2-PASTE HERE!'!F62</f>
        <v>25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.725</v>
      </c>
      <c r="D53" s="22" t="str">
        <f>'Sheet2-PASTE HERE!'!K63</f>
        <v>Set nozzles in shell - tack_x000D_
NOTE ANGLE AND PROJECTION FOR J &amp; K</v>
      </c>
      <c r="E53" s="13">
        <f>'Sheet2-PASTE HERE!'!F63</f>
        <v>6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.726</v>
      </c>
      <c r="D54" s="22" t="str">
        <f>'Sheet2-PASTE HERE!'!K64</f>
        <v>Weld shell nozzles, manways, etc._x000D_
INCL HOLE WATCH &amp; ANGLES FOR NOZZ M, N, &amp; P</v>
      </c>
      <c r="E54" s="13">
        <f>'Sheet2-PASTE HERE!'!F64</f>
        <v>30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.730</v>
      </c>
      <c r="D55" s="22" t="str">
        <f>'Sheet2-PASTE HERE!'!K65</f>
        <v>Add repads and weld</v>
      </c>
      <c r="E55" s="13">
        <f>'Sheet2-PASTE HERE!'!F65</f>
        <v>3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FINISHING</v>
      </c>
      <c r="B56" s="11"/>
      <c r="C56" s="17" t="str">
        <f>'Sheet2-PASTE HERE!'!I66</f>
        <v>.765</v>
      </c>
      <c r="D56" s="22" t="str">
        <f>'Sheet2-PASTE HERE!'!K66</f>
        <v>Install name tag</v>
      </c>
      <c r="E56" s="13">
        <f>'Sheet2-PASTE HERE!'!F66</f>
        <v>1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.770</v>
      </c>
      <c r="D57" s="22" t="str">
        <f>'Sheet2-PASTE HERE!'!K67</f>
        <v>Inspect tank, make repairs, get QC inspector</v>
      </c>
      <c r="E57" s="13">
        <f>'Sheet2-PASTE HERE!'!F67</f>
        <v>1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INSPECTION</v>
      </c>
      <c r="B58" s="11"/>
      <c r="C58" s="17" t="str">
        <f>'Sheet2-PASTE HERE!'!I68</f>
        <v>.QC6</v>
      </c>
      <c r="D58" s="22" t="str">
        <f>'Sheet2-PASTE HERE!'!K68</f>
        <v>QC Inspection - Fabrication</v>
      </c>
      <c r="E58" s="13">
        <f>'Sheet2-PASTE HERE!'!F68</f>
        <v>0</v>
      </c>
      <c r="F58" s="12"/>
      <c r="G58" s="12"/>
      <c r="H58" s="12"/>
      <c r="K58">
        <f t="shared" si="0"/>
        <v>1</v>
      </c>
      <c r="L58">
        <f t="shared" si="1"/>
        <v>0</v>
      </c>
    </row>
    <row r="59" spans="1:12" ht="26.25" customHeight="1" x14ac:dyDescent="0.2">
      <c r="A59" s="10" t="str">
        <f>'Sheet2-PASTE HERE!'!A69</f>
        <v>INSPECTION</v>
      </c>
      <c r="B59" s="11"/>
      <c r="C59" s="17" t="str">
        <f>'Sheet2-PASTE HERE!'!I69</f>
        <v>.OI2</v>
      </c>
      <c r="D59" s="22" t="str">
        <f>'Sheet2-PASTE HERE!'!K69</f>
        <v>ASME Inspection Internal</v>
      </c>
      <c r="E59" s="13">
        <f>'Sheet2-PASTE HERE!'!F69</f>
        <v>0</v>
      </c>
      <c r="F59" s="12"/>
      <c r="G59" s="12"/>
      <c r="H59" s="12"/>
      <c r="K59">
        <f t="shared" si="0"/>
        <v>1</v>
      </c>
      <c r="L59">
        <f t="shared" si="1"/>
        <v>1</v>
      </c>
    </row>
    <row r="60" spans="1:12" ht="26.25" customHeight="1" x14ac:dyDescent="0.2">
      <c r="A60" s="10" t="str">
        <f>'Sheet2-PASTE HERE!'!A70</f>
        <v>MOVE TANK</v>
      </c>
      <c r="B60" s="11"/>
      <c r="C60" s="17" t="str">
        <f>'Sheet2-PASTE HERE!'!I70</f>
        <v>.801</v>
      </c>
      <c r="D60" s="22" t="str">
        <f>'Sheet2-PASTE HERE!'!K70</f>
        <v>Move to shop test area</v>
      </c>
      <c r="E60" s="13">
        <f>'Sheet2-PASTE HERE!'!F70</f>
        <v>2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FINISHING</v>
      </c>
      <c r="B61" s="11"/>
      <c r="C61" s="17" t="str">
        <f>'Sheet2-PASTE HERE!'!I71</f>
        <v>.910</v>
      </c>
      <c r="D61" s="22" t="str">
        <f>'Sheet2-PASTE HERE!'!K71</f>
        <v>Test tank</v>
      </c>
      <c r="E61" s="13">
        <f>'Sheet2-PASTE HERE!'!F71</f>
        <v>12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INSPECTION</v>
      </c>
      <c r="B62" s="11"/>
      <c r="C62" s="17" t="str">
        <f>'Sheet2-PASTE HERE!'!I72</f>
        <v>.QC7</v>
      </c>
      <c r="D62" s="22" t="str">
        <f>'Sheet2-PASTE HERE!'!K72</f>
        <v>QC Inspection - Test</v>
      </c>
      <c r="E62" s="13">
        <f>'Sheet2-PASTE HERE!'!F72</f>
        <v>0</v>
      </c>
      <c r="F62" s="12"/>
      <c r="G62" s="12"/>
      <c r="H62" s="12"/>
      <c r="K62">
        <f t="shared" si="0"/>
        <v>1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.OI3</v>
      </c>
      <c r="D63" s="22" t="str">
        <f>'Sheet2-PASTE HERE!'!K73</f>
        <v>ASME Inspection Test</v>
      </c>
      <c r="E63" s="13">
        <f>'Sheet2-PASTE HERE!'!F73</f>
        <v>0</v>
      </c>
      <c r="F63" s="12"/>
      <c r="G63" s="12"/>
      <c r="H63" s="12"/>
      <c r="K63">
        <f t="shared" si="0"/>
        <v>1</v>
      </c>
      <c r="L63">
        <f t="shared" si="1"/>
        <v>1</v>
      </c>
    </row>
    <row r="64" spans="1:12" ht="26.25" customHeight="1" x14ac:dyDescent="0.2">
      <c r="A64" s="10" t="str">
        <f>'Sheet2-PASTE HERE!'!A74</f>
        <v>FINISHING</v>
      </c>
      <c r="B64" s="11"/>
      <c r="C64" s="17" t="str">
        <f>'Sheet2-PASTE HERE!'!I74</f>
        <v>.920</v>
      </c>
      <c r="D64" s="22" t="str">
        <f>'Sheet2-PASTE HERE!'!K74</f>
        <v>Clean tank complete</v>
      </c>
      <c r="E64" s="13">
        <f>'Sheet2-PASTE HERE!'!F74</f>
        <v>16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INSPECTION</v>
      </c>
      <c r="B65" s="11"/>
      <c r="C65" s="17" t="str">
        <f>'Sheet2-PASTE HERE!'!I75</f>
        <v>.QC8</v>
      </c>
      <c r="D65" s="22" t="str">
        <f>'Sheet2-PASTE HERE!'!K75</f>
        <v>QC Inspection - Clean</v>
      </c>
      <c r="E65" s="13">
        <f>'Sheet2-PASTE HERE!'!F75</f>
        <v>0</v>
      </c>
      <c r="F65" s="12"/>
      <c r="G65" s="12"/>
      <c r="H65" s="12"/>
      <c r="K65">
        <f t="shared" si="0"/>
        <v>1</v>
      </c>
      <c r="L65">
        <f t="shared" si="1"/>
        <v>0</v>
      </c>
    </row>
    <row r="66" spans="1:12" ht="26.25" customHeight="1" x14ac:dyDescent="0.2">
      <c r="A66" s="10" t="str">
        <f>'Sheet2-PASTE HERE!'!A76</f>
        <v>MOVE TANK</v>
      </c>
      <c r="B66" s="11"/>
      <c r="C66" s="17" t="str">
        <f>'Sheet2-PASTE HERE!'!I76</f>
        <v>.802</v>
      </c>
      <c r="D66" s="22" t="str">
        <f>'Sheet2-PASTE HERE!'!K76</f>
        <v>Move to paint area</v>
      </c>
      <c r="E66" s="13">
        <f>'Sheet2-PASTE HERE!'!F76</f>
        <v>2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FINISHING</v>
      </c>
      <c r="B67" s="11"/>
      <c r="C67" s="17" t="str">
        <f>'Sheet2-PASTE HERE!'!I77</f>
        <v>.940</v>
      </c>
      <c r="D67" s="22" t="str">
        <f>'Sheet2-PASTE HERE!'!K77</f>
        <v>Prepare tank for shipment</v>
      </c>
      <c r="E67" s="13">
        <f>'Sheet2-PASTE HERE!'!F77</f>
        <v>2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 t="str">
        <f>'Sheet2-PASTE HERE!'!A78</f>
        <v>INSPECTION</v>
      </c>
      <c r="B68" s="11"/>
      <c r="C68" s="17" t="str">
        <f>'Sheet2-PASTE HERE!'!I78</f>
        <v>.QC95</v>
      </c>
      <c r="D68" s="22" t="str">
        <f>'Sheet2-PASTE HERE!'!K78</f>
        <v>QC Inspection - Final &amp; Loose Items</v>
      </c>
      <c r="E68" s="13">
        <f>'Sheet2-PASTE HERE!'!F78</f>
        <v>0</v>
      </c>
      <c r="F68" s="12"/>
      <c r="G68" s="12"/>
      <c r="H68" s="12"/>
      <c r="K68">
        <f t="shared" si="0"/>
        <v>1</v>
      </c>
      <c r="L68">
        <f t="shared" si="1"/>
        <v>0</v>
      </c>
    </row>
    <row r="69" spans="1:12" ht="26.25" customHeight="1" x14ac:dyDescent="0.2">
      <c r="A69" s="10" t="str">
        <f>'Sheet2-PASTE HERE!'!A79</f>
        <v>SHIPPING</v>
      </c>
      <c r="B69" s="11"/>
      <c r="C69" s="17" t="str">
        <f>'Sheet2-PASTE HERE!'!I79</f>
        <v>.960</v>
      </c>
      <c r="D69" s="22" t="str">
        <f>'Sheet2-PASTE HERE!'!K79</f>
        <v>Load on truck</v>
      </c>
      <c r="E69" s="13">
        <f>'Sheet2-PASTE HERE!'!F79</f>
        <v>3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 t="str">
        <f>'Sheet2-PASTE HERE!'!F81</f>
        <v/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173</v>
      </c>
      <c r="C1" s="8" t="s">
        <v>17</v>
      </c>
      <c r="D1" s="8" t="s">
        <v>174</v>
      </c>
      <c r="E1" s="8" t="s">
        <v>18</v>
      </c>
      <c r="F1" s="8" t="s">
        <v>175</v>
      </c>
      <c r="G1" s="8" t="s">
        <v>173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45910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325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55554</v>
      </c>
      <c r="C15" s="19">
        <v>0</v>
      </c>
      <c r="D15" s="8" t="s">
        <v>73</v>
      </c>
      <c r="E15" s="20">
        <v>0</v>
      </c>
      <c r="F15" s="20">
        <v>0</v>
      </c>
      <c r="G15" s="8" t="s">
        <v>54</v>
      </c>
      <c r="H15" s="20">
        <v>0</v>
      </c>
      <c r="I15" s="8" t="s">
        <v>74</v>
      </c>
      <c r="J15" s="19">
        <v>0</v>
      </c>
      <c r="K15" s="8" t="s">
        <v>73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55555</v>
      </c>
      <c r="C16" s="19">
        <v>0</v>
      </c>
      <c r="D16" s="8" t="s">
        <v>75</v>
      </c>
      <c r="E16" s="20">
        <v>0</v>
      </c>
      <c r="F16" s="20">
        <v>0</v>
      </c>
      <c r="G16" s="8" t="s">
        <v>54</v>
      </c>
      <c r="H16" s="20">
        <v>0</v>
      </c>
      <c r="I16" s="8" t="s">
        <v>76</v>
      </c>
      <c r="J16" s="19">
        <v>0</v>
      </c>
      <c r="K16" s="8" t="s">
        <v>77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55556</v>
      </c>
      <c r="C17" s="19">
        <v>0</v>
      </c>
      <c r="D17" s="8" t="s">
        <v>57</v>
      </c>
      <c r="E17" s="20">
        <v>0</v>
      </c>
      <c r="F17" s="20">
        <v>8</v>
      </c>
      <c r="G17" s="8" t="s">
        <v>54</v>
      </c>
      <c r="H17" s="20">
        <v>8</v>
      </c>
      <c r="I17" s="8" t="s">
        <v>58</v>
      </c>
      <c r="J17" s="19">
        <v>0</v>
      </c>
      <c r="K17" s="8" t="s">
        <v>176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55557</v>
      </c>
      <c r="C18" s="19">
        <v>0</v>
      </c>
      <c r="D18" s="8" t="s">
        <v>78</v>
      </c>
      <c r="E18" s="20">
        <v>0</v>
      </c>
      <c r="F18" s="20">
        <v>20</v>
      </c>
      <c r="G18" s="8" t="s">
        <v>54</v>
      </c>
      <c r="H18" s="20">
        <v>20</v>
      </c>
      <c r="I18" s="8" t="s">
        <v>79</v>
      </c>
      <c r="J18" s="19">
        <v>0</v>
      </c>
      <c r="K18" s="8" t="s">
        <v>177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55558</v>
      </c>
      <c r="C19" s="19">
        <v>0</v>
      </c>
      <c r="D19" s="8" t="s">
        <v>178</v>
      </c>
      <c r="E19" s="20">
        <v>0</v>
      </c>
      <c r="F19" s="20">
        <v>2</v>
      </c>
      <c r="G19" s="8" t="s">
        <v>54</v>
      </c>
      <c r="H19" s="20">
        <v>2</v>
      </c>
      <c r="I19" s="8" t="s">
        <v>179</v>
      </c>
      <c r="J19" s="19">
        <v>0</v>
      </c>
      <c r="K19" s="8" t="s">
        <v>180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55559</v>
      </c>
      <c r="C20" s="19">
        <v>0</v>
      </c>
      <c r="D20" s="8" t="s">
        <v>80</v>
      </c>
      <c r="E20" s="20">
        <v>0</v>
      </c>
      <c r="F20" s="20">
        <v>2</v>
      </c>
      <c r="G20" s="8" t="s">
        <v>54</v>
      </c>
      <c r="H20" s="20">
        <v>2</v>
      </c>
      <c r="I20" s="8" t="s">
        <v>81</v>
      </c>
      <c r="J20" s="19">
        <v>0</v>
      </c>
      <c r="K20" s="8" t="s">
        <v>82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55560</v>
      </c>
      <c r="C21" s="19">
        <v>0</v>
      </c>
      <c r="D21" s="8" t="s">
        <v>83</v>
      </c>
      <c r="E21" s="20">
        <v>0</v>
      </c>
      <c r="F21" s="20">
        <v>2</v>
      </c>
      <c r="G21" s="8" t="s">
        <v>54</v>
      </c>
      <c r="H21" s="20">
        <v>2</v>
      </c>
      <c r="I21" s="8" t="s">
        <v>84</v>
      </c>
      <c r="J21" s="19">
        <v>0</v>
      </c>
      <c r="K21" s="8" t="s">
        <v>85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55561</v>
      </c>
      <c r="C22" s="19">
        <v>0</v>
      </c>
      <c r="D22" s="8" t="s">
        <v>86</v>
      </c>
      <c r="E22" s="20">
        <v>0</v>
      </c>
      <c r="F22" s="20">
        <v>4</v>
      </c>
      <c r="G22" s="8" t="s">
        <v>54</v>
      </c>
      <c r="H22" s="20">
        <v>4</v>
      </c>
      <c r="I22" s="8" t="s">
        <v>87</v>
      </c>
      <c r="J22" s="19">
        <v>0</v>
      </c>
      <c r="K22" s="8" t="s">
        <v>88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55562</v>
      </c>
      <c r="C23" s="19">
        <v>0</v>
      </c>
      <c r="D23" s="8" t="s">
        <v>89</v>
      </c>
      <c r="E23" s="20">
        <v>0</v>
      </c>
      <c r="F23" s="20">
        <v>4</v>
      </c>
      <c r="G23" s="8" t="s">
        <v>54</v>
      </c>
      <c r="H23" s="20">
        <v>4</v>
      </c>
      <c r="I23" s="8" t="s">
        <v>90</v>
      </c>
      <c r="J23" s="19">
        <v>0</v>
      </c>
      <c r="K23" s="8" t="s">
        <v>91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55563</v>
      </c>
      <c r="C24" s="19">
        <v>0</v>
      </c>
      <c r="D24" s="8" t="s">
        <v>92</v>
      </c>
      <c r="E24" s="20">
        <v>0</v>
      </c>
      <c r="F24" s="20">
        <v>3</v>
      </c>
      <c r="G24" s="8" t="s">
        <v>54</v>
      </c>
      <c r="H24" s="20">
        <v>3</v>
      </c>
      <c r="I24" s="8" t="s">
        <v>93</v>
      </c>
      <c r="J24" s="19">
        <v>0</v>
      </c>
      <c r="K24" s="8" t="s">
        <v>94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55564</v>
      </c>
      <c r="C25" s="19">
        <v>0</v>
      </c>
      <c r="D25" s="8" t="s">
        <v>161</v>
      </c>
      <c r="E25" s="20">
        <v>0</v>
      </c>
      <c r="F25" s="20">
        <v>20</v>
      </c>
      <c r="G25" s="8" t="s">
        <v>54</v>
      </c>
      <c r="H25" s="20">
        <v>20</v>
      </c>
      <c r="I25" s="8" t="s">
        <v>59</v>
      </c>
      <c r="J25" s="19">
        <v>0</v>
      </c>
      <c r="K25" s="8" t="s">
        <v>95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55565</v>
      </c>
      <c r="C26" s="19">
        <v>0</v>
      </c>
      <c r="D26" s="8" t="s">
        <v>162</v>
      </c>
      <c r="E26" s="20">
        <v>0</v>
      </c>
      <c r="F26" s="20">
        <v>10</v>
      </c>
      <c r="G26" s="8" t="s">
        <v>54</v>
      </c>
      <c r="H26" s="20">
        <v>10</v>
      </c>
      <c r="I26" s="8" t="s">
        <v>163</v>
      </c>
      <c r="J26" s="19">
        <v>0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55566</v>
      </c>
      <c r="C27" s="19">
        <v>0</v>
      </c>
      <c r="D27" s="8" t="s">
        <v>96</v>
      </c>
      <c r="E27" s="20">
        <v>0</v>
      </c>
      <c r="F27" s="20">
        <v>2</v>
      </c>
      <c r="G27" s="8" t="s">
        <v>54</v>
      </c>
      <c r="H27" s="20">
        <v>2</v>
      </c>
      <c r="I27" s="8" t="s">
        <v>97</v>
      </c>
      <c r="J27" s="19">
        <v>0</v>
      </c>
      <c r="K27" s="8" t="s">
        <v>181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55567</v>
      </c>
      <c r="C28" s="19">
        <v>0</v>
      </c>
      <c r="D28" s="8" t="s">
        <v>157</v>
      </c>
      <c r="E28" s="20">
        <v>0</v>
      </c>
      <c r="F28" s="20">
        <v>1</v>
      </c>
      <c r="G28" s="8" t="s">
        <v>54</v>
      </c>
      <c r="H28" s="20">
        <v>1</v>
      </c>
      <c r="I28" s="8" t="s">
        <v>158</v>
      </c>
      <c r="J28" s="19">
        <v>0</v>
      </c>
      <c r="K28" s="8" t="s">
        <v>182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55568</v>
      </c>
      <c r="C29" s="19">
        <v>0</v>
      </c>
      <c r="D29" s="8" t="s">
        <v>164</v>
      </c>
      <c r="E29" s="20">
        <v>0</v>
      </c>
      <c r="F29" s="20">
        <v>1</v>
      </c>
      <c r="G29" s="8" t="s">
        <v>54</v>
      </c>
      <c r="H29" s="20">
        <v>1</v>
      </c>
      <c r="I29" s="8" t="s">
        <v>165</v>
      </c>
      <c r="J29" s="19">
        <v>0</v>
      </c>
      <c r="K29" s="8" t="s">
        <v>183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55569</v>
      </c>
      <c r="C30" s="19">
        <v>0</v>
      </c>
      <c r="D30" s="8" t="s">
        <v>184</v>
      </c>
      <c r="E30" s="20">
        <v>0</v>
      </c>
      <c r="F30" s="20">
        <v>1</v>
      </c>
      <c r="G30" s="8" t="s">
        <v>54</v>
      </c>
      <c r="H30" s="20">
        <v>1</v>
      </c>
      <c r="I30" s="8" t="s">
        <v>185</v>
      </c>
      <c r="J30" s="19">
        <v>0</v>
      </c>
      <c r="K30" s="8" t="s">
        <v>186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53</v>
      </c>
      <c r="B31" s="18">
        <v>55570</v>
      </c>
      <c r="C31" s="19">
        <v>0</v>
      </c>
      <c r="D31" s="8" t="s">
        <v>98</v>
      </c>
      <c r="E31" s="20">
        <v>0</v>
      </c>
      <c r="F31" s="20">
        <v>0</v>
      </c>
      <c r="G31" s="8" t="s">
        <v>54</v>
      </c>
      <c r="H31" s="20">
        <v>0</v>
      </c>
      <c r="I31" s="8" t="s">
        <v>99</v>
      </c>
      <c r="J31" s="19">
        <v>0</v>
      </c>
      <c r="K31" s="8" t="s">
        <v>98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55571</v>
      </c>
      <c r="C32" s="19">
        <v>0</v>
      </c>
      <c r="D32" s="8" t="s">
        <v>100</v>
      </c>
      <c r="E32" s="20">
        <v>0</v>
      </c>
      <c r="F32" s="20">
        <v>6</v>
      </c>
      <c r="G32" s="8" t="s">
        <v>54</v>
      </c>
      <c r="H32" s="20">
        <v>6</v>
      </c>
      <c r="I32" s="8" t="s">
        <v>101</v>
      </c>
      <c r="J32" s="19">
        <v>0</v>
      </c>
      <c r="K32" s="8" t="s">
        <v>187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55572</v>
      </c>
      <c r="C33" s="19">
        <v>0</v>
      </c>
      <c r="D33" s="8" t="s">
        <v>102</v>
      </c>
      <c r="E33" s="20">
        <v>0</v>
      </c>
      <c r="F33" s="20">
        <v>12</v>
      </c>
      <c r="G33" s="8" t="s">
        <v>54</v>
      </c>
      <c r="H33" s="20">
        <v>12</v>
      </c>
      <c r="I33" s="8" t="s">
        <v>103</v>
      </c>
      <c r="J33" s="19">
        <v>0</v>
      </c>
      <c r="K33" s="8" t="s">
        <v>188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53</v>
      </c>
      <c r="B34" s="18">
        <v>55573</v>
      </c>
      <c r="C34" s="19">
        <v>0</v>
      </c>
      <c r="D34" s="8" t="s">
        <v>104</v>
      </c>
      <c r="E34" s="20">
        <v>0</v>
      </c>
      <c r="F34" s="20">
        <v>0</v>
      </c>
      <c r="G34" s="8" t="s">
        <v>54</v>
      </c>
      <c r="H34" s="20">
        <v>0</v>
      </c>
      <c r="I34" s="8" t="s">
        <v>105</v>
      </c>
      <c r="J34" s="19">
        <v>0</v>
      </c>
      <c r="K34" s="8" t="s">
        <v>106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55574</v>
      </c>
      <c r="C35" s="19">
        <v>0</v>
      </c>
      <c r="D35" s="8" t="s">
        <v>107</v>
      </c>
      <c r="E35" s="20">
        <v>0</v>
      </c>
      <c r="F35" s="20">
        <v>1</v>
      </c>
      <c r="G35" s="8" t="s">
        <v>54</v>
      </c>
      <c r="H35" s="20">
        <v>1</v>
      </c>
      <c r="I35" s="8" t="s">
        <v>108</v>
      </c>
      <c r="J35" s="19">
        <v>0</v>
      </c>
      <c r="K35" s="8" t="s">
        <v>189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55575</v>
      </c>
      <c r="C36" s="19">
        <v>0</v>
      </c>
      <c r="D36" s="8" t="s">
        <v>190</v>
      </c>
      <c r="E36" s="20">
        <v>0</v>
      </c>
      <c r="F36" s="20">
        <v>5</v>
      </c>
      <c r="G36" s="8" t="s">
        <v>54</v>
      </c>
      <c r="H36" s="20">
        <v>5</v>
      </c>
      <c r="I36" s="8" t="s">
        <v>191</v>
      </c>
      <c r="J36" s="19">
        <v>0</v>
      </c>
      <c r="K36" s="8" t="s">
        <v>192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55576</v>
      </c>
      <c r="C37" s="19">
        <v>0</v>
      </c>
      <c r="D37" s="8" t="s">
        <v>109</v>
      </c>
      <c r="E37" s="20">
        <v>0</v>
      </c>
      <c r="F37" s="20">
        <v>4</v>
      </c>
      <c r="G37" s="8" t="s">
        <v>54</v>
      </c>
      <c r="H37" s="20">
        <v>4</v>
      </c>
      <c r="I37" s="8" t="s">
        <v>110</v>
      </c>
      <c r="J37" s="19">
        <v>0</v>
      </c>
      <c r="K37" s="8" t="s">
        <v>193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55577</v>
      </c>
      <c r="C38" s="19">
        <v>0</v>
      </c>
      <c r="D38" s="8" t="s">
        <v>111</v>
      </c>
      <c r="E38" s="20">
        <v>0</v>
      </c>
      <c r="F38" s="20">
        <v>10</v>
      </c>
      <c r="G38" s="8" t="s">
        <v>54</v>
      </c>
      <c r="H38" s="20">
        <v>10</v>
      </c>
      <c r="I38" s="8" t="s">
        <v>112</v>
      </c>
      <c r="J38" s="19">
        <v>0</v>
      </c>
      <c r="K38" s="8" t="s">
        <v>194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55578</v>
      </c>
      <c r="C39" s="19">
        <v>0</v>
      </c>
      <c r="D39" s="8" t="s">
        <v>159</v>
      </c>
      <c r="E39" s="20">
        <v>0</v>
      </c>
      <c r="F39" s="20">
        <v>3</v>
      </c>
      <c r="G39" s="8" t="s">
        <v>54</v>
      </c>
      <c r="H39" s="20">
        <v>3</v>
      </c>
      <c r="I39" s="8" t="s">
        <v>160</v>
      </c>
      <c r="J39" s="19">
        <v>0</v>
      </c>
      <c r="K39" s="8" t="s">
        <v>195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53</v>
      </c>
      <c r="B40" s="18">
        <v>55579</v>
      </c>
      <c r="C40" s="19">
        <v>0</v>
      </c>
      <c r="D40" s="8" t="s">
        <v>104</v>
      </c>
      <c r="E40" s="20">
        <v>0</v>
      </c>
      <c r="F40" s="20">
        <v>0</v>
      </c>
      <c r="G40" s="8" t="s">
        <v>54</v>
      </c>
      <c r="H40" s="20">
        <v>0</v>
      </c>
      <c r="I40" s="8" t="s">
        <v>105</v>
      </c>
      <c r="J40" s="19">
        <v>0</v>
      </c>
      <c r="K40" s="8" t="s">
        <v>106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55580</v>
      </c>
      <c r="C41" s="19">
        <v>0</v>
      </c>
      <c r="D41" s="8" t="s">
        <v>166</v>
      </c>
      <c r="E41" s="20">
        <v>0</v>
      </c>
      <c r="F41" s="20">
        <v>1</v>
      </c>
      <c r="G41" s="8" t="s">
        <v>54</v>
      </c>
      <c r="H41" s="20">
        <v>1</v>
      </c>
      <c r="I41" s="8" t="s">
        <v>167</v>
      </c>
      <c r="J41" s="19">
        <v>0</v>
      </c>
      <c r="K41" s="8" t="s">
        <v>196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55581</v>
      </c>
      <c r="C42" s="19">
        <v>0</v>
      </c>
      <c r="D42" s="8" t="s">
        <v>197</v>
      </c>
      <c r="E42" s="20">
        <v>0</v>
      </c>
      <c r="F42" s="20">
        <v>1</v>
      </c>
      <c r="G42" s="8" t="s">
        <v>54</v>
      </c>
      <c r="H42" s="20">
        <v>1</v>
      </c>
      <c r="I42" s="8" t="s">
        <v>198</v>
      </c>
      <c r="J42" s="19">
        <v>0</v>
      </c>
      <c r="K42" s="8" t="s">
        <v>199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55582</v>
      </c>
      <c r="C43" s="19">
        <v>0</v>
      </c>
      <c r="D43" s="8" t="s">
        <v>200</v>
      </c>
      <c r="E43" s="20">
        <v>0</v>
      </c>
      <c r="F43" s="20">
        <v>1</v>
      </c>
      <c r="G43" s="8" t="s">
        <v>54</v>
      </c>
      <c r="H43" s="20">
        <v>1</v>
      </c>
      <c r="I43" s="8" t="s">
        <v>201</v>
      </c>
      <c r="J43" s="19">
        <v>0</v>
      </c>
      <c r="K43" s="8" t="s">
        <v>202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56</v>
      </c>
      <c r="B44" s="18">
        <v>55583</v>
      </c>
      <c r="C44" s="19">
        <v>0</v>
      </c>
      <c r="D44" s="8" t="s">
        <v>203</v>
      </c>
      <c r="E44" s="20">
        <v>0</v>
      </c>
      <c r="F44" s="20">
        <v>3</v>
      </c>
      <c r="G44" s="8" t="s">
        <v>54</v>
      </c>
      <c r="H44" s="20">
        <v>3</v>
      </c>
      <c r="I44" s="8" t="s">
        <v>204</v>
      </c>
      <c r="J44" s="19">
        <v>0</v>
      </c>
      <c r="K44" s="8" t="s">
        <v>205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56</v>
      </c>
      <c r="B45" s="18">
        <v>55584</v>
      </c>
      <c r="C45" s="19">
        <v>0</v>
      </c>
      <c r="D45" s="8" t="s">
        <v>206</v>
      </c>
      <c r="E45" s="20">
        <v>0</v>
      </c>
      <c r="F45" s="20">
        <v>6</v>
      </c>
      <c r="G45" s="8" t="s">
        <v>54</v>
      </c>
      <c r="H45" s="20">
        <v>6</v>
      </c>
      <c r="I45" s="8" t="s">
        <v>207</v>
      </c>
      <c r="J45" s="19">
        <v>0</v>
      </c>
      <c r="K45" s="8" t="s">
        <v>208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56</v>
      </c>
      <c r="B46" s="18">
        <v>55585</v>
      </c>
      <c r="C46" s="19">
        <v>0</v>
      </c>
      <c r="D46" s="8" t="s">
        <v>209</v>
      </c>
      <c r="E46" s="20">
        <v>0</v>
      </c>
      <c r="F46" s="20">
        <v>3</v>
      </c>
      <c r="G46" s="8" t="s">
        <v>54</v>
      </c>
      <c r="H46" s="20">
        <v>3</v>
      </c>
      <c r="I46" s="8" t="s">
        <v>210</v>
      </c>
      <c r="J46" s="19">
        <v>0</v>
      </c>
      <c r="K46" s="8" t="s">
        <v>211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72</v>
      </c>
      <c r="B47" s="18">
        <v>55586</v>
      </c>
      <c r="C47" s="19">
        <v>0</v>
      </c>
      <c r="D47" s="8" t="s">
        <v>212</v>
      </c>
      <c r="E47" s="20">
        <v>0</v>
      </c>
      <c r="F47" s="20">
        <v>5</v>
      </c>
      <c r="G47" s="8" t="s">
        <v>54</v>
      </c>
      <c r="H47" s="20">
        <v>5</v>
      </c>
      <c r="I47" s="8" t="s">
        <v>213</v>
      </c>
      <c r="J47" s="19">
        <v>0</v>
      </c>
      <c r="K47" s="8" t="s">
        <v>214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72</v>
      </c>
      <c r="B48" s="18">
        <v>55587</v>
      </c>
      <c r="C48" s="19">
        <v>0</v>
      </c>
      <c r="D48" s="8" t="s">
        <v>215</v>
      </c>
      <c r="E48" s="20">
        <v>0</v>
      </c>
      <c r="F48" s="20">
        <v>1</v>
      </c>
      <c r="G48" s="8" t="s">
        <v>54</v>
      </c>
      <c r="H48" s="20">
        <v>1</v>
      </c>
      <c r="I48" s="8" t="s">
        <v>216</v>
      </c>
      <c r="J48" s="19">
        <v>0</v>
      </c>
      <c r="K48" s="8" t="s">
        <v>217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72</v>
      </c>
      <c r="B49" s="18">
        <v>55588</v>
      </c>
      <c r="C49" s="19">
        <v>0</v>
      </c>
      <c r="D49" s="8" t="s">
        <v>218</v>
      </c>
      <c r="E49" s="20">
        <v>0</v>
      </c>
      <c r="F49" s="20">
        <v>3</v>
      </c>
      <c r="G49" s="8" t="s">
        <v>54</v>
      </c>
      <c r="H49" s="20">
        <v>3</v>
      </c>
      <c r="I49" s="8" t="s">
        <v>219</v>
      </c>
      <c r="J49" s="19">
        <v>0</v>
      </c>
      <c r="K49" s="8" t="s">
        <v>220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72</v>
      </c>
      <c r="B50" s="18">
        <v>55589</v>
      </c>
      <c r="C50" s="19">
        <v>0</v>
      </c>
      <c r="D50" s="8" t="s">
        <v>221</v>
      </c>
      <c r="E50" s="20">
        <v>0</v>
      </c>
      <c r="F50" s="20">
        <v>7</v>
      </c>
      <c r="G50" s="8" t="s">
        <v>54</v>
      </c>
      <c r="H50" s="20">
        <v>7</v>
      </c>
      <c r="I50" s="8" t="s">
        <v>222</v>
      </c>
      <c r="J50" s="19">
        <v>0</v>
      </c>
      <c r="K50" s="8" t="s">
        <v>223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72</v>
      </c>
      <c r="B51" s="18">
        <v>55590</v>
      </c>
      <c r="C51" s="19">
        <v>0</v>
      </c>
      <c r="D51" s="8" t="s">
        <v>113</v>
      </c>
      <c r="E51" s="20">
        <v>0</v>
      </c>
      <c r="F51" s="20">
        <v>8</v>
      </c>
      <c r="G51" s="8" t="s">
        <v>54</v>
      </c>
      <c r="H51" s="20">
        <v>8</v>
      </c>
      <c r="I51" s="8" t="s">
        <v>114</v>
      </c>
      <c r="J51" s="19">
        <v>0</v>
      </c>
      <c r="K51" s="8" t="s">
        <v>224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72</v>
      </c>
      <c r="B52" s="18">
        <v>55591</v>
      </c>
      <c r="C52" s="19">
        <v>0</v>
      </c>
      <c r="D52" s="8" t="s">
        <v>115</v>
      </c>
      <c r="E52" s="20">
        <v>0</v>
      </c>
      <c r="F52" s="20">
        <v>3</v>
      </c>
      <c r="G52" s="8" t="s">
        <v>54</v>
      </c>
      <c r="H52" s="20">
        <v>3</v>
      </c>
      <c r="I52" s="8" t="s">
        <v>116</v>
      </c>
      <c r="J52" s="19">
        <v>0</v>
      </c>
      <c r="K52" s="8" t="s">
        <v>168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72</v>
      </c>
      <c r="B53" s="18">
        <v>55592</v>
      </c>
      <c r="C53" s="19">
        <v>0</v>
      </c>
      <c r="D53" s="8" t="s">
        <v>117</v>
      </c>
      <c r="E53" s="20">
        <v>0</v>
      </c>
      <c r="F53" s="20">
        <v>4</v>
      </c>
      <c r="G53" s="8" t="s">
        <v>54</v>
      </c>
      <c r="H53" s="20">
        <v>4</v>
      </c>
      <c r="I53" s="8" t="s">
        <v>118</v>
      </c>
      <c r="J53" s="19">
        <v>0</v>
      </c>
      <c r="K53" s="8" t="s">
        <v>225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72</v>
      </c>
      <c r="B54" s="18">
        <v>55593</v>
      </c>
      <c r="C54" s="19">
        <v>0</v>
      </c>
      <c r="D54" s="8" t="s">
        <v>119</v>
      </c>
      <c r="E54" s="20">
        <v>0</v>
      </c>
      <c r="F54" s="20">
        <v>5</v>
      </c>
      <c r="G54" s="8" t="s">
        <v>54</v>
      </c>
      <c r="H54" s="20">
        <v>5</v>
      </c>
      <c r="I54" s="8" t="s">
        <v>120</v>
      </c>
      <c r="J54" s="19">
        <v>0</v>
      </c>
      <c r="K54" s="8" t="s">
        <v>226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53</v>
      </c>
      <c r="B55" s="18">
        <v>55594</v>
      </c>
      <c r="C55" s="19">
        <v>0</v>
      </c>
      <c r="D55" s="8" t="s">
        <v>121</v>
      </c>
      <c r="E55" s="20">
        <v>0</v>
      </c>
      <c r="F55" s="20">
        <v>0</v>
      </c>
      <c r="G55" s="8" t="s">
        <v>54</v>
      </c>
      <c r="H55" s="20">
        <v>0</v>
      </c>
      <c r="I55" s="8" t="s">
        <v>122</v>
      </c>
      <c r="J55" s="19">
        <v>0</v>
      </c>
      <c r="K55" s="8" t="s">
        <v>121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72</v>
      </c>
      <c r="B56" s="18">
        <v>55595</v>
      </c>
      <c r="C56" s="19">
        <v>0</v>
      </c>
      <c r="D56" s="8" t="s">
        <v>123</v>
      </c>
      <c r="E56" s="20">
        <v>0</v>
      </c>
      <c r="F56" s="20">
        <v>4</v>
      </c>
      <c r="G56" s="8" t="s">
        <v>54</v>
      </c>
      <c r="H56" s="20">
        <v>4</v>
      </c>
      <c r="I56" s="8" t="s">
        <v>124</v>
      </c>
      <c r="J56" s="19">
        <v>0</v>
      </c>
      <c r="K56" s="8" t="s">
        <v>227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72</v>
      </c>
      <c r="B57" s="18">
        <v>55596</v>
      </c>
      <c r="C57" s="19">
        <v>0</v>
      </c>
      <c r="D57" s="8" t="s">
        <v>228</v>
      </c>
      <c r="E57" s="20">
        <v>0</v>
      </c>
      <c r="F57" s="20">
        <v>10</v>
      </c>
      <c r="G57" s="8" t="s">
        <v>54</v>
      </c>
      <c r="H57" s="20">
        <v>10</v>
      </c>
      <c r="I57" s="8" t="s">
        <v>229</v>
      </c>
      <c r="J57" s="19">
        <v>0</v>
      </c>
      <c r="K57" s="8" t="s">
        <v>230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72</v>
      </c>
      <c r="B58" s="18">
        <v>55597</v>
      </c>
      <c r="C58" s="19">
        <v>0</v>
      </c>
      <c r="D58" s="8" t="s">
        <v>169</v>
      </c>
      <c r="E58" s="20">
        <v>0</v>
      </c>
      <c r="F58" s="20">
        <v>8</v>
      </c>
      <c r="G58" s="8" t="s">
        <v>54</v>
      </c>
      <c r="H58" s="20">
        <v>8</v>
      </c>
      <c r="I58" s="8" t="s">
        <v>170</v>
      </c>
      <c r="J58" s="19">
        <v>0</v>
      </c>
      <c r="K58" s="8" t="s">
        <v>231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125</v>
      </c>
      <c r="B59" s="18">
        <v>55598</v>
      </c>
      <c r="C59" s="19">
        <v>0</v>
      </c>
      <c r="D59" s="8" t="s">
        <v>126</v>
      </c>
      <c r="E59" s="20">
        <v>0</v>
      </c>
      <c r="F59" s="20">
        <v>2</v>
      </c>
      <c r="G59" s="8" t="s">
        <v>54</v>
      </c>
      <c r="H59" s="20">
        <v>2</v>
      </c>
      <c r="I59" s="8" t="s">
        <v>127</v>
      </c>
      <c r="J59" s="19">
        <v>0</v>
      </c>
      <c r="K59" s="8" t="s">
        <v>128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72</v>
      </c>
      <c r="B60" s="18">
        <v>55599</v>
      </c>
      <c r="C60" s="19">
        <v>0</v>
      </c>
      <c r="D60" s="8" t="s">
        <v>232</v>
      </c>
      <c r="E60" s="20">
        <v>0</v>
      </c>
      <c r="F60" s="20">
        <v>24</v>
      </c>
      <c r="G60" s="8" t="s">
        <v>54</v>
      </c>
      <c r="H60" s="20">
        <v>24</v>
      </c>
      <c r="I60" s="8" t="s">
        <v>233</v>
      </c>
      <c r="J60" s="19">
        <v>0</v>
      </c>
      <c r="K60" s="8" t="s">
        <v>234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72</v>
      </c>
      <c r="B61" s="18">
        <v>55600</v>
      </c>
      <c r="C61" s="19">
        <v>0</v>
      </c>
      <c r="D61" s="8" t="s">
        <v>60</v>
      </c>
      <c r="E61" s="20">
        <v>0</v>
      </c>
      <c r="F61" s="20">
        <v>2</v>
      </c>
      <c r="G61" s="8" t="s">
        <v>54</v>
      </c>
      <c r="H61" s="20">
        <v>2</v>
      </c>
      <c r="I61" s="8" t="s">
        <v>61</v>
      </c>
      <c r="J61" s="19">
        <v>0</v>
      </c>
      <c r="K61" s="8" t="s">
        <v>235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72</v>
      </c>
      <c r="B62" s="18">
        <v>55601</v>
      </c>
      <c r="C62" s="19">
        <v>0</v>
      </c>
      <c r="D62" s="8" t="s">
        <v>129</v>
      </c>
      <c r="E62" s="20">
        <v>0</v>
      </c>
      <c r="F62" s="20">
        <v>25</v>
      </c>
      <c r="G62" s="8" t="s">
        <v>54</v>
      </c>
      <c r="H62" s="20">
        <v>25</v>
      </c>
      <c r="I62" s="8" t="s">
        <v>130</v>
      </c>
      <c r="J62" s="19">
        <v>0</v>
      </c>
      <c r="K62" s="8" t="s">
        <v>236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72</v>
      </c>
      <c r="B63" s="18">
        <v>55602</v>
      </c>
      <c r="C63" s="19">
        <v>0</v>
      </c>
      <c r="D63" s="8" t="s">
        <v>131</v>
      </c>
      <c r="E63" s="20">
        <v>0</v>
      </c>
      <c r="F63" s="20">
        <v>6</v>
      </c>
      <c r="G63" s="8" t="s">
        <v>54</v>
      </c>
      <c r="H63" s="20">
        <v>6</v>
      </c>
      <c r="I63" s="8" t="s">
        <v>132</v>
      </c>
      <c r="J63" s="19">
        <v>0</v>
      </c>
      <c r="K63" s="8" t="s">
        <v>237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72</v>
      </c>
      <c r="B64" s="18">
        <v>55603</v>
      </c>
      <c r="C64" s="19">
        <v>0</v>
      </c>
      <c r="D64" s="8" t="s">
        <v>133</v>
      </c>
      <c r="E64" s="20">
        <v>0</v>
      </c>
      <c r="F64" s="20">
        <v>30</v>
      </c>
      <c r="G64" s="8" t="s">
        <v>54</v>
      </c>
      <c r="H64" s="20">
        <v>30</v>
      </c>
      <c r="I64" s="8" t="s">
        <v>134</v>
      </c>
      <c r="J64" s="19">
        <v>0</v>
      </c>
      <c r="K64" s="8" t="s">
        <v>238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72</v>
      </c>
      <c r="B65" s="18">
        <v>55604</v>
      </c>
      <c r="C65" s="19">
        <v>0</v>
      </c>
      <c r="D65" s="8" t="s">
        <v>171</v>
      </c>
      <c r="E65" s="20">
        <v>0</v>
      </c>
      <c r="F65" s="20">
        <v>3</v>
      </c>
      <c r="G65" s="8" t="s">
        <v>54</v>
      </c>
      <c r="H65" s="20">
        <v>3</v>
      </c>
      <c r="I65" s="8" t="s">
        <v>172</v>
      </c>
      <c r="J65" s="19">
        <v>0</v>
      </c>
      <c r="K65" s="8" t="s">
        <v>239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62</v>
      </c>
      <c r="B66" s="18">
        <v>55605</v>
      </c>
      <c r="C66" s="19">
        <v>0</v>
      </c>
      <c r="D66" s="8" t="s">
        <v>135</v>
      </c>
      <c r="E66" s="20">
        <v>0</v>
      </c>
      <c r="F66" s="20">
        <v>1</v>
      </c>
      <c r="G66" s="8" t="s">
        <v>54</v>
      </c>
      <c r="H66" s="20">
        <v>1</v>
      </c>
      <c r="I66" s="8" t="s">
        <v>136</v>
      </c>
      <c r="J66" s="19">
        <v>0</v>
      </c>
      <c r="K66" s="8" t="s">
        <v>137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72</v>
      </c>
      <c r="B67" s="18">
        <v>55606</v>
      </c>
      <c r="C67" s="19">
        <v>0</v>
      </c>
      <c r="D67" s="8" t="s">
        <v>138</v>
      </c>
      <c r="E67" s="20">
        <v>0</v>
      </c>
      <c r="F67" s="20">
        <v>1</v>
      </c>
      <c r="G67" s="8" t="s">
        <v>54</v>
      </c>
      <c r="H67" s="20">
        <v>1</v>
      </c>
      <c r="I67" s="8" t="s">
        <v>139</v>
      </c>
      <c r="J67" s="19">
        <v>0</v>
      </c>
      <c r="K67" s="8" t="s">
        <v>140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53</v>
      </c>
      <c r="B68" s="18">
        <v>55607</v>
      </c>
      <c r="C68" s="19">
        <v>0</v>
      </c>
      <c r="D68" s="8" t="s">
        <v>141</v>
      </c>
      <c r="E68" s="20">
        <v>0</v>
      </c>
      <c r="F68" s="20">
        <v>0</v>
      </c>
      <c r="G68" s="8" t="s">
        <v>54</v>
      </c>
      <c r="H68" s="20">
        <v>0</v>
      </c>
      <c r="I68" s="8" t="s">
        <v>142</v>
      </c>
      <c r="J68" s="19">
        <v>0</v>
      </c>
      <c r="K68" s="8" t="s">
        <v>143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53</v>
      </c>
      <c r="B69" s="18">
        <v>55608</v>
      </c>
      <c r="C69" s="19">
        <v>0</v>
      </c>
      <c r="D69" s="8" t="s">
        <v>240</v>
      </c>
      <c r="E69" s="20">
        <v>0</v>
      </c>
      <c r="F69" s="20">
        <v>0</v>
      </c>
      <c r="G69" s="8" t="s">
        <v>54</v>
      </c>
      <c r="H69" s="20">
        <v>0</v>
      </c>
      <c r="I69" s="8" t="s">
        <v>241</v>
      </c>
      <c r="J69" s="19">
        <v>0</v>
      </c>
      <c r="K69" s="8" t="s">
        <v>240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125</v>
      </c>
      <c r="B70" s="18">
        <v>55609</v>
      </c>
      <c r="C70" s="19">
        <v>0</v>
      </c>
      <c r="D70" s="8" t="s">
        <v>144</v>
      </c>
      <c r="E70" s="20">
        <v>0</v>
      </c>
      <c r="F70" s="20">
        <v>2</v>
      </c>
      <c r="G70" s="8" t="s">
        <v>54</v>
      </c>
      <c r="H70" s="20">
        <v>2</v>
      </c>
      <c r="I70" s="8" t="s">
        <v>145</v>
      </c>
      <c r="J70" s="19">
        <v>0</v>
      </c>
      <c r="K70" s="8" t="s">
        <v>146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62</v>
      </c>
      <c r="B71" s="18">
        <v>55610</v>
      </c>
      <c r="C71" s="19">
        <v>0</v>
      </c>
      <c r="D71" s="8" t="s">
        <v>147</v>
      </c>
      <c r="E71" s="20">
        <v>0</v>
      </c>
      <c r="F71" s="20">
        <v>12</v>
      </c>
      <c r="G71" s="8" t="s">
        <v>54</v>
      </c>
      <c r="H71" s="20">
        <v>12</v>
      </c>
      <c r="I71" s="8" t="s">
        <v>148</v>
      </c>
      <c r="J71" s="19">
        <v>0</v>
      </c>
      <c r="K71" s="8" t="s">
        <v>149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53</v>
      </c>
      <c r="B72" s="18">
        <v>55611</v>
      </c>
      <c r="C72" s="19">
        <v>0</v>
      </c>
      <c r="D72" s="8" t="s">
        <v>150</v>
      </c>
      <c r="E72" s="20">
        <v>0</v>
      </c>
      <c r="F72" s="20">
        <v>0</v>
      </c>
      <c r="G72" s="8" t="s">
        <v>54</v>
      </c>
      <c r="H72" s="20">
        <v>0</v>
      </c>
      <c r="I72" s="8" t="s">
        <v>151</v>
      </c>
      <c r="J72" s="19">
        <v>0</v>
      </c>
      <c r="K72" s="8" t="s">
        <v>150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53</v>
      </c>
      <c r="B73" s="18">
        <v>55612</v>
      </c>
      <c r="C73" s="19">
        <v>0</v>
      </c>
      <c r="D73" s="8" t="s">
        <v>242</v>
      </c>
      <c r="E73" s="20">
        <v>0</v>
      </c>
      <c r="F73" s="20">
        <v>0</v>
      </c>
      <c r="G73" s="8" t="s">
        <v>54</v>
      </c>
      <c r="H73" s="20">
        <v>0</v>
      </c>
      <c r="I73" s="8" t="s">
        <v>243</v>
      </c>
      <c r="J73" s="19">
        <v>0</v>
      </c>
      <c r="K73" s="8" t="s">
        <v>242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62</v>
      </c>
      <c r="B74" s="18">
        <v>55613</v>
      </c>
      <c r="C74" s="19">
        <v>0</v>
      </c>
      <c r="D74" s="8" t="s">
        <v>152</v>
      </c>
      <c r="E74" s="20">
        <v>0</v>
      </c>
      <c r="F74" s="20">
        <v>16</v>
      </c>
      <c r="G74" s="8" t="s">
        <v>54</v>
      </c>
      <c r="H74" s="20">
        <v>16</v>
      </c>
      <c r="I74" s="8" t="s">
        <v>153</v>
      </c>
      <c r="J74" s="19">
        <v>0</v>
      </c>
      <c r="K74" s="8" t="s">
        <v>154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53</v>
      </c>
      <c r="B75" s="18">
        <v>55614</v>
      </c>
      <c r="C75" s="19">
        <v>0</v>
      </c>
      <c r="D75" s="8" t="s">
        <v>155</v>
      </c>
      <c r="E75" s="20">
        <v>0</v>
      </c>
      <c r="F75" s="20">
        <v>0</v>
      </c>
      <c r="G75" s="8" t="s">
        <v>54</v>
      </c>
      <c r="H75" s="20">
        <v>0</v>
      </c>
      <c r="I75" s="8" t="s">
        <v>156</v>
      </c>
      <c r="J75" s="19">
        <v>0</v>
      </c>
      <c r="K75" s="8" t="s">
        <v>155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125</v>
      </c>
      <c r="B76" s="18">
        <v>55615</v>
      </c>
      <c r="C76" s="19">
        <v>0</v>
      </c>
      <c r="D76" s="8" t="s">
        <v>244</v>
      </c>
      <c r="E76" s="20">
        <v>0</v>
      </c>
      <c r="F76" s="20">
        <v>2</v>
      </c>
      <c r="G76" s="8" t="s">
        <v>54</v>
      </c>
      <c r="H76" s="20">
        <v>2</v>
      </c>
      <c r="I76" s="8" t="s">
        <v>245</v>
      </c>
      <c r="J76" s="19">
        <v>0</v>
      </c>
      <c r="K76" s="8" t="s">
        <v>246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62</v>
      </c>
      <c r="B77" s="18">
        <v>55616</v>
      </c>
      <c r="C77" s="19">
        <v>0</v>
      </c>
      <c r="D77" s="8" t="s">
        <v>247</v>
      </c>
      <c r="E77" s="20">
        <v>0</v>
      </c>
      <c r="F77" s="20">
        <v>2</v>
      </c>
      <c r="G77" s="8" t="s">
        <v>54</v>
      </c>
      <c r="H77" s="20">
        <v>2</v>
      </c>
      <c r="I77" s="8" t="s">
        <v>248</v>
      </c>
      <c r="J77" s="19">
        <v>0</v>
      </c>
      <c r="K77" s="8" t="s">
        <v>249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>
      <c r="A78" s="8" t="s">
        <v>53</v>
      </c>
      <c r="B78" s="18">
        <v>55617</v>
      </c>
      <c r="C78" s="19">
        <v>0</v>
      </c>
      <c r="D78" s="8" t="s">
        <v>63</v>
      </c>
      <c r="E78" s="20">
        <v>0</v>
      </c>
      <c r="F78" s="20">
        <v>0</v>
      </c>
      <c r="G78" s="8" t="s">
        <v>54</v>
      </c>
      <c r="H78" s="20">
        <v>0</v>
      </c>
      <c r="I78" s="8" t="s">
        <v>64</v>
      </c>
      <c r="J78" s="19">
        <v>0</v>
      </c>
      <c r="K78" s="8" t="s">
        <v>65</v>
      </c>
      <c r="L78" s="8" t="s">
        <v>55</v>
      </c>
      <c r="M78" s="8" t="s">
        <v>55</v>
      </c>
      <c r="N78" s="8" t="s">
        <v>55</v>
      </c>
    </row>
    <row r="79" spans="1:14" ht="12.75" customHeight="1" x14ac:dyDescent="0.2">
      <c r="A79" s="8" t="s">
        <v>66</v>
      </c>
      <c r="B79" s="18">
        <v>55618</v>
      </c>
      <c r="C79" s="19">
        <v>0</v>
      </c>
      <c r="D79" s="8" t="s">
        <v>67</v>
      </c>
      <c r="E79" s="20">
        <v>0</v>
      </c>
      <c r="F79" s="20">
        <v>3</v>
      </c>
      <c r="G79" s="8" t="s">
        <v>54</v>
      </c>
      <c r="H79" s="20">
        <v>3</v>
      </c>
      <c r="I79" s="8" t="s">
        <v>68</v>
      </c>
      <c r="J79" s="19">
        <v>0</v>
      </c>
      <c r="K79" s="8" t="s">
        <v>69</v>
      </c>
      <c r="L79" s="8" t="s">
        <v>55</v>
      </c>
      <c r="M79" s="8" t="s">
        <v>55</v>
      </c>
      <c r="N79" s="8" t="s">
        <v>55</v>
      </c>
    </row>
    <row r="80" spans="1:14" ht="12.75" customHeight="1" x14ac:dyDescent="0.2"/>
    <row r="81" spans="2:10" ht="12.75" customHeight="1" x14ac:dyDescent="0.2">
      <c r="B81" s="8" t="s">
        <v>16</v>
      </c>
      <c r="C81" s="8" t="s">
        <v>173</v>
      </c>
      <c r="E81" s="8" t="s">
        <v>19</v>
      </c>
      <c r="F81" s="8" t="s">
        <v>19</v>
      </c>
      <c r="G81" s="8" t="s">
        <v>21</v>
      </c>
      <c r="H81" s="8" t="s">
        <v>19</v>
      </c>
      <c r="J81" s="8" t="s">
        <v>19</v>
      </c>
    </row>
    <row r="82" spans="2:10" ht="12.75" customHeight="1" x14ac:dyDescent="0.2"/>
    <row r="83" spans="2:10" ht="12.75" customHeight="1" x14ac:dyDescent="0.2"/>
    <row r="84" spans="2:10" ht="12.75" customHeight="1" x14ac:dyDescent="0.2"/>
    <row r="85" spans="2:10" ht="12.75" customHeight="1" x14ac:dyDescent="0.2"/>
    <row r="86" spans="2:10" ht="12.75" customHeight="1" x14ac:dyDescent="0.2"/>
    <row r="87" spans="2:10" ht="12.75" customHeight="1" x14ac:dyDescent="0.2"/>
    <row r="88" spans="2:10" ht="12.75" customHeight="1" x14ac:dyDescent="0.2"/>
    <row r="89" spans="2:10" ht="12.75" customHeight="1" x14ac:dyDescent="0.2"/>
    <row r="90" spans="2:10" ht="12.75" customHeight="1" x14ac:dyDescent="0.2"/>
    <row r="91" spans="2:10" ht="12.75" customHeight="1" x14ac:dyDescent="0.2"/>
    <row r="92" spans="2:10" ht="12.75" customHeight="1" x14ac:dyDescent="0.2"/>
    <row r="93" spans="2:10" ht="12.75" customHeight="1" x14ac:dyDescent="0.2"/>
    <row r="94" spans="2:10" ht="12.75" customHeight="1" x14ac:dyDescent="0.2"/>
    <row r="95" spans="2:10" ht="12.75" customHeight="1" x14ac:dyDescent="0.2"/>
    <row r="96" spans="2:10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092-25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Q1, Q2, R1, R2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70</v>
      </c>
      <c r="B4" s="38">
        <f>'Build Plan w Hours'!E7</f>
        <v>8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092-25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70</v>
      </c>
      <c r="B10" s="38">
        <f>'Build Plan w Hours'!E8</f>
        <v>20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092-25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70</v>
      </c>
      <c r="B16" s="38">
        <f>'Build Plan w Hours'!E9</f>
        <v>2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092-25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.115</v>
      </c>
      <c r="C20" s="40" t="str">
        <f>'Build Plan w Hours'!D10</f>
        <v>Make manway parts: cut clips, form handles, etc.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70</v>
      </c>
      <c r="B22" s="38">
        <f>'Build Plan w Hours'!E10</f>
        <v>2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092-25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.120</v>
      </c>
      <c r="C26" s="40" t="str">
        <f>'Build Plan w Hours'!D11</f>
        <v>Burn manway neck (CHECK BEFORE BURNING) - Clean and Bevel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70</v>
      </c>
      <c r="B28" s="38">
        <f>'Build Plan w Hours'!E11</f>
        <v>2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092-25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.125</v>
      </c>
      <c r="C32" s="40" t="str">
        <f>'Build Plan w Hours'!D12</f>
        <v>Roll manway neck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70</v>
      </c>
      <c r="B34" s="38">
        <f>'Build Plan w Hours'!E12</f>
        <v>4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092-25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.130</v>
      </c>
      <c r="C38" s="40" t="str">
        <f>'Build Plan w Hours'!D13</f>
        <v>Set up and weld manway flange and neck seam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70</v>
      </c>
      <c r="B40" s="38">
        <f>'Build Plan w Hours'!E13</f>
        <v>4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092-25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.135</v>
      </c>
      <c r="C44" s="40" t="str">
        <f>'Build Plan w Hours'!D14</f>
        <v>Build davit arm assembly and cover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70</v>
      </c>
      <c r="B46" s="38">
        <f>'Build Plan w Hours'!E14</f>
        <v>3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092-25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.155</v>
      </c>
      <c r="C50" s="40" t="str">
        <f>'Build Plan w Hours'!D15</f>
        <v>Burn and clean parts:  lugs, supports, repads, base ring, etc. (CHECK!)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70</v>
      </c>
      <c r="B52" s="38">
        <f>'Build Plan w Hours'!E15</f>
        <v>20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092-25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.156</v>
      </c>
      <c r="C56" s="40">
        <f>'Build Plan w Hours'!D16</f>
        <v>0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70</v>
      </c>
      <c r="B58" s="38">
        <f>'Build Plan w Hours'!E16</f>
        <v>10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092-25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.200</v>
      </c>
      <c r="C62" s="40" t="str">
        <f>'Build Plan w Hours'!D17</f>
        <v>Make lift lugs, ground lugs, etc.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70</v>
      </c>
      <c r="B64" s="38">
        <f>'Build Plan w Hours'!E17</f>
        <v>2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092-25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.252</v>
      </c>
      <c r="C68" s="40" t="str">
        <f>'Build Plan w Hours'!D18</f>
        <v>Fabricate miscellaneous parts_x000D_
END CAP FOR NOZZLE E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70</v>
      </c>
      <c r="B70" s="38">
        <f>'Build Plan w Hours'!E18</f>
        <v>1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092-25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.261</v>
      </c>
      <c r="C74" s="40" t="str">
        <f>'Build Plan w Hours'!D19</f>
        <v>Miscellaneous Fabrication - Braces, Mounting Plates, Cone Outlet Necks_x000D_
CUT ANGLES FOR NOZZLES M, N &amp; P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70</v>
      </c>
      <c r="B76" s="38">
        <f>'Build Plan w Hours'!E19</f>
        <v>1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092-25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.300</v>
      </c>
      <c r="C80" s="40" t="str">
        <f>'Build Plan w Hours'!D20</f>
        <v>Wrap top and bottom heads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70</v>
      </c>
      <c r="B82" s="38">
        <f>'Build Plan w Hours'!E20</f>
        <v>1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092-25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.QC3</v>
      </c>
      <c r="C86" s="40" t="str">
        <f>'Build Plan w Hours'!D21</f>
        <v>UT Shells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70</v>
      </c>
      <c r="B88" s="38">
        <f>'Build Plan w Hours'!E21</f>
        <v>0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092-25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.305</v>
      </c>
      <c r="C92" s="40" t="str">
        <f>'Build Plan w Hours'!D22</f>
        <v>Shells: bring in plate, square, trim and clean_x000D_
PREP (2) DOUBLE SHELLS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70</v>
      </c>
      <c r="B94" s="38">
        <f>'Build Plan w Hours'!E22</f>
        <v>6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092-25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.315</v>
      </c>
      <c r="C98" s="40" t="str">
        <f>'Build Plan w Hours'!D23</f>
        <v>Roll shells, tack and weld inside seams_x000D_
ROLL (2) DOUBLE SHELLS; WELD L/S WITH COBOT ***X-RAY***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70</v>
      </c>
      <c r="B100" s="38">
        <f>'Build Plan w Hours'!E23</f>
        <v>12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092-25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.QC4</v>
      </c>
      <c r="C104" s="40" t="str">
        <f>'Build Plan w Hours'!D24</f>
        <v>QC Inspection - Top/Bottom/Cones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70</v>
      </c>
      <c r="B106" s="38">
        <f>'Build Plan w Hours'!E24</f>
        <v>0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092-25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.355</v>
      </c>
      <c r="C110" s="40" t="str">
        <f>'Build Plan w Hours'!D25</f>
        <v>Lay out top head, burn and clean holes_x000D_
ON BURN TABLE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70</v>
      </c>
      <c r="B112" s="38">
        <f>'Build Plan w Hours'!E25</f>
        <v>1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092-25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.360</v>
      </c>
      <c r="C116" s="40" t="str">
        <f>'Build Plan w Hours'!D26</f>
        <v>Bevel top head_x000D_
PREP HOLES FOR FULL PEN WELDS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70</v>
      </c>
      <c r="B118" s="38">
        <f>'Build Plan w Hours'!E26</f>
        <v>5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092-25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.365</v>
      </c>
      <c r="C122" s="40" t="str">
        <f>'Build Plan w Hours'!D27</f>
        <v>Set  nozzles, lift lugs, etc. in top head - tack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70</v>
      </c>
      <c r="B124" s="38">
        <f>'Build Plan w Hours'!E27</f>
        <v>4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092-25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.366</v>
      </c>
      <c r="C128" s="40" t="str">
        <f>'Build Plan w Hours'!D28</f>
        <v>Weld out top head nozzles, etc.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70</v>
      </c>
      <c r="B130" s="38">
        <f>'Build Plan w Hours'!E28</f>
        <v>10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092-25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.370</v>
      </c>
      <c r="C134" s="40" t="str">
        <f>'Build Plan w Hours'!D29</f>
        <v>Install and weld out repads - top head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70</v>
      </c>
      <c r="B136" s="38">
        <f>'Build Plan w Hours'!E29</f>
        <v>3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092-25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.QC4</v>
      </c>
      <c r="C140" s="40" t="str">
        <f>'Build Plan w Hours'!D30</f>
        <v>QC Inspection - Top/Bottom/Cones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70</v>
      </c>
      <c r="B142" s="38">
        <f>'Build Plan w Hours'!E30</f>
        <v>0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092-25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.455</v>
      </c>
      <c r="C146" s="40" t="str">
        <f>'Build Plan w Hours'!D31</f>
        <v>Lay out bottom head, burn and clean holes_x000D_
ON BURN TABLE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70</v>
      </c>
      <c r="B148" s="38">
        <f>'Build Plan w Hours'!E31</f>
        <v>1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092-25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.460</v>
      </c>
      <c r="C152" s="40" t="str">
        <f>'Build Plan w Hours'!D32</f>
        <v>Bevel bottom head_x000D_
PREP HOLES FOR FULL PEN WELDS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70</v>
      </c>
      <c r="B154" s="38">
        <f>'Build Plan w Hours'!E32</f>
        <v>1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092-25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.465</v>
      </c>
      <c r="C158" s="40" t="str">
        <f>'Build Plan w Hours'!D33</f>
        <v>Set  nozzles in bottom head - tack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70</v>
      </c>
      <c r="B160" s="38">
        <f>'Build Plan w Hours'!E33</f>
        <v>1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092-25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.466</v>
      </c>
      <c r="C164" s="40" t="str">
        <f>'Build Plan w Hours'!D34</f>
        <v>Weld nozzles in bottom head; weld complete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70</v>
      </c>
      <c r="B166" s="38">
        <f>'Build Plan w Hours'!E34</f>
        <v>3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092-25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.500</v>
      </c>
      <c r="C170" s="40" t="str">
        <f>'Build Plan w Hours'!D35</f>
        <v>Build skirt - fit and weld shells_x000D_
MAIN &amp; INTERMEDIATE SKIRT SHELLS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70</v>
      </c>
      <c r="B172" s="38">
        <f>'Build Plan w Hours'!E35</f>
        <v>6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092-25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.510</v>
      </c>
      <c r="C176" s="40" t="str">
        <f>'Build Plan w Hours'!D36</f>
        <v>Build skirt; fit base ring to shell and weld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70</v>
      </c>
      <c r="B178" s="38">
        <f>'Build Plan w Hours'!E36</f>
        <v>3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092-25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.515</v>
      </c>
      <c r="C182" s="40" t="str">
        <f>'Build Plan w Hours'!D37</f>
        <v>Weld skirt shell seams and base ring_x000D_
WELD MAIN SKIRT TO BASE RING INSIDE &amp; OUTSIDE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70</v>
      </c>
      <c r="B184" s="38">
        <f>'Build Plan w Hours'!E37</f>
        <v>5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092-25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.520</v>
      </c>
      <c r="C188" s="40" t="str">
        <f>'Build Plan w Hours'!D38</f>
        <v>Lay out skirt, burn and clean holes_x000D_
ON BURN TABLE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70</v>
      </c>
      <c r="B190" s="38">
        <f>'Build Plan w Hours'!E38</f>
        <v>1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092-25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.540</v>
      </c>
      <c r="C194" s="40" t="str">
        <f>'Build Plan w Hours'!D39</f>
        <v>Set  nozzles / manway in skirt - tack_x000D_
Q1, Q2, R1, R2, 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70</v>
      </c>
      <c r="B196" s="38">
        <f>'Build Plan w Hours'!E39</f>
        <v>3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092-25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.545</v>
      </c>
      <c r="C200" s="40" t="str">
        <f>'Build Plan w Hours'!D40</f>
        <v>Weld skirt anchors, gussets, nozzles, manways, etc._x000D_
Q1, Q2, R1, R2, 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70</v>
      </c>
      <c r="B202" s="38">
        <f>'Build Plan w Hours'!E40</f>
        <v>7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092-25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.600</v>
      </c>
      <c r="C206" s="40" t="str">
        <f>'Build Plan w Hours'!D41</f>
        <v>Fit bottom head to shell_x000D_
AND WELD INSIDE ***X-RAY***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70</v>
      </c>
      <c r="B208" s="38">
        <f>'Build Plan w Hours'!E41</f>
        <v>8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092-25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.605</v>
      </c>
      <c r="C212" s="40" t="str">
        <f>'Build Plan w Hours'!D42</f>
        <v>Tack shell courses together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70</v>
      </c>
      <c r="B214" s="38">
        <f>'Build Plan w Hours'!E42</f>
        <v>3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092-25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.610</v>
      </c>
      <c r="C218" s="40" t="str">
        <f>'Build Plan w Hours'!D43</f>
        <v>Weld inside round seams_x000D_
(1) ROUND SEAM  ***X-RAY***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70</v>
      </c>
      <c r="B220" s="38">
        <f>'Build Plan w Hours'!E43</f>
        <v>4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092-25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.620</v>
      </c>
      <c r="C224" s="40" t="str">
        <f>'Build Plan w Hours'!D44</f>
        <v>Lay out shell, burn and clean holes_x000D_
CLEAN UP HOLES CUT ON BURN TABLE; PREP FOR X-RAY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70</v>
      </c>
      <c r="B226" s="38">
        <f>'Build Plan w Hours'!E44</f>
        <v>5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092-25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 t="str">
        <f>'Build Plan w Hours'!C45</f>
        <v>.QC5</v>
      </c>
      <c r="C230" s="40" t="str">
        <f>'Build Plan w Hours'!D45</f>
        <v>QC Inspection - Internal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70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092-25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 t="str">
        <f>'Build Plan w Hours'!C46</f>
        <v>.640</v>
      </c>
      <c r="C236" s="40" t="str">
        <f>'Build Plan w Hours'!D46</f>
        <v>Fit top head to shell - tack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70</v>
      </c>
      <c r="B238" s="38">
        <f>'Build Plan w Hours'!E46</f>
        <v>4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092-25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 t="str">
        <f>'Build Plan w Hours'!C47</f>
        <v>.641</v>
      </c>
      <c r="C242" s="40" t="str">
        <f>'Build Plan w Hours'!D47</f>
        <v>Weld top head to shell - inside_x000D_
INCL HOLE WATCH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70</v>
      </c>
      <c r="B244" s="38">
        <f>'Build Plan w Hours'!E47</f>
        <v>10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092-25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 t="str">
        <f>'Build Plan w Hours'!C48</f>
        <v>.645</v>
      </c>
      <c r="C248" s="40" t="str">
        <f>'Build Plan w Hours'!D48</f>
        <v>Weld all outside seams_x000D_
USE COLUMN &amp; BOOM ***X-RAY***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70</v>
      </c>
      <c r="B250" s="38">
        <f>'Build Plan w Hours'!E48</f>
        <v>8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092-25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 t="str">
        <f>'Build Plan w Hours'!C49</f>
        <v>.800</v>
      </c>
      <c r="C254" s="40" t="str">
        <f>'Build Plan w Hours'!D49</f>
        <v>Move tank to detail rolls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70</v>
      </c>
      <c r="B256" s="38">
        <f>'Build Plan w Hours'!E49</f>
        <v>2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092-25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 t="str">
        <f>'Build Plan w Hours'!C50</f>
        <v>.715</v>
      </c>
      <c r="C260" s="40" t="str">
        <f>'Build Plan w Hours'!D50</f>
        <v>Install insulation/vacuum rings - tack_x000D_
FIT &amp; WELD (6) INSULATION RINGS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70</v>
      </c>
      <c r="B262" s="38">
        <f>'Build Plan w Hours'!E50</f>
        <v>24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092-25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 t="str">
        <f>'Build Plan w Hours'!C51</f>
        <v>.717</v>
      </c>
      <c r="C266" s="40" t="str">
        <f>'Build Plan w Hours'!D51</f>
        <v>Install lift lugs on shell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70</v>
      </c>
      <c r="B268" s="38">
        <f>'Build Plan w Hours'!E51</f>
        <v>2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092-25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 t="str">
        <f>'Build Plan w Hours'!C52</f>
        <v>.720</v>
      </c>
      <c r="C272" s="40" t="str">
        <f>'Build Plan w Hours'!D52</f>
        <v>Install supports - legs, lugs, anchors, saddles, skirt_x000D_
FIT &amp; WELD INTERMEDIATE SKIRT AND MAIN SKIRT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70</v>
      </c>
      <c r="B274" s="38">
        <f>'Build Plan w Hours'!E52</f>
        <v>25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092-25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 t="str">
        <f>'Build Plan w Hours'!C53</f>
        <v>.725</v>
      </c>
      <c r="C278" s="40" t="str">
        <f>'Build Plan w Hours'!D53</f>
        <v>Set nozzles in shell - tack_x000D_
NOTE ANGLE AND PROJECTION FOR J &amp; K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70</v>
      </c>
      <c r="B280" s="38">
        <f>'Build Plan w Hours'!E53</f>
        <v>6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092-25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 t="str">
        <f>'Build Plan w Hours'!C54</f>
        <v>.726</v>
      </c>
      <c r="C284" s="40" t="str">
        <f>'Build Plan w Hours'!D54</f>
        <v>Weld shell nozzles, manways, etc._x000D_
INCL HOLE WATCH &amp; ANGLES FOR NOZZ M, N, &amp; P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70</v>
      </c>
      <c r="B286" s="38">
        <f>'Build Plan w Hours'!E54</f>
        <v>30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092-25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 t="str">
        <f>'Build Plan w Hours'!C55</f>
        <v>.730</v>
      </c>
      <c r="C290" s="40" t="str">
        <f>'Build Plan w Hours'!D55</f>
        <v>Add repads and weld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70</v>
      </c>
      <c r="B292" s="38">
        <f>'Build Plan w Hours'!E55</f>
        <v>3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092-25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 t="str">
        <f>'Build Plan w Hours'!C56</f>
        <v>.765</v>
      </c>
      <c r="C296" s="40" t="str">
        <f>'Build Plan w Hours'!D56</f>
        <v>Install name tag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70</v>
      </c>
      <c r="B298" s="38">
        <f>'Build Plan w Hours'!E56</f>
        <v>1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092-25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 t="str">
        <f>'Build Plan w Hours'!C57</f>
        <v>.770</v>
      </c>
      <c r="C302" s="40" t="str">
        <f>'Build Plan w Hours'!D57</f>
        <v>Inspect tank, make repairs, get QC inspector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70</v>
      </c>
      <c r="B304" s="38">
        <f>'Build Plan w Hours'!E57</f>
        <v>1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092-25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 t="str">
        <f>'Build Plan w Hours'!C58</f>
        <v>.QC6</v>
      </c>
      <c r="C308" s="40" t="str">
        <f>'Build Plan w Hours'!D58</f>
        <v>QC Inspection - Fabrication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70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092-25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 t="str">
        <f>'Build Plan w Hours'!C59</f>
        <v>.OI2</v>
      </c>
      <c r="C314" s="40" t="str">
        <f>'Build Plan w Hours'!D59</f>
        <v>ASME Inspection Internal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70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092-25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 t="str">
        <f>'Build Plan w Hours'!C60</f>
        <v>.801</v>
      </c>
      <c r="C320" s="40" t="str">
        <f>'Build Plan w Hours'!D60</f>
        <v>Move to shop test area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70</v>
      </c>
      <c r="B322" s="38">
        <f>'Build Plan w Hours'!E60</f>
        <v>2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092-25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 t="str">
        <f>'Build Plan w Hours'!C61</f>
        <v>.910</v>
      </c>
      <c r="C326" s="40" t="str">
        <f>'Build Plan w Hours'!D61</f>
        <v>Test tank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70</v>
      </c>
      <c r="B328" s="38">
        <f>'Build Plan w Hours'!E61</f>
        <v>12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092-25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 t="str">
        <f>'Build Plan w Hours'!C62</f>
        <v>.QC7</v>
      </c>
      <c r="C332" s="40" t="str">
        <f>'Build Plan w Hours'!D62</f>
        <v>QC Inspection - Test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70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092-25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 t="str">
        <f>'Build Plan w Hours'!C63</f>
        <v>.OI3</v>
      </c>
      <c r="C338" s="40" t="str">
        <f>'Build Plan w Hours'!D63</f>
        <v>ASME Inspection Test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70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092-25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 t="str">
        <f>'Build Plan w Hours'!C64</f>
        <v>.920</v>
      </c>
      <c r="C344" s="40" t="str">
        <f>'Build Plan w Hours'!D64</f>
        <v>Clean tank complete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70</v>
      </c>
      <c r="B346" s="38">
        <f>'Build Plan w Hours'!E64</f>
        <v>16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092-25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 t="str">
        <f>'Build Plan w Hours'!C65</f>
        <v>.QC8</v>
      </c>
      <c r="C350" s="40" t="str">
        <f>'Build Plan w Hours'!D65</f>
        <v>QC Inspection - Clean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70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092-25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 t="str">
        <f>'Build Plan w Hours'!C66</f>
        <v>.802</v>
      </c>
      <c r="C356" s="40" t="str">
        <f>'Build Plan w Hours'!D66</f>
        <v>Move to paint area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70</v>
      </c>
      <c r="B358" s="38">
        <f>'Build Plan w Hours'!E66</f>
        <v>2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092-25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" customHeight="1" x14ac:dyDescent="0.25">
      <c r="A362" s="29" t="s">
        <v>13</v>
      </c>
      <c r="B362" s="31" t="str">
        <f>'Build Plan w Hours'!C67</f>
        <v>.940</v>
      </c>
      <c r="C362" s="40" t="str">
        <f>'Build Plan w Hours'!D67</f>
        <v>Prepare tank for shipment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70</v>
      </c>
      <c r="B364" s="38">
        <f>'Build Plan w Hours'!E67</f>
        <v>2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092-25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" customHeight="1" x14ac:dyDescent="0.25">
      <c r="A368" s="29" t="s">
        <v>13</v>
      </c>
      <c r="B368" s="31" t="str">
        <f>'Build Plan w Hours'!C68</f>
        <v>.QC95</v>
      </c>
      <c r="C368" s="40" t="str">
        <f>'Build Plan w Hours'!D68</f>
        <v>QC Inspection - Final &amp; Loose Items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70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092-25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" customHeight="1" x14ac:dyDescent="0.25">
      <c r="A374" s="29" t="s">
        <v>13</v>
      </c>
      <c r="B374" s="31" t="str">
        <f>'Build Plan w Hours'!C69</f>
        <v>.960</v>
      </c>
      <c r="C374" s="40" t="str">
        <f>'Build Plan w Hours'!D69</f>
        <v>Load on truck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70</v>
      </c>
      <c r="B376" s="38">
        <f>'Build Plan w Hours'!E69</f>
        <v>3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092-25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70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092-25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70</v>
      </c>
      <c r="B388" s="38" t="str">
        <f>'Build Plan w Hours'!E71</f>
        <v/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092-25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70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092-25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70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092-25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70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092-25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70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092-25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70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092-25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70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092-25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70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092-25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70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092-25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70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092-25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70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092-25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70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092-25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70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092-25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70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092-25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70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092-25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70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092-25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Q1, Q2, R1, R2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092-25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092-25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092-25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.115</v>
      </c>
      <c r="C20" s="40" t="str">
        <f>'Build Plan w Hours'!D10</f>
        <v>Make manway parts: cut clips, form handles, etc.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092-25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.120</v>
      </c>
      <c r="C26" s="40" t="str">
        <f>'Build Plan w Hours'!D11</f>
        <v>Burn manway neck (CHECK BEFORE BURNING) - Clean and Bevel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092-25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.125</v>
      </c>
      <c r="C32" s="40" t="str">
        <f>'Build Plan w Hours'!D12</f>
        <v>Roll manway neck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092-25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.130</v>
      </c>
      <c r="C38" s="40" t="str">
        <f>'Build Plan w Hours'!D13</f>
        <v>Set up and weld manway flange and neck seam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092-25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.135</v>
      </c>
      <c r="C44" s="40" t="str">
        <f>'Build Plan w Hours'!D14</f>
        <v>Build davit arm assembly and cover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092-25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.155</v>
      </c>
      <c r="C50" s="40" t="str">
        <f>'Build Plan w Hours'!D15</f>
        <v>Burn and clean parts:  lugs, supports, repads, base ring, etc. (CHECK!)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092-25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.156</v>
      </c>
      <c r="C56" s="40">
        <f>'Build Plan w Hours'!D16</f>
        <v>0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092-25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.200</v>
      </c>
      <c r="C62" s="40" t="str">
        <f>'Build Plan w Hours'!D17</f>
        <v>Make lift lugs, ground lugs, etc.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092-25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.252</v>
      </c>
      <c r="C68" s="40" t="str">
        <f>'Build Plan w Hours'!D18</f>
        <v>Fabricate miscellaneous parts_x000D_
END CAP FOR NOZZLE E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092-25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.261</v>
      </c>
      <c r="C74" s="40" t="str">
        <f>'Build Plan w Hours'!D19</f>
        <v>Miscellaneous Fabrication - Braces, Mounting Plates, Cone Outlet Necks_x000D_
CUT ANGLES FOR NOZZLES M, N &amp; P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092-25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.300</v>
      </c>
      <c r="C80" s="40" t="str">
        <f>'Build Plan w Hours'!D20</f>
        <v>Wrap top and bottom heads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092-25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.QC3</v>
      </c>
      <c r="C86" s="40" t="str">
        <f>'Build Plan w Hours'!D21</f>
        <v>UT Shells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092-25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.305</v>
      </c>
      <c r="C92" s="40" t="str">
        <f>'Build Plan w Hours'!D22</f>
        <v>Shells: bring in plate, square, trim and clean_x000D_
PREP (2) DOUBLE SHELLS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092-25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.315</v>
      </c>
      <c r="C98" s="40" t="str">
        <f>'Build Plan w Hours'!D23</f>
        <v>Roll shells, tack and weld inside seams_x000D_
ROLL (2) DOUBLE SHELLS; WELD L/S WITH COBOT ***X-RAY***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092-25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.QC4</v>
      </c>
      <c r="C104" s="40" t="str">
        <f>'Build Plan w Hours'!D24</f>
        <v>QC Inspection - Top/Bottom/Cones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092-25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.355</v>
      </c>
      <c r="C110" s="40" t="str">
        <f>'Build Plan w Hours'!D25</f>
        <v>Lay out top head, burn and clean holes_x000D_
ON BURN TABLE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092-25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.360</v>
      </c>
      <c r="C116" s="40" t="str">
        <f>'Build Plan w Hours'!D26</f>
        <v>Bevel top head_x000D_
PREP HOLES FOR FULL PEN WELDS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092-25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.365</v>
      </c>
      <c r="C122" s="40" t="str">
        <f>'Build Plan w Hours'!D27</f>
        <v>Set  nozzles, lift lugs, etc. in top head - tack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092-25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.366</v>
      </c>
      <c r="C128" s="40" t="str">
        <f>'Build Plan w Hours'!D28</f>
        <v>Weld out top head nozzles, etc.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092-25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.370</v>
      </c>
      <c r="C134" s="40" t="str">
        <f>'Build Plan w Hours'!D29</f>
        <v>Install and weld out repads - top head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092-25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.QC4</v>
      </c>
      <c r="C140" s="40" t="str">
        <f>'Build Plan w Hours'!D30</f>
        <v>QC Inspection - Top/Bottom/Cones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092-25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.455</v>
      </c>
      <c r="C146" s="40" t="str">
        <f>'Build Plan w Hours'!D31</f>
        <v>Lay out bottom head, burn and clean holes_x000D_
ON BURN TABLE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092-25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.460</v>
      </c>
      <c r="C152" s="40" t="str">
        <f>'Build Plan w Hours'!D32</f>
        <v>Bevel bottom head_x000D_
PREP HOLES FOR FULL PEN WELDS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092-25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.465</v>
      </c>
      <c r="C158" s="40" t="str">
        <f>'Build Plan w Hours'!D33</f>
        <v>Set  nozzles in bottom head - tack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092-25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.466</v>
      </c>
      <c r="C164" s="40" t="str">
        <f>'Build Plan w Hours'!D34</f>
        <v>Weld nozzles in bottom head; weld complete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092-25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.500</v>
      </c>
      <c r="C170" s="40" t="str">
        <f>'Build Plan w Hours'!D35</f>
        <v>Build skirt - fit and weld shells_x000D_
MAIN &amp; INTERMEDIATE SKIRT SHELLS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092-25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.510</v>
      </c>
      <c r="C176" s="40" t="str">
        <f>'Build Plan w Hours'!D36</f>
        <v>Build skirt; fit base ring to shell and weld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092-25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.515</v>
      </c>
      <c r="C182" s="40" t="str">
        <f>'Build Plan w Hours'!D37</f>
        <v>Weld skirt shell seams and base ring_x000D_
WELD MAIN SKIRT TO BASE RING INSIDE &amp; OUTSIDE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092-25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.520</v>
      </c>
      <c r="C188" s="40" t="str">
        <f>'Build Plan w Hours'!D38</f>
        <v>Lay out skirt, burn and clean holes_x000D_
ON BURN TABLE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092-25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.540</v>
      </c>
      <c r="C194" s="40" t="str">
        <f>'Build Plan w Hours'!D39</f>
        <v>Set  nozzles / manway in skirt - tack_x000D_
Q1, Q2, R1, R2, 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092-25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.545</v>
      </c>
      <c r="C200" s="40" t="str">
        <f>'Build Plan w Hours'!D40</f>
        <v>Weld skirt anchors, gussets, nozzles, manways, etc._x000D_
Q1, Q2, R1, R2, 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092-25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.600</v>
      </c>
      <c r="C206" s="40" t="str">
        <f>'Build Plan w Hours'!D41</f>
        <v>Fit bottom head to shell_x000D_
AND WELD INSIDE ***X-RAY***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092-25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.605</v>
      </c>
      <c r="C212" s="40" t="str">
        <f>'Build Plan w Hours'!D42</f>
        <v>Tack shell courses together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092-25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.610</v>
      </c>
      <c r="C218" s="40" t="str">
        <f>'Build Plan w Hours'!D43</f>
        <v>Weld inside round seams_x000D_
(1) ROUND SEAM  ***X-RAY***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092-25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.620</v>
      </c>
      <c r="C224" s="40" t="str">
        <f>'Build Plan w Hours'!D44</f>
        <v>Lay out shell, burn and clean holes_x000D_
CLEAN UP HOLES CUT ON BURN TABLE; PREP FOR X-RAY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092-25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 t="str">
        <f>'Build Plan w Hours'!C45</f>
        <v>.QC5</v>
      </c>
      <c r="C230" s="40" t="str">
        <f>'Build Plan w Hours'!D45</f>
        <v>QC Inspection - Internal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092-25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 t="str">
        <f>'Build Plan w Hours'!C46</f>
        <v>.640</v>
      </c>
      <c r="C236" s="40" t="str">
        <f>'Build Plan w Hours'!D46</f>
        <v>Fit top head to shell - tack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092-25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 t="str">
        <f>'Build Plan w Hours'!C47</f>
        <v>.641</v>
      </c>
      <c r="C242" s="40" t="str">
        <f>'Build Plan w Hours'!D47</f>
        <v>Weld top head to shell - inside_x000D_
INCL HOLE WATCH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092-25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 t="str">
        <f>'Build Plan w Hours'!C48</f>
        <v>.645</v>
      </c>
      <c r="C248" s="40" t="str">
        <f>'Build Plan w Hours'!D48</f>
        <v>Weld all outside seams_x000D_
USE COLUMN &amp; BOOM ***X-RAY***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092-25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 t="str">
        <f>'Build Plan w Hours'!C49</f>
        <v>.800</v>
      </c>
      <c r="C254" s="40" t="str">
        <f>'Build Plan w Hours'!D49</f>
        <v>Move tank to detail rolls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092-25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 t="str">
        <f>'Build Plan w Hours'!C50</f>
        <v>.715</v>
      </c>
      <c r="C260" s="40" t="str">
        <f>'Build Plan w Hours'!D50</f>
        <v>Install insulation/vacuum rings - tack_x000D_
FIT &amp; WELD (6) INSULATION RINGS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092-25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 t="str">
        <f>'Build Plan w Hours'!C51</f>
        <v>.717</v>
      </c>
      <c r="C266" s="40" t="str">
        <f>'Build Plan w Hours'!D51</f>
        <v>Install lift lugs on shell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092-25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 t="str">
        <f>'Build Plan w Hours'!C52</f>
        <v>.720</v>
      </c>
      <c r="C272" s="40" t="str">
        <f>'Build Plan w Hours'!D52</f>
        <v>Install supports - legs, lugs, anchors, saddles, skirt_x000D_
FIT &amp; WELD INTERMEDIATE SKIRT AND MAIN SKIRT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092-25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 t="str">
        <f>'Build Plan w Hours'!C53</f>
        <v>.725</v>
      </c>
      <c r="C278" s="40" t="str">
        <f>'Build Plan w Hours'!D53</f>
        <v>Set nozzles in shell - tack_x000D_
NOTE ANGLE AND PROJECTION FOR J &amp; K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092-25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 t="str">
        <f>'Build Plan w Hours'!C54</f>
        <v>.726</v>
      </c>
      <c r="C284" s="40" t="str">
        <f>'Build Plan w Hours'!D54</f>
        <v>Weld shell nozzles, manways, etc._x000D_
INCL HOLE WATCH &amp; ANGLES FOR NOZZ M, N, &amp; P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092-25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 t="str">
        <f>'Build Plan w Hours'!C55</f>
        <v>.730</v>
      </c>
      <c r="C290" s="40" t="str">
        <f>'Build Plan w Hours'!D55</f>
        <v>Add repads and weld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092-25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 t="str">
        <f>'Build Plan w Hours'!C56</f>
        <v>.765</v>
      </c>
      <c r="C296" s="40" t="str">
        <f>'Build Plan w Hours'!D56</f>
        <v>Install name tag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092-25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 t="str">
        <f>'Build Plan w Hours'!C57</f>
        <v>.770</v>
      </c>
      <c r="C302" s="40" t="str">
        <f>'Build Plan w Hours'!D57</f>
        <v>Inspect tank, make repairs, get QC inspector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092-25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 t="str">
        <f>'Build Plan w Hours'!C58</f>
        <v>.QC6</v>
      </c>
      <c r="C308" s="40" t="str">
        <f>'Build Plan w Hours'!D58</f>
        <v>QC Inspection - Fabrication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092-25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 t="str">
        <f>'Build Plan w Hours'!C59</f>
        <v>.OI2</v>
      </c>
      <c r="C314" s="40" t="str">
        <f>'Build Plan w Hours'!D59</f>
        <v>ASME Inspection Internal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092-25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 t="str">
        <f>'Build Plan w Hours'!C60</f>
        <v>.801</v>
      </c>
      <c r="C320" s="40" t="str">
        <f>'Build Plan w Hours'!D60</f>
        <v>Move to shop test area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092-25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 t="str">
        <f>'Build Plan w Hours'!C61</f>
        <v>.910</v>
      </c>
      <c r="C326" s="40" t="str">
        <f>'Build Plan w Hours'!D61</f>
        <v>Test tank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092-25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 t="str">
        <f>'Build Plan w Hours'!C62</f>
        <v>.QC7</v>
      </c>
      <c r="C332" s="40" t="str">
        <f>'Build Plan w Hours'!D62</f>
        <v>QC Inspection - Test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092-25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 t="str">
        <f>'Build Plan w Hours'!C63</f>
        <v>.OI3</v>
      </c>
      <c r="C338" s="40" t="str">
        <f>'Build Plan w Hours'!D63</f>
        <v>ASME Inspection Test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092-25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 t="str">
        <f>'Build Plan w Hours'!C64</f>
        <v>.920</v>
      </c>
      <c r="C344" s="40" t="str">
        <f>'Build Plan w Hours'!D64</f>
        <v>Clean tank complete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092-25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 t="str">
        <f>'Build Plan w Hours'!C65</f>
        <v>.QC8</v>
      </c>
      <c r="C350" s="40" t="str">
        <f>'Build Plan w Hours'!D65</f>
        <v>QC Inspection - Clean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092-25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 t="str">
        <f>'Build Plan w Hours'!C66</f>
        <v>.802</v>
      </c>
      <c r="C356" s="40" t="str">
        <f>'Build Plan w Hours'!D66</f>
        <v>Move to paint area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092-25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.75" customHeight="1" x14ac:dyDescent="0.25">
      <c r="A362" s="29" t="s">
        <v>13</v>
      </c>
      <c r="B362" s="31" t="str">
        <f>'Build Plan w Hours'!C67</f>
        <v>.940</v>
      </c>
      <c r="C362" s="40" t="str">
        <f>'Build Plan w Hours'!D67</f>
        <v>Prepare tank for shipment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092-25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.75" customHeight="1" x14ac:dyDescent="0.25">
      <c r="A368" s="29" t="s">
        <v>13</v>
      </c>
      <c r="B368" s="31" t="str">
        <f>'Build Plan w Hours'!C68</f>
        <v>.QC95</v>
      </c>
      <c r="C368" s="40" t="str">
        <f>'Build Plan w Hours'!D68</f>
        <v>QC Inspection - Final &amp; Loose Items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092-25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.75" customHeight="1" x14ac:dyDescent="0.25">
      <c r="A374" s="29" t="s">
        <v>13</v>
      </c>
      <c r="B374" s="31" t="str">
        <f>'Build Plan w Hours'!C69</f>
        <v>.960</v>
      </c>
      <c r="C374" s="40" t="str">
        <f>'Build Plan w Hours'!D69</f>
        <v>Load on truck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092-25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092-25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092-25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092-25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092-25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092-25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092-25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092-25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092-25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092-25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092-25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092-25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092-25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092-25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092-25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092-25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092-25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092-25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71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092-25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71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2026-01-13T18:12:33Z</cp:lastPrinted>
  <dcterms:created xsi:type="dcterms:W3CDTF">2016-06-28T20:53:17Z</dcterms:created>
  <dcterms:modified xsi:type="dcterms:W3CDTF">2026-01-13T18:13:00Z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