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1-25 US Sugar - API MAnway\"/>
    </mc:Choice>
  </mc:AlternateContent>
  <xr:revisionPtr revIDLastSave="0" documentId="8_{A488BB47-389B-4007-9252-8D0CC11DF5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Hours'!$A$1:$H$17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<sst xmlns="http://schemas.openxmlformats.org/spreadsheetml/2006/main" count="1403" uniqueCount="100">
  <si>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</si>
  <si>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</si>
  <si>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</si>
  <si>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</si>
  <si>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</si>
  <si>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</si>
  <si>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</si>
  <si>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</si>
  <si>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</si>
  <si>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</si>
  <si>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</si>
  <si>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</si>
  <si>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</si>
  <si>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</si>
  <si>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</si>
  <si>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</si>
  <si>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</si>
  <si>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</si>
  <si>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</si>
  <si>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</si>
  <si>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</si>
  <si>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</si>
  <si>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</si>
  <si>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</si>
  <si>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</si>
  <si>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</si>
  <si>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</si>
  <si>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</si>
  <si>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</si>
  <si>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</si>
  <si>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</si>
  <si>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</si>
  <si>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</si>
  <si>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</si>
  <si>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</si>
  <si>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</si>
  <si>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</si>
  <si>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</si>
  <si>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</si>
  <si>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</si>
  <si>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</si>
  <si>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</si>
  <si>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</si>
  <si>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</si>
  <si>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</si>
  <si>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</si>
  <si>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</si>
  <si>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</si>
  <si>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</si>
  <si>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</si>
  <si>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</si>
  <si>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</si>
  <si>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</si>
  <si>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</si>
  <si>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</si>
  <si>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</si>
  <si>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</si>
  <si>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.155</t>
  </si>
  <si>
    <t>FINISHING</t>
  </si>
  <si>
    <t>Hours</t>
  </si>
  <si>
    <t>% Compl.</t>
  </si>
  <si>
    <t>Receive Material</t>
  </si>
  <si>
    <t>.010</t>
  </si>
  <si>
    <t>UT Top &amp; Bottom Heads</t>
  </si>
  <si>
    <t>.QC1</t>
  </si>
  <si>
    <t>UT top and bottom heads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</si>
  <si>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</si>
  <si>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</si>
  <si>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</si>
  <si>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</si>
  <si>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</si>
  <si>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</si>
  <si>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</si>
  <si>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</si>
  <si>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</si>
  <si>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</si>
  <si>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</si>
  <si>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</si>
  <si>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Burn and clean parts:  lugs, supports, repads, base ring, etc. (CHECK!)</t>
  </si>
  <si>
    <t>MOVE TANK</t>
  </si>
  <si>
    <t>Move to Shop Test Area</t>
  </si>
  <si>
    <t>.801</t>
  </si>
  <si>
    <t>Move to shop test area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</si>
  <si>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</si>
  <si>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</si>
  <si>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</si>
  <si>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</si>
  <si>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</si>
  <si>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</si>
  <si>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</si>
  <si>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</si>
  <si>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Dye Pen Test</t>
  </si>
  <si>
    <t>.900</t>
  </si>
  <si>
    <t>API MANWAY</t>
  </si>
  <si>
    <t>PTW00-0000219484</t>
  </si>
  <si>
    <t>Build Repads for Nozzles</t>
  </si>
  <si>
    <t>.107</t>
  </si>
  <si>
    <t>Build Repads for Nozzles, drill and tap holes</t>
  </si>
  <si>
    <t>Dye pen test_x000D_
DYE PEN ALL WELDS</t>
  </si>
  <si>
    <t>091-25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</si>
</sst>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1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99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API MANWAY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.107</v>
      </c>
      <c r="D7" s="22" t="str">
        <f>'Sheet2-PASTE HERE!'!K17</f>
        <v>Build Repads for Nozzles, drill and tap holes</v>
      </c>
      <c r="E7" s="13">
        <f>'Sheet2-PASTE HERE!'!F17</f>
        <v>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.115</v>
      </c>
      <c r="D8" s="22" t="str">
        <f>'Sheet2-PASTE HERE!'!K18</f>
        <v>Make manway parts: cut clips, form handles, etc.</v>
      </c>
      <c r="E8" s="13">
        <f>'Sheet2-PASTE HERE!'!F18</f>
        <v>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.120</v>
      </c>
      <c r="D9" s="22" t="str">
        <f>'Sheet2-PASTE HERE!'!K19</f>
        <v>Burn manway neck (CHECK BEFORE BURNING) - Clean and Bevel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.125</v>
      </c>
      <c r="D10" s="22" t="str">
        <f>'Sheet2-PASTE HERE!'!K20</f>
        <v>Roll manway neck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.130</v>
      </c>
      <c r="D11" s="22" t="str">
        <f>'Sheet2-PASTE HERE!'!K21</f>
        <v>Set up and weld manway flange and neck seam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MOVE TANK</v>
      </c>
      <c r="B13" s="11"/>
      <c r="C13" s="17" t="str">
        <f>'Sheet2-PASTE HERE!'!I23</f>
        <v>.801</v>
      </c>
      <c r="D13" s="22" t="str">
        <f>'Sheet2-PASTE HERE!'!K23</f>
        <v>Move to shop test area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FINISHING</v>
      </c>
      <c r="B14" s="11"/>
      <c r="C14" s="17" t="str">
        <f>'Sheet2-PASTE HERE!'!I24</f>
        <v>.900</v>
      </c>
      <c r="D14" s="22" t="str">
        <f>'Sheet2-PASTE HERE!'!K24</f>
        <v>Dye pen test_x000D_
DYE PEN ALL WELDS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.QC7</v>
      </c>
      <c r="D15" s="22" t="str">
        <f>'Sheet2-PASTE HERE!'!K25</f>
        <v>QC Inspection - Test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0</v>
      </c>
    </row>
    <row r="16" spans="1:12" ht="26.25" customHeight="1" x14ac:dyDescent="0.2">
      <c r="A16" s="10" t="str">
        <f>'Sheet2-PASTE HERE!'!A26</f>
        <v>FINISHING</v>
      </c>
      <c r="B16" s="11"/>
      <c r="C16" s="17" t="str">
        <f>'Sheet2-PASTE HERE!'!I26</f>
        <v>.920</v>
      </c>
      <c r="D16" s="22" t="str">
        <f>'Sheet2-PASTE HERE!'!K26</f>
        <v>Clean tank complete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.QC8</v>
      </c>
      <c r="D17" s="22" t="str">
        <f>'Sheet2-PASTE HERE!'!K27</f>
        <v>QC Inspection - Clean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>
        <f>'Sheet2-PASTE HERE!'!A28</f>
        <v>0</v>
      </c>
      <c r="B18" s="11"/>
      <c r="C18" s="17">
        <f>'Sheet2-PASTE HERE!'!I28</f>
        <v>0</v>
      </c>
      <c r="D18" s="22">
        <f>'Sheet2-PASTE HERE!'!K28</f>
        <v>0</v>
      </c>
      <c r="E18" s="13">
        <f>'Sheet2-PASTE HERE!'!F28</f>
        <v>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>
        <f>'Sheet2-PASTE HERE!'!A29</f>
        <v>0</v>
      </c>
      <c r="B19" s="11"/>
      <c r="C19" s="17">
        <f>'Sheet2-PASTE HERE!'!I29</f>
        <v>0</v>
      </c>
      <c r="D19" s="22">
        <f>'Sheet2-PASTE HERE!'!K29</f>
        <v>0</v>
      </c>
      <c r="E19" s="13" t="str">
        <f>'Sheet2-PASTE HERE!'!F29</f>
        <v/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>
        <f>'Sheet2-PASTE HERE!'!A30</f>
        <v>0</v>
      </c>
      <c r="B20" s="11"/>
      <c r="C20" s="17">
        <f>'Sheet2-PASTE HERE!'!I30</f>
        <v>0</v>
      </c>
      <c r="D20" s="22">
        <f>'Sheet2-PASTE HERE!'!K30</f>
        <v>0</v>
      </c>
      <c r="E20" s="13">
        <f>'Sheet2-PASTE HERE!'!F30</f>
        <v>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>
        <f>'Sheet2-PASTE HERE!'!A31</f>
        <v>0</v>
      </c>
      <c r="B21" s="11"/>
      <c r="C21" s="17">
        <f>'Sheet2-PASTE HERE!'!I31</f>
        <v>0</v>
      </c>
      <c r="D21" s="22">
        <f>'Sheet2-PASTE HERE!'!K31</f>
        <v>0</v>
      </c>
      <c r="E21" s="13">
        <f>'Sheet2-PASTE HERE!'!F31</f>
        <v>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99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API MANWAY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.107</v>
      </c>
      <c r="D7" s="22" t="str">
        <f>'Sheet2-PASTE HERE!'!K17</f>
        <v>Build Repads for Nozzles, drill and tap holes</v>
      </c>
      <c r="E7" s="13">
        <f>'Sheet2-PASTE HERE!'!F17</f>
        <v>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.115</v>
      </c>
      <c r="D8" s="22" t="str">
        <f>'Sheet2-PASTE HERE!'!K18</f>
        <v>Make manway parts: cut clips, form handles, etc.</v>
      </c>
      <c r="E8" s="13">
        <f>'Sheet2-PASTE HERE!'!F18</f>
        <v>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.120</v>
      </c>
      <c r="D9" s="22" t="str">
        <f>'Sheet2-PASTE HERE!'!K19</f>
        <v>Burn manway neck (CHECK BEFORE BURNING) - Clean and Bevel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.125</v>
      </c>
      <c r="D10" s="22" t="str">
        <f>'Sheet2-PASTE HERE!'!K20</f>
        <v>Roll manway neck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.130</v>
      </c>
      <c r="D11" s="22" t="str">
        <f>'Sheet2-PASTE HERE!'!K21</f>
        <v>Set up and weld manway flange and neck seam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MOVE TANK</v>
      </c>
      <c r="B13" s="11"/>
      <c r="C13" s="17" t="str">
        <f>'Sheet2-PASTE HERE!'!I23</f>
        <v>.801</v>
      </c>
      <c r="D13" s="22" t="str">
        <f>'Sheet2-PASTE HERE!'!K23</f>
        <v>Move to shop test area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FINISHING</v>
      </c>
      <c r="B14" s="11"/>
      <c r="C14" s="17" t="str">
        <f>'Sheet2-PASTE HERE!'!I24</f>
        <v>.900</v>
      </c>
      <c r="D14" s="22" t="str">
        <f>'Sheet2-PASTE HERE!'!K24</f>
        <v>Dye pen test_x000D_
DYE PEN ALL WELDS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.QC7</v>
      </c>
      <c r="D15" s="22" t="str">
        <f>'Sheet2-PASTE HERE!'!K25</f>
        <v>QC Inspection - Test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0</v>
      </c>
    </row>
    <row r="16" spans="1:12" ht="26.25" customHeight="1" x14ac:dyDescent="0.2">
      <c r="A16" s="10" t="str">
        <f>'Sheet2-PASTE HERE!'!A26</f>
        <v>FINISHING</v>
      </c>
      <c r="B16" s="11"/>
      <c r="C16" s="17" t="str">
        <f>'Sheet2-PASTE HERE!'!I26</f>
        <v>.920</v>
      </c>
      <c r="D16" s="22" t="str">
        <f>'Sheet2-PASTE HERE!'!K26</f>
        <v>Clean tank complete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.QC8</v>
      </c>
      <c r="D17" s="22" t="str">
        <f>'Sheet2-PASTE HERE!'!K27</f>
        <v>QC Inspection - Clean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>
        <f>'Sheet2-PASTE HERE!'!A28</f>
        <v>0</v>
      </c>
      <c r="B18" s="11"/>
      <c r="C18" s="17">
        <f>'Sheet2-PASTE HERE!'!I28</f>
        <v>0</v>
      </c>
      <c r="D18" s="22">
        <f>'Sheet2-PASTE HERE!'!K28</f>
        <v>0</v>
      </c>
      <c r="E18" s="13">
        <f>'Sheet2-PASTE HERE!'!F28</f>
        <v>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>
        <f>'Sheet2-PASTE HERE!'!A29</f>
        <v>0</v>
      </c>
      <c r="B19" s="11"/>
      <c r="C19" s="17">
        <f>'Sheet2-PASTE HERE!'!I29</f>
        <v>0</v>
      </c>
      <c r="D19" s="22">
        <f>'Sheet2-PASTE HERE!'!K29</f>
        <v>0</v>
      </c>
      <c r="E19" s="13" t="str">
        <f>'Sheet2-PASTE HERE!'!F29</f>
        <v/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>
        <f>'Sheet2-PASTE HERE!'!A30</f>
        <v>0</v>
      </c>
      <c r="B20" s="11"/>
      <c r="C20" s="17">
        <f>'Sheet2-PASTE HERE!'!I30</f>
        <v>0</v>
      </c>
      <c r="D20" s="22">
        <f>'Sheet2-PASTE HERE!'!K30</f>
        <v>0</v>
      </c>
      <c r="E20" s="13">
        <f>'Sheet2-PASTE HERE!'!F30</f>
        <v>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>
        <f>'Sheet2-PASTE HERE!'!A31</f>
        <v>0</v>
      </c>
      <c r="B21" s="11"/>
      <c r="C21" s="17">
        <f>'Sheet2-PASTE HERE!'!I31</f>
        <v>0</v>
      </c>
      <c r="D21" s="22">
        <f>'Sheet2-PASTE HERE!'!K31</f>
        <v>0</v>
      </c>
      <c r="E21" s="13">
        <f>'Sheet2-PASTE HERE!'!F31</f>
        <v>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93</v>
      </c>
      <c r="C1" s="8" t="s">
        <v>17</v>
      </c>
      <c r="D1" s="8" t="s">
        <v>94</v>
      </c>
      <c r="E1" s="8" t="s">
        <v>18</v>
      </c>
      <c r="F1" s="8" t="s">
        <v>19</v>
      </c>
      <c r="G1" s="8" t="s">
        <v>93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45904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14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54458</v>
      </c>
      <c r="C15" s="19">
        <v>0</v>
      </c>
      <c r="D15" s="8" t="s">
        <v>61</v>
      </c>
      <c r="E15" s="20">
        <v>0</v>
      </c>
      <c r="F15" s="20">
        <v>0</v>
      </c>
      <c r="G15" s="8" t="s">
        <v>54</v>
      </c>
      <c r="H15" s="20">
        <v>0</v>
      </c>
      <c r="I15" s="8" t="s">
        <v>62</v>
      </c>
      <c r="J15" s="19">
        <v>0</v>
      </c>
      <c r="K15" s="8" t="s">
        <v>61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54459</v>
      </c>
      <c r="C16" s="19">
        <v>0</v>
      </c>
      <c r="D16" s="8" t="s">
        <v>63</v>
      </c>
      <c r="E16" s="20">
        <v>0</v>
      </c>
      <c r="F16" s="20">
        <v>0</v>
      </c>
      <c r="G16" s="8" t="s">
        <v>54</v>
      </c>
      <c r="H16" s="20">
        <v>0</v>
      </c>
      <c r="I16" s="8" t="s">
        <v>64</v>
      </c>
      <c r="J16" s="19">
        <v>0</v>
      </c>
      <c r="K16" s="8" t="s">
        <v>65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54460</v>
      </c>
      <c r="C17" s="19">
        <v>0</v>
      </c>
      <c r="D17" s="8" t="s">
        <v>95</v>
      </c>
      <c r="E17" s="20">
        <v>0</v>
      </c>
      <c r="F17" s="20">
        <v>2</v>
      </c>
      <c r="G17" s="8" t="s">
        <v>54</v>
      </c>
      <c r="H17" s="20">
        <v>2</v>
      </c>
      <c r="I17" s="8" t="s">
        <v>96</v>
      </c>
      <c r="J17" s="19">
        <v>0</v>
      </c>
      <c r="K17" s="8" t="s">
        <v>97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54461</v>
      </c>
      <c r="C18" s="19">
        <v>0</v>
      </c>
      <c r="D18" s="8" t="s">
        <v>66</v>
      </c>
      <c r="E18" s="20">
        <v>0</v>
      </c>
      <c r="F18" s="20">
        <v>1</v>
      </c>
      <c r="G18" s="8" t="s">
        <v>54</v>
      </c>
      <c r="H18" s="20">
        <v>1</v>
      </c>
      <c r="I18" s="8" t="s">
        <v>67</v>
      </c>
      <c r="J18" s="19">
        <v>0</v>
      </c>
      <c r="K18" s="8" t="s">
        <v>68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54462</v>
      </c>
      <c r="C19" s="19">
        <v>0</v>
      </c>
      <c r="D19" s="8" t="s">
        <v>69</v>
      </c>
      <c r="E19" s="20">
        <v>0</v>
      </c>
      <c r="F19" s="20">
        <v>1</v>
      </c>
      <c r="G19" s="8" t="s">
        <v>54</v>
      </c>
      <c r="H19" s="20">
        <v>1</v>
      </c>
      <c r="I19" s="8" t="s">
        <v>70</v>
      </c>
      <c r="J19" s="19">
        <v>0</v>
      </c>
      <c r="K19" s="8" t="s">
        <v>71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54463</v>
      </c>
      <c r="C20" s="19">
        <v>0</v>
      </c>
      <c r="D20" s="8" t="s">
        <v>72</v>
      </c>
      <c r="E20" s="20">
        <v>0</v>
      </c>
      <c r="F20" s="20">
        <v>1</v>
      </c>
      <c r="G20" s="8" t="s">
        <v>54</v>
      </c>
      <c r="H20" s="20">
        <v>1</v>
      </c>
      <c r="I20" s="8" t="s">
        <v>73</v>
      </c>
      <c r="J20" s="19">
        <v>0</v>
      </c>
      <c r="K20" s="8" t="s">
        <v>74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54464</v>
      </c>
      <c r="C21" s="19">
        <v>0</v>
      </c>
      <c r="D21" s="8" t="s">
        <v>75</v>
      </c>
      <c r="E21" s="20">
        <v>0</v>
      </c>
      <c r="F21" s="20">
        <v>3</v>
      </c>
      <c r="G21" s="8" t="s">
        <v>54</v>
      </c>
      <c r="H21" s="20">
        <v>3</v>
      </c>
      <c r="I21" s="8" t="s">
        <v>76</v>
      </c>
      <c r="J21" s="19">
        <v>0</v>
      </c>
      <c r="K21" s="8" t="s">
        <v>77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54465</v>
      </c>
      <c r="C22" s="19">
        <v>0</v>
      </c>
      <c r="D22" s="8" t="s">
        <v>90</v>
      </c>
      <c r="E22" s="20">
        <v>0</v>
      </c>
      <c r="F22" s="20">
        <v>2</v>
      </c>
      <c r="G22" s="8" t="s">
        <v>54</v>
      </c>
      <c r="H22" s="20">
        <v>2</v>
      </c>
      <c r="I22" s="8" t="s">
        <v>57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79</v>
      </c>
      <c r="B23" s="18">
        <v>54466</v>
      </c>
      <c r="C23" s="19">
        <v>0</v>
      </c>
      <c r="D23" s="8" t="s">
        <v>80</v>
      </c>
      <c r="E23" s="20">
        <v>0</v>
      </c>
      <c r="F23" s="20">
        <v>1</v>
      </c>
      <c r="G23" s="8" t="s">
        <v>54</v>
      </c>
      <c r="H23" s="20">
        <v>1</v>
      </c>
      <c r="I23" s="8" t="s">
        <v>81</v>
      </c>
      <c r="J23" s="19">
        <v>0</v>
      </c>
      <c r="K23" s="8" t="s">
        <v>82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58</v>
      </c>
      <c r="B24" s="18">
        <v>54467</v>
      </c>
      <c r="C24" s="19">
        <v>0</v>
      </c>
      <c r="D24" s="8" t="s">
        <v>91</v>
      </c>
      <c r="E24" s="20">
        <v>0</v>
      </c>
      <c r="F24" s="20">
        <v>1</v>
      </c>
      <c r="G24" s="8" t="s">
        <v>54</v>
      </c>
      <c r="H24" s="20">
        <v>1</v>
      </c>
      <c r="I24" s="8" t="s">
        <v>92</v>
      </c>
      <c r="J24" s="19">
        <v>0</v>
      </c>
      <c r="K24" s="8" t="s">
        <v>98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53</v>
      </c>
      <c r="B25" s="18">
        <v>54470</v>
      </c>
      <c r="C25" s="19">
        <v>0</v>
      </c>
      <c r="D25" s="8" t="s">
        <v>83</v>
      </c>
      <c r="E25" s="20">
        <v>0</v>
      </c>
      <c r="F25" s="20">
        <v>0</v>
      </c>
      <c r="G25" s="8" t="s">
        <v>54</v>
      </c>
      <c r="H25" s="20">
        <v>0</v>
      </c>
      <c r="I25" s="8" t="s">
        <v>84</v>
      </c>
      <c r="J25" s="19">
        <v>0</v>
      </c>
      <c r="K25" s="8" t="s">
        <v>83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58</v>
      </c>
      <c r="B26" s="18">
        <v>54468</v>
      </c>
      <c r="C26" s="19">
        <v>0</v>
      </c>
      <c r="D26" s="8" t="s">
        <v>85</v>
      </c>
      <c r="E26" s="20">
        <v>0</v>
      </c>
      <c r="F26" s="20">
        <v>2</v>
      </c>
      <c r="G26" s="8" t="s">
        <v>54</v>
      </c>
      <c r="H26" s="20">
        <v>2</v>
      </c>
      <c r="I26" s="8" t="s">
        <v>86</v>
      </c>
      <c r="J26" s="19">
        <v>0</v>
      </c>
      <c r="K26" s="8" t="s">
        <v>87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54469</v>
      </c>
      <c r="C27" s="19">
        <v>0</v>
      </c>
      <c r="D27" s="8" t="s">
        <v>88</v>
      </c>
      <c r="E27" s="20">
        <v>0</v>
      </c>
      <c r="F27" s="20">
        <v>0</v>
      </c>
      <c r="G27" s="8" t="s">
        <v>54</v>
      </c>
      <c r="H27" s="20">
        <v>0</v>
      </c>
      <c r="I27" s="8" t="s">
        <v>89</v>
      </c>
      <c r="J27" s="19">
        <v>0</v>
      </c>
      <c r="K27" s="8" t="s">
        <v>88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/>
    <row r="29" spans="1:14" ht="12.75" customHeight="1" x14ac:dyDescent="0.2">
      <c r="B29" s="8" t="s">
        <v>16</v>
      </c>
      <c r="C29" s="8" t="s">
        <v>93</v>
      </c>
      <c r="E29" s="8" t="s">
        <v>19</v>
      </c>
      <c r="F29" s="8" t="s">
        <v>19</v>
      </c>
      <c r="G29" s="8" t="s">
        <v>21</v>
      </c>
      <c r="H29" s="8" t="s">
        <v>19</v>
      </c>
      <c r="J29" s="8" t="s">
        <v>19</v>
      </c>
    </row>
    <row r="30" spans="1:14" ht="12.75" customHeight="1" x14ac:dyDescent="0.2"/>
    <row r="31" spans="1:14" ht="12.75" customHeight="1" x14ac:dyDescent="0.2"/>
    <row r="32" spans="1:1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60</v>
      </c>
    </row>
    <row r="2" spans="1:9" ht="21.75" customHeight="1" x14ac:dyDescent="0.25">
      <c r="A2" s="29" t="s">
        <v>13</v>
      </c>
      <c r="B2" s="31" t="str">
        <f>'Build Plan w Hours'!C7</f>
        <v>.107</v>
      </c>
      <c r="C2" s="40" t="str">
        <f>'Build Plan w Hours'!D7</f>
        <v>Build Repads for Nozzles, drill and tap holes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59</v>
      </c>
      <c r="B4" s="38">
        <f>'Build Plan w Hours'!E7</f>
        <v>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60</v>
      </c>
    </row>
    <row r="8" spans="1:9" ht="21.75" customHeight="1" x14ac:dyDescent="0.25">
      <c r="A8" s="29" t="s">
        <v>13</v>
      </c>
      <c r="B8" s="31" t="str">
        <f>'Build Plan w Hours'!C8</f>
        <v>.115</v>
      </c>
      <c r="C8" s="40" t="str">
        <f>'Build Plan w Hours'!D8</f>
        <v>Make manway parts: cut clips, form handles, etc.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59</v>
      </c>
      <c r="B10" s="38">
        <f>'Build Plan w Hours'!E8</f>
        <v>1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60</v>
      </c>
    </row>
    <row r="14" spans="1:9" ht="21.75" customHeight="1" x14ac:dyDescent="0.25">
      <c r="A14" s="29" t="s">
        <v>13</v>
      </c>
      <c r="B14" s="31" t="str">
        <f>'Build Plan w Hours'!C9</f>
        <v>.120</v>
      </c>
      <c r="C14" s="40" t="str">
        <f>'Build Plan w Hours'!D9</f>
        <v>Burn manway neck (CHECK BEFORE BURNING) - Clean and Bevel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59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60</v>
      </c>
    </row>
    <row r="20" spans="1:9" ht="21.75" customHeight="1" x14ac:dyDescent="0.25">
      <c r="A20" s="29" t="s">
        <v>13</v>
      </c>
      <c r="B20" s="31" t="str">
        <f>'Build Plan w Hours'!C10</f>
        <v>.125</v>
      </c>
      <c r="C20" s="40" t="str">
        <f>'Build Plan w Hours'!D10</f>
        <v>Roll manway neck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59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60</v>
      </c>
    </row>
    <row r="26" spans="1:9" ht="21.75" customHeight="1" x14ac:dyDescent="0.25">
      <c r="A26" s="29" t="s">
        <v>13</v>
      </c>
      <c r="B26" s="31" t="str">
        <f>'Build Plan w Hours'!C11</f>
        <v>.130</v>
      </c>
      <c r="C26" s="40" t="str">
        <f>'Build Plan w Hours'!D11</f>
        <v>Set up and weld manway flange and neck seam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59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60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59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60</v>
      </c>
    </row>
    <row r="38" spans="1:9" ht="21.75" customHeight="1" x14ac:dyDescent="0.25">
      <c r="A38" s="29" t="s">
        <v>13</v>
      </c>
      <c r="B38" s="31" t="str">
        <f>'Build Plan w Hours'!C13</f>
        <v>.801</v>
      </c>
      <c r="C38" s="40" t="str">
        <f>'Build Plan w Hours'!D13</f>
        <v>Move to shop test area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59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60</v>
      </c>
    </row>
    <row r="44" spans="1:9" ht="21.75" customHeight="1" x14ac:dyDescent="0.25">
      <c r="A44" s="29" t="s">
        <v>13</v>
      </c>
      <c r="B44" s="31" t="str">
        <f>'Build Plan w Hours'!C14</f>
        <v>.900</v>
      </c>
      <c r="C44" s="40" t="str">
        <f>'Build Plan w Hours'!D14</f>
        <v>Dye pen test_x000D_
DYE PEN ALL WELDS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59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60</v>
      </c>
    </row>
    <row r="50" spans="1:9" ht="21.75" customHeight="1" x14ac:dyDescent="0.25">
      <c r="A50" s="29" t="s">
        <v>13</v>
      </c>
      <c r="B50" s="31" t="str">
        <f>'Build Plan w Hours'!C15</f>
        <v>.QC7</v>
      </c>
      <c r="C50" s="40" t="str">
        <f>'Build Plan w Hours'!D15</f>
        <v>QC Inspection - Test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59</v>
      </c>
      <c r="B52" s="38">
        <f>'Build Plan w Hours'!E15</f>
        <v>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60</v>
      </c>
    </row>
    <row r="56" spans="1:9" ht="21.75" customHeight="1" x14ac:dyDescent="0.25">
      <c r="A56" s="29" t="s">
        <v>13</v>
      </c>
      <c r="B56" s="31" t="str">
        <f>'Build Plan w Hours'!C16</f>
        <v>.920</v>
      </c>
      <c r="C56" s="40" t="str">
        <f>'Build Plan w Hours'!D16</f>
        <v>Clean tank complete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59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60</v>
      </c>
    </row>
    <row r="62" spans="1:9" ht="21.75" customHeight="1" x14ac:dyDescent="0.25">
      <c r="A62" s="29" t="s">
        <v>13</v>
      </c>
      <c r="B62" s="31" t="str">
        <f>'Build Plan w Hours'!C17</f>
        <v>.QC8</v>
      </c>
      <c r="C62" s="40" t="str">
        <f>'Build Plan w Hours'!D17</f>
        <v>QC Inspection -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59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60</v>
      </c>
    </row>
    <row r="68" spans="1:9" ht="21.75" customHeight="1" x14ac:dyDescent="0.25">
      <c r="A68" s="29" t="s">
        <v>13</v>
      </c>
      <c r="B68" s="31">
        <f>'Build Plan w Hours'!C18</f>
        <v>0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59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60</v>
      </c>
    </row>
    <row r="74" spans="1:9" ht="21.75" customHeight="1" x14ac:dyDescent="0.25">
      <c r="A74" s="29" t="s">
        <v>13</v>
      </c>
      <c r="B74" s="31">
        <f>'Build Plan w Hours'!C19</f>
        <v>0</v>
      </c>
      <c r="C74" s="40">
        <f>'Build Plan w Hours'!D19</f>
        <v>0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59</v>
      </c>
      <c r="B76" s="38" t="str">
        <f>'Build Plan w Hours'!E19</f>
        <v/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60</v>
      </c>
    </row>
    <row r="80" spans="1:9" ht="21.75" customHeight="1" x14ac:dyDescent="0.25">
      <c r="A80" s="29" t="s">
        <v>13</v>
      </c>
      <c r="B80" s="31">
        <f>'Build Plan w Hours'!C20</f>
        <v>0</v>
      </c>
      <c r="C80" s="40">
        <f>'Build Plan w Hours'!D20</f>
        <v>0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59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60</v>
      </c>
    </row>
    <row r="86" spans="1:9" ht="21.75" customHeight="1" x14ac:dyDescent="0.25">
      <c r="A86" s="29" t="s">
        <v>13</v>
      </c>
      <c r="B86" s="31">
        <f>'Build Plan w Hours'!C21</f>
        <v>0</v>
      </c>
      <c r="C86" s="40">
        <f>'Build Plan w Hours'!D21</f>
        <v>0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59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60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59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60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59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60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59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60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59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60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59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60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59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60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59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60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59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60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59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60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59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60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59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60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59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60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59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60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59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60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59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60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59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60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59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60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59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60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59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60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59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60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59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60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59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60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59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60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59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60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59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60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59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60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59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60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59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60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59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60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59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60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59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60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59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60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59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60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59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60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59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60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59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60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59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60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59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60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59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60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59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60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59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60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59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60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59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60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59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60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59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60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59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60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59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60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59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60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59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60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59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60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59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60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59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60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59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60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59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60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59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60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59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60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59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60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59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59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59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59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59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59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59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59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60</v>
      </c>
    </row>
    <row r="2" spans="1:9" ht="21.75" customHeight="1" x14ac:dyDescent="0.25">
      <c r="A2" s="29" t="s">
        <v>13</v>
      </c>
      <c r="B2" s="31" t="str">
        <f>'Build Plan w Hours'!C7</f>
        <v>.107</v>
      </c>
      <c r="C2" s="40" t="str">
        <f>'Build Plan w Hours'!D7</f>
        <v>Build Repads for Nozzles, drill and tap holes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60</v>
      </c>
    </row>
    <row r="8" spans="1:9" ht="21.75" customHeight="1" x14ac:dyDescent="0.25">
      <c r="A8" s="29" t="s">
        <v>13</v>
      </c>
      <c r="B8" s="31" t="str">
        <f>'Build Plan w Hours'!C8</f>
        <v>.115</v>
      </c>
      <c r="C8" s="40" t="str">
        <f>'Build Plan w Hours'!D8</f>
        <v>Make manway parts: cut clips, form handles, etc.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60</v>
      </c>
    </row>
    <row r="14" spans="1:9" ht="21.75" customHeight="1" x14ac:dyDescent="0.25">
      <c r="A14" s="29" t="s">
        <v>13</v>
      </c>
      <c r="B14" s="31" t="str">
        <f>'Build Plan w Hours'!C9</f>
        <v>.120</v>
      </c>
      <c r="C14" s="40" t="str">
        <f>'Build Plan w Hours'!D9</f>
        <v>Burn manway neck (CHECK BEFORE BURNING) - Clean and Bevel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60</v>
      </c>
    </row>
    <row r="20" spans="1:9" ht="21.75" customHeight="1" x14ac:dyDescent="0.25">
      <c r="A20" s="29" t="s">
        <v>13</v>
      </c>
      <c r="B20" s="31" t="str">
        <f>'Build Plan w Hours'!C10</f>
        <v>.125</v>
      </c>
      <c r="C20" s="40" t="str">
        <f>'Build Plan w Hours'!D10</f>
        <v>Roll manway neck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60</v>
      </c>
    </row>
    <row r="26" spans="1:9" ht="21.75" customHeight="1" x14ac:dyDescent="0.25">
      <c r="A26" s="29" t="s">
        <v>13</v>
      </c>
      <c r="B26" s="31" t="str">
        <f>'Build Plan w Hours'!C11</f>
        <v>.130</v>
      </c>
      <c r="C26" s="40" t="str">
        <f>'Build Plan w Hours'!D11</f>
        <v>Set up and weld manway flange and neck seam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60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60</v>
      </c>
    </row>
    <row r="38" spans="1:9" ht="21.75" customHeight="1" x14ac:dyDescent="0.25">
      <c r="A38" s="29" t="s">
        <v>13</v>
      </c>
      <c r="B38" s="31" t="str">
        <f>'Build Plan w Hours'!C13</f>
        <v>.801</v>
      </c>
      <c r="C38" s="40" t="str">
        <f>'Build Plan w Hours'!D13</f>
        <v>Move to shop test area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60</v>
      </c>
    </row>
    <row r="44" spans="1:9" ht="21.75" customHeight="1" x14ac:dyDescent="0.25">
      <c r="A44" s="29" t="s">
        <v>13</v>
      </c>
      <c r="B44" s="31" t="str">
        <f>'Build Plan w Hours'!C14</f>
        <v>.900</v>
      </c>
      <c r="C44" s="40" t="str">
        <f>'Build Plan w Hours'!D14</f>
        <v>Dye pen test_x000D_
DYE PEN ALL WELDS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60</v>
      </c>
    </row>
    <row r="50" spans="1:9" ht="21.75" customHeight="1" x14ac:dyDescent="0.25">
      <c r="A50" s="29" t="s">
        <v>13</v>
      </c>
      <c r="B50" s="31" t="str">
        <f>'Build Plan w Hours'!C15</f>
        <v>.QC7</v>
      </c>
      <c r="C50" s="40" t="str">
        <f>'Build Plan w Hours'!D15</f>
        <v>QC Inspection - Test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60</v>
      </c>
    </row>
    <row r="56" spans="1:9" ht="21.75" customHeight="1" x14ac:dyDescent="0.25">
      <c r="A56" s="29" t="s">
        <v>13</v>
      </c>
      <c r="B56" s="31" t="str">
        <f>'Build Plan w Hours'!C16</f>
        <v>.920</v>
      </c>
      <c r="C56" s="40" t="str">
        <f>'Build Plan w Hours'!D16</f>
        <v>Clean tank complete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60</v>
      </c>
    </row>
    <row r="62" spans="1:9" ht="21.75" customHeight="1" x14ac:dyDescent="0.25">
      <c r="A62" s="29" t="s">
        <v>13</v>
      </c>
      <c r="B62" s="31" t="str">
        <f>'Build Plan w Hours'!C17</f>
        <v>.QC8</v>
      </c>
      <c r="C62" s="40" t="str">
        <f>'Build Plan w Hours'!D17</f>
        <v>QC Inspection -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60</v>
      </c>
    </row>
    <row r="68" spans="1:9" ht="21.75" customHeight="1" x14ac:dyDescent="0.25">
      <c r="A68" s="29" t="s">
        <v>13</v>
      </c>
      <c r="B68" s="31">
        <f>'Build Plan w Hours'!C18</f>
        <v>0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60</v>
      </c>
    </row>
    <row r="74" spans="1:9" ht="21.75" customHeight="1" x14ac:dyDescent="0.25">
      <c r="A74" s="29" t="s">
        <v>13</v>
      </c>
      <c r="B74" s="31">
        <f>'Build Plan w Hours'!C19</f>
        <v>0</v>
      </c>
      <c r="C74" s="40">
        <f>'Build Plan w Hours'!D19</f>
        <v>0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60</v>
      </c>
    </row>
    <row r="80" spans="1:9" ht="21.75" customHeight="1" x14ac:dyDescent="0.25">
      <c r="A80" s="29" t="s">
        <v>13</v>
      </c>
      <c r="B80" s="31">
        <f>'Build Plan w Hours'!C20</f>
        <v>0</v>
      </c>
      <c r="C80" s="40">
        <f>'Build Plan w Hours'!D20</f>
        <v>0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60</v>
      </c>
    </row>
    <row r="86" spans="1:9" ht="21.75" customHeight="1" x14ac:dyDescent="0.25">
      <c r="A86" s="29" t="s">
        <v>13</v>
      </c>
      <c r="B86" s="31">
        <f>'Build Plan w Hours'!C21</f>
        <v>0</v>
      </c>
      <c r="C86" s="40">
        <f>'Build Plan w Hours'!D21</f>
        <v>0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60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60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60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60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60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60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60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60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60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60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60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60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60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60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60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60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60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60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60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60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60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60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60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60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60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60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60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60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60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60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60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60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60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60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60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60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60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60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60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60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60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60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60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60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60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60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60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60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60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60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60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60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60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60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60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60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60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60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60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60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2025-09-23T16:00:39Z</cp:lastPrinted>
  <dcterms:created xsi:type="dcterms:W3CDTF">2016-06-28T20:53:17Z</dcterms:created>
  <dcterms:modified xsi:type="dcterms:W3CDTF">2025-09-23T16:01:22Z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