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72-25 - Burke Industrial - SS Storage Tank #1\"/>
    </mc:Choice>
  </mc:AlternateContent>
  <xr:revisionPtr revIDLastSave="0" documentId="8_{26211869-E1D1-4DD9-90E5-4F202815AB3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Hours'!$A$1:$H$56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<sst xmlns="http://schemas.openxmlformats.org/spreadsheetml/2006/main" count="1714" uniqueCount="214">
  <si>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</si>
  <si>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</si>
  <si>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</si>
  <si>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</si>
  <si>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</si>
  <si>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</si>
  <si>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</si>
  <si>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</si>
  <si>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</si>
  <si>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</si>
  <si>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</si>
  <si>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</si>
  <si>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</si>
  <si>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</si>
  <si>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</si>
  <si>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</si>
  <si>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</si>
  <si>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</si>
  <si>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</si>
  <si>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</si>
  <si>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</si>
  <si>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</si>
  <si>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</si>
  <si>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</si>
  <si>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</si>
  <si>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</si>
  <si>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</si>
  <si>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</si>
  <si>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</si>
  <si>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</si>
  <si>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</si>
  <si>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</si>
  <si>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</si>
  <si>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</si>
  <si>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</si>
  <si>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</si>
  <si>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</si>
  <si>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</si>
  <si>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</si>
  <si>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</si>
  <si>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</si>
  <si>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</si>
  <si>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</si>
  <si>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</si>
  <si>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</si>
  <si>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</si>
  <si>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</si>
  <si>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</si>
  <si>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</si>
  <si>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</si>
  <si>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</si>
  <si>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</si>
  <si>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</si>
  <si>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</si>
  <si>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</si>
  <si>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</si>
  <si>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</si>
  <si>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</si>
  <si>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</si>
  <si>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</si>
  <si>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</si>
  <si>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</si>
  <si>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</si>
  <si>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</si>
  <si>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</si>
  <si>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</si>
  <si>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</si>
  <si>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</si>
  <si>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</si>
  <si>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</si>
  <si>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</si>
  <si>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</si>
  <si>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</si>
  <si>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</si>
  <si>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</si>
  <si>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</si>
  <si>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</si>
  <si>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</si>
  <si>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</si>
  <si>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</si>
  <si>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</si>
  <si>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</si>
  <si>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</si>
  <si>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</si>
  <si>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</si>
  <si>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</si>
  <si>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</si>
  <si>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</si>
  <si>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</si>
  <si>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</si>
  <si>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</si>
  <si>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</si>
  <si>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</si>
  <si>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</si>
  <si>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</si>
  <si>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</si>
  <si>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</si>
  <si>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</si>
  <si>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</si>
  <si>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</si>
  <si>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</si>
  <si>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</si>
  <si>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</si>
  <si>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</si>
  <si>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</si>
  <si>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</si>
  <si>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</si>
  <si>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</si>
  <si>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</si>
  <si>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</si>
  <si>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</si>
  <si>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</si>
  <si>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</si>
  <si>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</si>
  <si>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</si>
  <si>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</si>
  <si>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</si>
  <si>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</si>
  <si>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</si>
  <si>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</si>
  <si>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</si>
  <si>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</si>
  <si>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</si>
  <si>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</si>
  <si>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</si>
  <si>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</si>
  <si>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</si>
  <si>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</si>
  <si>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</si>
  <si>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</si>
  <si>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</si>
  <si>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</si>
  <si>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</si>
  <si>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</si>
  <si>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</si>
  <si>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</si>
  <si>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</si>
  <si>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</si>
  <si>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</si>
  <si>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</si>
  <si>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</si>
  <si>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</si>
  <si>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</si>
  <si>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</si>
  <si>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</si>
  <si>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</si>
  <si>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</si>
  <si>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</si>
  <si>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</si>
  <si>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</si>
  <si>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</si>
  <si>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</si>
  <si>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</si>
  <si>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</si>
  <si>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</si>
  <si>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</si>
  <si>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</si>
  <si>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</si>
  <si>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</si>
  <si>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</si>
  <si>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</si>
  <si>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</si>
  <si>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</si>
  <si>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</si>
  <si>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</si>
  <si>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</si>
  <si>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</si>
  <si>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</si>
  <si>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</si>
  <si>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</si>
  <si>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</si>
  <si>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</si>
  <si>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</si>
  <si>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</si>
  <si>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</si>
  <si>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</si>
  <si>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Build Hatch/Door</t>
  </si>
  <si>
    <t>.140</t>
  </si>
  <si>
    <t>Cut Parts on Burn Table</t>
  </si>
  <si>
    <t>Clean &amp; Prep Parts</t>
  </si>
  <si>
    <t>.156</t>
  </si>
  <si>
    <t>Build supports: legs, lugs, saddles</t>
  </si>
  <si>
    <t>Build bottom head/cone</t>
  </si>
  <si>
    <t>Weld inside round seams</t>
  </si>
  <si>
    <t>Weld all Outside Seams</t>
  </si>
  <si>
    <t>.645</t>
  </si>
  <si>
    <t>Weld all outside seams</t>
  </si>
  <si>
    <t>SS STORAGE TANK #1</t>
  </si>
  <si>
    <t>061625.1</t>
  </si>
  <si>
    <t>9185.2</t>
  </si>
  <si>
    <t>Build nozzles and weld</t>
  </si>
  <si>
    <t>Build hatch/door</t>
  </si>
  <si>
    <t>Roll repads: drill and tap</t>
  </si>
  <si>
    <t>Make lift lugs, ground lugs, etc.</t>
  </si>
  <si>
    <t>Shells: bring in plate, square, trim and clean_x000D_
PREP (4) DOUBLE SHELLS &amp; (1) SINGLE SHELL</t>
  </si>
  <si>
    <t>Roll shells, tack and weld inside seams_x000D_
ROLL (1) DOUBLE &amp; (1) SINGLE SHELL; WELD L/S W COBOT</t>
  </si>
  <si>
    <t>Lay out top head, burn and clean holes_x000D_
ON BURN TABLE</t>
  </si>
  <si>
    <t>Set  nozzles, lift lugs, etc. in top head - tack</t>
  </si>
  <si>
    <t>Weld out top head nozzles, etc.</t>
  </si>
  <si>
    <t>Fit bottom head to shell_x000D_
AND WELD INSIDE &amp; OUTSIDE</t>
  </si>
  <si>
    <t>Tack shell courses together_x000D_
(4) DOUBLES &amp; (1) SINGLE</t>
  </si>
  <si>
    <t>Lay out shell, burn and clean holes_x000D_
ON BURN TABLE</t>
  </si>
  <si>
    <t>Fit top head to shell - tack_x000D_
AND WELD TO RIM ANGLE</t>
  </si>
  <si>
    <t>Install Insul/Vac Rings</t>
  </si>
  <si>
    <t>.715</t>
  </si>
  <si>
    <t>Install insulation/vacuum rings - tack</t>
  </si>
  <si>
    <t>Install lift lugs on shell_x000D_
INCLUDING REPADS</t>
  </si>
  <si>
    <t>Install supports - legs, lugs, anchors, saddles, skirt_x000D_
AND WELD COMPLETE</t>
  </si>
  <si>
    <t>Set nozzles in shell - tack</t>
  </si>
  <si>
    <t>Weld shell nozzles, manways, etc._x000D_
INCLUDING HOLE WATCH</t>
  </si>
  <si>
    <t>Prepare Tank for Shipment</t>
  </si>
  <si>
    <t>.940</t>
  </si>
  <si>
    <t>Prepare tank for shipment</t>
  </si>
  <si>
    <t>072-25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</si>
</sst>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6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SS STORAGE TANK #1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4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8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.115</v>
      </c>
      <c r="D9" s="22" t="str">
        <f>'Sheet2-PASTE HERE!'!K19</f>
        <v>Make manway parts: cut clips, form handles, etc.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.120</v>
      </c>
      <c r="D10" s="22" t="str">
        <f>'Sheet2-PASTE HERE!'!K20</f>
        <v>Burn manway neck (CHECK BEFORE BURNING) - Clean and Bevel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.125</v>
      </c>
      <c r="D11" s="22" t="str">
        <f>'Sheet2-PASTE HERE!'!K21</f>
        <v>Roll manway neck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.130</v>
      </c>
      <c r="D12" s="22" t="str">
        <f>'Sheet2-PASTE HERE!'!K22</f>
        <v>Set up and weld manway flange and neck seam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.135</v>
      </c>
      <c r="D13" s="22" t="str">
        <f>'Sheet2-PASTE HERE!'!K23</f>
        <v>Build davit arm assembly and cover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.140</v>
      </c>
      <c r="D14" s="22" t="str">
        <f>'Sheet2-PASTE HERE!'!K24</f>
        <v>Build hatch/door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28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>
        <f>'Sheet2-PASTE HERE!'!K26</f>
        <v>0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</v>
      </c>
      <c r="E17" s="13">
        <f>'Sheet2-PASTE HERE!'!F27</f>
        <v>8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.170</v>
      </c>
      <c r="D18" s="22" t="str">
        <f>'Sheet2-PASTE HERE!'!K28</f>
        <v>Roll repads: drill and tap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.205</v>
      </c>
      <c r="D20" s="22" t="str">
        <f>'Sheet2-PASTE HERE!'!K30</f>
        <v>Roll rim angle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clean_x000D_
PREP (4) DOUBLE SHELLS &amp; (1) SINGLE SHELL</v>
      </c>
      <c r="E22" s="13">
        <f>'Sheet2-PASTE HERE!'!F32</f>
        <v>36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.315</v>
      </c>
      <c r="D23" s="22" t="str">
        <f>'Sheet2-PASTE HERE!'!K33</f>
        <v>Roll shells, tack and weld inside seams_x000D_
ROLL (1) DOUBLE &amp; (1) SINGLE SHELL; WELD L/S W COBOT</v>
      </c>
      <c r="E23" s="13">
        <f>'Sheet2-PASTE HERE!'!F33</f>
        <v>24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.350</v>
      </c>
      <c r="D24" s="22" t="str">
        <f>'Sheet2-PASTE HERE!'!K34</f>
        <v>Build top head/cone</v>
      </c>
      <c r="E24" s="13">
        <f>'Sheet2-PASTE HERE!'!F34</f>
        <v>11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.QC4</v>
      </c>
      <c r="D25" s="22" t="str">
        <f>'Sheet2-PASTE HERE!'!K35</f>
        <v>QC Inspection - Top/Bottom/Cones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.355</v>
      </c>
      <c r="D26" s="22" t="str">
        <f>'Sheet2-PASTE HERE!'!K36</f>
        <v>Lay out top head, burn and clean holes_x000D_
ON BURN TABLE</v>
      </c>
      <c r="E26" s="13">
        <f>'Sheet2-PASTE HERE!'!F36</f>
        <v>2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.365</v>
      </c>
      <c r="D27" s="22" t="str">
        <f>'Sheet2-PASTE HERE!'!K37</f>
        <v>Set  nozzles, lift lugs, etc. in top head - tack</v>
      </c>
      <c r="E27" s="13">
        <f>'Sheet2-PASTE HERE!'!F37</f>
        <v>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.366</v>
      </c>
      <c r="D28" s="22" t="str">
        <f>'Sheet2-PASTE HERE!'!K38</f>
        <v>Weld out top head nozzles, etc.</v>
      </c>
      <c r="E28" s="13">
        <f>'Sheet2-PASTE HERE!'!F38</f>
        <v>6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.450</v>
      </c>
      <c r="D29" s="22" t="str">
        <f>'Sheet2-PASTE HERE!'!K39</f>
        <v>Build bottom head/cone</v>
      </c>
      <c r="E29" s="13">
        <f>'Sheet2-PASTE HERE!'!F39</f>
        <v>7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.QC4</v>
      </c>
      <c r="D30" s="22" t="str">
        <f>'Sheet2-PASTE HERE!'!K40</f>
        <v>QC Inspection - Top/Bottom/Cones</v>
      </c>
      <c r="E30" s="13">
        <f>'Sheet2-PASTE HERE!'!F40</f>
        <v>0</v>
      </c>
      <c r="F30" s="12"/>
      <c r="G30" s="12"/>
      <c r="H30" s="12"/>
      <c r="K30">
        <f t="shared" si="2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.600</v>
      </c>
      <c r="D31" s="22" t="str">
        <f>'Sheet2-PASTE HERE!'!K41</f>
        <v>Fit bottom head to shell_x000D_
AND WELD INSIDE &amp; OUTSIDE</v>
      </c>
      <c r="E31" s="13">
        <f>'Sheet2-PASTE HERE!'!F41</f>
        <v>14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.605</v>
      </c>
      <c r="D32" s="22" t="str">
        <f>'Sheet2-PASTE HERE!'!K42</f>
        <v>Tack shell courses together_x000D_
(4) DOUBLES &amp; (1) SINGLE</v>
      </c>
      <c r="E32" s="13">
        <f>'Sheet2-PASTE HERE!'!F42</f>
        <v>14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.610</v>
      </c>
      <c r="D33" s="22" t="str">
        <f>'Sheet2-PASTE HERE!'!K43</f>
        <v>Weld inside round seams</v>
      </c>
      <c r="E33" s="13">
        <f>'Sheet2-PASTE HERE!'!F43</f>
        <v>14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.615</v>
      </c>
      <c r="D34" s="22" t="str">
        <f>'Sheet2-PASTE HERE!'!K44</f>
        <v>Install rim angle - tack only</v>
      </c>
      <c r="E34" s="13">
        <f>'Sheet2-PASTE HERE!'!F44</f>
        <v>12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.616</v>
      </c>
      <c r="D35" s="22" t="str">
        <f>'Sheet2-PASTE HERE!'!K45</f>
        <v>Weld rim angle complete</v>
      </c>
      <c r="E35" s="13">
        <f>'Sheet2-PASTE HERE!'!F45</f>
        <v>12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.620</v>
      </c>
      <c r="D36" s="22" t="str">
        <f>'Sheet2-PASTE HERE!'!K46</f>
        <v>Lay out shell, burn and clean holes_x000D_
ON BURN TABLE</v>
      </c>
      <c r="E36" s="13">
        <f>'Sheet2-PASTE HERE!'!F46</f>
        <v>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.QC5</v>
      </c>
      <c r="D37" s="22" t="str">
        <f>'Sheet2-PASTE HERE!'!K47</f>
        <v>QC Inspection - Internal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.640</v>
      </c>
      <c r="D38" s="22" t="str">
        <f>'Sheet2-PASTE HERE!'!K48</f>
        <v>Fit top head to shell - tack_x000D_
AND WELD TO RIM ANGLE</v>
      </c>
      <c r="E38" s="13">
        <f>'Sheet2-PASTE HERE!'!F48</f>
        <v>9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.645</v>
      </c>
      <c r="D39" s="22" t="str">
        <f>'Sheet2-PASTE HERE!'!K49</f>
        <v>Weld all outside seams</v>
      </c>
      <c r="E39" s="13">
        <f>'Sheet2-PASTE HERE!'!F49</f>
        <v>14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MOVE TANK</v>
      </c>
      <c r="B40" s="11"/>
      <c r="C40" s="17" t="str">
        <f>'Sheet2-PASTE HERE!'!I50</f>
        <v>.800</v>
      </c>
      <c r="D40" s="22" t="str">
        <f>'Sheet2-PASTE HERE!'!K50</f>
        <v>Move tank to detail rolls</v>
      </c>
      <c r="E40" s="13">
        <f>'Sheet2-PASTE HERE!'!F50</f>
        <v>3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.715</v>
      </c>
      <c r="D41" s="22" t="str">
        <f>'Sheet2-PASTE HERE!'!K51</f>
        <v>Install insulation/vacuum rings - tack</v>
      </c>
      <c r="E41" s="13">
        <f>'Sheet2-PASTE HERE!'!F51</f>
        <v>21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.717</v>
      </c>
      <c r="D42" s="22" t="str">
        <f>'Sheet2-PASTE HERE!'!K52</f>
        <v>Install lift lugs on shell_x000D_
INCLUDING REPADS</v>
      </c>
      <c r="E42" s="13">
        <f>'Sheet2-PASTE HERE!'!F52</f>
        <v>5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.720</v>
      </c>
      <c r="D43" s="22" t="str">
        <f>'Sheet2-PASTE HERE!'!K53</f>
        <v>Install supports - legs, lugs, anchors, saddles, skirt_x000D_
AND WELD COMPLETE</v>
      </c>
      <c r="E43" s="13">
        <f>'Sheet2-PASTE HERE!'!F53</f>
        <v>15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.725</v>
      </c>
      <c r="D44" s="22" t="str">
        <f>'Sheet2-PASTE HERE!'!K54</f>
        <v>Set nozzles in shell - tack</v>
      </c>
      <c r="E44" s="13">
        <f>'Sheet2-PASTE HERE!'!F54</f>
        <v>6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.726</v>
      </c>
      <c r="D45" s="22" t="str">
        <f>'Sheet2-PASTE HERE!'!K55</f>
        <v>Weld shell nozzles, manways, etc._x000D_
INCLUDING HOLE WATCH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.765</v>
      </c>
      <c r="D46" s="22" t="str">
        <f>'Sheet2-PASTE HERE!'!K56</f>
        <v>Install name tag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.770</v>
      </c>
      <c r="D47" s="22" t="str">
        <f>'Sheet2-PASTE HERE!'!K57</f>
        <v>Inspect tank, make repairs, get QC inspector</v>
      </c>
      <c r="E47" s="13">
        <f>'Sheet2-PASTE HERE!'!F57</f>
        <v>1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.QC6</v>
      </c>
      <c r="D48" s="22" t="str">
        <f>'Sheet2-PASTE HERE!'!K58</f>
        <v>QC Inspection - Fabrication</v>
      </c>
      <c r="E48" s="13">
        <f>'Sheet2-PASTE HERE!'!F58</f>
        <v>0</v>
      </c>
      <c r="F48" s="12"/>
      <c r="G48" s="12"/>
      <c r="H48" s="12"/>
      <c r="K48">
        <f t="shared" si="2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.801</v>
      </c>
      <c r="D49" s="22" t="str">
        <f>'Sheet2-PASTE HERE!'!K59</f>
        <v>Move to shop test area</v>
      </c>
      <c r="E49" s="13">
        <f>'Sheet2-PASTE HERE!'!F59</f>
        <v>3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.910</v>
      </c>
      <c r="D50" s="22" t="str">
        <f>'Sheet2-PASTE HERE!'!K60</f>
        <v>Test tank</v>
      </c>
      <c r="E50" s="13">
        <f>'Sheet2-PASTE HERE!'!F60</f>
        <v>14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.QC7</v>
      </c>
      <c r="D51" s="22" t="str">
        <f>'Sheet2-PASTE HERE!'!K61</f>
        <v>QC Inspection - Test</v>
      </c>
      <c r="E51" s="13">
        <f>'Sheet2-PASTE HERE!'!F61</f>
        <v>0</v>
      </c>
      <c r="F51" s="12"/>
      <c r="G51" s="12"/>
      <c r="H51" s="12"/>
      <c r="K51">
        <f t="shared" si="2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.920</v>
      </c>
      <c r="D52" s="22" t="str">
        <f>'Sheet2-PASTE HERE!'!K62</f>
        <v>Clean tank complete</v>
      </c>
      <c r="E52" s="13">
        <f>'Sheet2-PASTE HERE!'!F62</f>
        <v>48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.QC8</v>
      </c>
      <c r="D53" s="22" t="str">
        <f>'Sheet2-PASTE HERE!'!K63</f>
        <v>QC Inspection - Clean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.940</v>
      </c>
      <c r="D54" s="22" t="str">
        <f>'Sheet2-PASTE HERE!'!K64</f>
        <v>Prepare tank for shipment</v>
      </c>
      <c r="E54" s="13">
        <f>'Sheet2-PASTE HERE!'!F64</f>
        <v>4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.QC95</v>
      </c>
      <c r="D55" s="22" t="str">
        <f>'Sheet2-PASTE HERE!'!K65</f>
        <v>QC Inspection - Final &amp; Loose Items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SHIPPING</v>
      </c>
      <c r="B56" s="11"/>
      <c r="C56" s="17" t="str">
        <f>'Sheet2-PASTE HERE!'!I66</f>
        <v>.960</v>
      </c>
      <c r="D56" s="22" t="str">
        <f>'Sheet2-PASTE HERE!'!K66</f>
        <v>Load on truck</v>
      </c>
      <c r="E56" s="13">
        <f>'Sheet2-PASTE HERE!'!F66</f>
        <v>5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 t="str">
        <f>'Sheet2-PASTE HERE!'!F68</f>
        <v/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SS STORAGE TANK #1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4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8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.115</v>
      </c>
      <c r="D9" s="22" t="str">
        <f>'Sheet2-PASTE HERE!'!K19</f>
        <v>Make manway parts: cut clips, form handles, etc.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.120</v>
      </c>
      <c r="D10" s="22" t="str">
        <f>'Sheet2-PASTE HERE!'!K20</f>
        <v>Burn manway neck (CHECK BEFORE BURNING) - Clean and Bevel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.125</v>
      </c>
      <c r="D11" s="22" t="str">
        <f>'Sheet2-PASTE HERE!'!K21</f>
        <v>Roll manway neck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.130</v>
      </c>
      <c r="D12" s="22" t="str">
        <f>'Sheet2-PASTE HERE!'!K22</f>
        <v>Set up and weld manway flange and neck seam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.135</v>
      </c>
      <c r="D13" s="22" t="str">
        <f>'Sheet2-PASTE HERE!'!K23</f>
        <v>Build davit arm assembly and cover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.140</v>
      </c>
      <c r="D14" s="22" t="str">
        <f>'Sheet2-PASTE HERE!'!K24</f>
        <v>Build hatch/door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28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>
        <f>'Sheet2-PASTE HERE!'!K26</f>
        <v>0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</v>
      </c>
      <c r="E17" s="13">
        <f>'Sheet2-PASTE HERE!'!F27</f>
        <v>8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.170</v>
      </c>
      <c r="D18" s="22" t="str">
        <f>'Sheet2-PASTE HERE!'!K28</f>
        <v>Roll repads: drill and tap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.205</v>
      </c>
      <c r="D20" s="22" t="str">
        <f>'Sheet2-PASTE HERE!'!K30</f>
        <v>Roll rim angle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clean_x000D_
PREP (4) DOUBLE SHELLS &amp; (1) SINGLE SHELL</v>
      </c>
      <c r="E22" s="13">
        <f>'Sheet2-PASTE HERE!'!F32</f>
        <v>36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.315</v>
      </c>
      <c r="D23" s="22" t="str">
        <f>'Sheet2-PASTE HERE!'!K33</f>
        <v>Roll shells, tack and weld inside seams_x000D_
ROLL (1) DOUBLE &amp; (1) SINGLE SHELL; WELD L/S W COBOT</v>
      </c>
      <c r="E23" s="13">
        <f>'Sheet2-PASTE HERE!'!F33</f>
        <v>24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.350</v>
      </c>
      <c r="D24" s="22" t="str">
        <f>'Sheet2-PASTE HERE!'!K34</f>
        <v>Build top head/cone</v>
      </c>
      <c r="E24" s="13">
        <f>'Sheet2-PASTE HERE!'!F34</f>
        <v>11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.QC4</v>
      </c>
      <c r="D25" s="22" t="str">
        <f>'Sheet2-PASTE HERE!'!K35</f>
        <v>QC Inspection - Top/Bottom/Cones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.355</v>
      </c>
      <c r="D26" s="22" t="str">
        <f>'Sheet2-PASTE HERE!'!K36</f>
        <v>Lay out top head, burn and clean holes_x000D_
ON BURN TABLE</v>
      </c>
      <c r="E26" s="13">
        <f>'Sheet2-PASTE HERE!'!F36</f>
        <v>2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.365</v>
      </c>
      <c r="D27" s="22" t="str">
        <f>'Sheet2-PASTE HERE!'!K37</f>
        <v>Set  nozzles, lift lugs, etc. in top head - tack</v>
      </c>
      <c r="E27" s="13">
        <f>'Sheet2-PASTE HERE!'!F37</f>
        <v>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.366</v>
      </c>
      <c r="D28" s="22" t="str">
        <f>'Sheet2-PASTE HERE!'!K38</f>
        <v>Weld out top head nozzles, etc.</v>
      </c>
      <c r="E28" s="13">
        <f>'Sheet2-PASTE HERE!'!F38</f>
        <v>6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.450</v>
      </c>
      <c r="D29" s="22" t="str">
        <f>'Sheet2-PASTE HERE!'!K39</f>
        <v>Build bottom head/cone</v>
      </c>
      <c r="E29" s="13">
        <f>'Sheet2-PASTE HERE!'!F39</f>
        <v>7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.QC4</v>
      </c>
      <c r="D30" s="22" t="str">
        <f>'Sheet2-PASTE HERE!'!K40</f>
        <v>QC Inspection - Top/Bottom/Cones</v>
      </c>
      <c r="E30" s="13">
        <f>'Sheet2-PASTE HERE!'!F40</f>
        <v>0</v>
      </c>
      <c r="F30" s="12"/>
      <c r="G30" s="12"/>
      <c r="H30" s="12"/>
      <c r="K30">
        <f t="shared" si="0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.600</v>
      </c>
      <c r="D31" s="22" t="str">
        <f>'Sheet2-PASTE HERE!'!K41</f>
        <v>Fit bottom head to shell_x000D_
AND WELD INSIDE &amp; OUTSIDE</v>
      </c>
      <c r="E31" s="13">
        <f>'Sheet2-PASTE HERE!'!F41</f>
        <v>14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.605</v>
      </c>
      <c r="D32" s="22" t="str">
        <f>'Sheet2-PASTE HERE!'!K42</f>
        <v>Tack shell courses together_x000D_
(4) DOUBLES &amp; (1) SINGLE</v>
      </c>
      <c r="E32" s="13">
        <f>'Sheet2-PASTE HERE!'!F42</f>
        <v>14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.610</v>
      </c>
      <c r="D33" s="22" t="str">
        <f>'Sheet2-PASTE HERE!'!K43</f>
        <v>Weld inside round seams</v>
      </c>
      <c r="E33" s="13">
        <f>'Sheet2-PASTE HERE!'!F43</f>
        <v>14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.615</v>
      </c>
      <c r="D34" s="22" t="str">
        <f>'Sheet2-PASTE HERE!'!K44</f>
        <v>Install rim angle - tack only</v>
      </c>
      <c r="E34" s="13">
        <f>'Sheet2-PASTE HERE!'!F44</f>
        <v>12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.616</v>
      </c>
      <c r="D35" s="22" t="str">
        <f>'Sheet2-PASTE HERE!'!K45</f>
        <v>Weld rim angle complete</v>
      </c>
      <c r="E35" s="13">
        <f>'Sheet2-PASTE HERE!'!F45</f>
        <v>12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.620</v>
      </c>
      <c r="D36" s="22" t="str">
        <f>'Sheet2-PASTE HERE!'!K46</f>
        <v>Lay out shell, burn and clean holes_x000D_
ON BURN TABLE</v>
      </c>
      <c r="E36" s="13">
        <f>'Sheet2-PASTE HERE!'!F46</f>
        <v>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.QC5</v>
      </c>
      <c r="D37" s="22" t="str">
        <f>'Sheet2-PASTE HERE!'!K47</f>
        <v>QC Inspection - Internal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.640</v>
      </c>
      <c r="D38" s="22" t="str">
        <f>'Sheet2-PASTE HERE!'!K48</f>
        <v>Fit top head to shell - tack_x000D_
AND WELD TO RIM ANGLE</v>
      </c>
      <c r="E38" s="13">
        <f>'Sheet2-PASTE HERE!'!F48</f>
        <v>9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.645</v>
      </c>
      <c r="D39" s="22" t="str">
        <f>'Sheet2-PASTE HERE!'!K49</f>
        <v>Weld all outside seams</v>
      </c>
      <c r="E39" s="13">
        <f>'Sheet2-PASTE HERE!'!F49</f>
        <v>14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MOVE TANK</v>
      </c>
      <c r="B40" s="11"/>
      <c r="C40" s="17" t="str">
        <f>'Sheet2-PASTE HERE!'!I50</f>
        <v>.800</v>
      </c>
      <c r="D40" s="22" t="str">
        <f>'Sheet2-PASTE HERE!'!K50</f>
        <v>Move tank to detail rolls</v>
      </c>
      <c r="E40" s="13">
        <f>'Sheet2-PASTE HERE!'!F50</f>
        <v>3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.715</v>
      </c>
      <c r="D41" s="22" t="str">
        <f>'Sheet2-PASTE HERE!'!K51</f>
        <v>Install insulation/vacuum rings - tack</v>
      </c>
      <c r="E41" s="13">
        <f>'Sheet2-PASTE HERE!'!F51</f>
        <v>21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.717</v>
      </c>
      <c r="D42" s="22" t="str">
        <f>'Sheet2-PASTE HERE!'!K52</f>
        <v>Install lift lugs on shell_x000D_
INCLUDING REPADS</v>
      </c>
      <c r="E42" s="13">
        <f>'Sheet2-PASTE HERE!'!F52</f>
        <v>5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.720</v>
      </c>
      <c r="D43" s="22" t="str">
        <f>'Sheet2-PASTE HERE!'!K53</f>
        <v>Install supports - legs, lugs, anchors, saddles, skirt_x000D_
AND WELD COMPLETE</v>
      </c>
      <c r="E43" s="13">
        <f>'Sheet2-PASTE HERE!'!F53</f>
        <v>15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.725</v>
      </c>
      <c r="D44" s="22" t="str">
        <f>'Sheet2-PASTE HERE!'!K54</f>
        <v>Set nozzles in shell - tack</v>
      </c>
      <c r="E44" s="13">
        <f>'Sheet2-PASTE HERE!'!F54</f>
        <v>6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.726</v>
      </c>
      <c r="D45" s="22" t="str">
        <f>'Sheet2-PASTE HERE!'!K55</f>
        <v>Weld shell nozzles, manways, etc._x000D_
INCLUDING HOLE WATCH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.765</v>
      </c>
      <c r="D46" s="22" t="str">
        <f>'Sheet2-PASTE HERE!'!K56</f>
        <v>Install name tag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.770</v>
      </c>
      <c r="D47" s="22" t="str">
        <f>'Sheet2-PASTE HERE!'!K57</f>
        <v>Inspect tank, make repairs, get QC inspector</v>
      </c>
      <c r="E47" s="13">
        <f>'Sheet2-PASTE HERE!'!F57</f>
        <v>1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.QC6</v>
      </c>
      <c r="D48" s="22" t="str">
        <f>'Sheet2-PASTE HERE!'!K58</f>
        <v>QC Inspection - Fabrication</v>
      </c>
      <c r="E48" s="13">
        <f>'Sheet2-PASTE HERE!'!F58</f>
        <v>0</v>
      </c>
      <c r="F48" s="12"/>
      <c r="G48" s="12"/>
      <c r="H48" s="12"/>
      <c r="K48">
        <f t="shared" si="0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.801</v>
      </c>
      <c r="D49" s="22" t="str">
        <f>'Sheet2-PASTE HERE!'!K59</f>
        <v>Move to shop test area</v>
      </c>
      <c r="E49" s="13">
        <f>'Sheet2-PASTE HERE!'!F59</f>
        <v>3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.910</v>
      </c>
      <c r="D50" s="22" t="str">
        <f>'Sheet2-PASTE HERE!'!K60</f>
        <v>Test tank</v>
      </c>
      <c r="E50" s="13">
        <f>'Sheet2-PASTE HERE!'!F60</f>
        <v>14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.QC7</v>
      </c>
      <c r="D51" s="22" t="str">
        <f>'Sheet2-PASTE HERE!'!K61</f>
        <v>QC Inspection - Test</v>
      </c>
      <c r="E51" s="13">
        <f>'Sheet2-PASTE HERE!'!F61</f>
        <v>0</v>
      </c>
      <c r="F51" s="12"/>
      <c r="G51" s="12"/>
      <c r="H51" s="12"/>
      <c r="K51">
        <f t="shared" si="0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.920</v>
      </c>
      <c r="D52" s="22" t="str">
        <f>'Sheet2-PASTE HERE!'!K62</f>
        <v>Clean tank complete</v>
      </c>
      <c r="E52" s="13">
        <f>'Sheet2-PASTE HERE!'!F62</f>
        <v>48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.QC8</v>
      </c>
      <c r="D53" s="22" t="str">
        <f>'Sheet2-PASTE HERE!'!K63</f>
        <v>QC Inspection - Clean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.940</v>
      </c>
      <c r="D54" s="22" t="str">
        <f>'Sheet2-PASTE HERE!'!K64</f>
        <v>Prepare tank for shipment</v>
      </c>
      <c r="E54" s="13">
        <f>'Sheet2-PASTE HERE!'!F64</f>
        <v>4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.QC95</v>
      </c>
      <c r="D55" s="22" t="str">
        <f>'Sheet2-PASTE HERE!'!K65</f>
        <v>QC Inspection - Final &amp; Loose Items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SHIPPING</v>
      </c>
      <c r="B56" s="11"/>
      <c r="C56" s="17" t="str">
        <f>'Sheet2-PASTE HERE!'!I66</f>
        <v>.960</v>
      </c>
      <c r="D56" s="22" t="str">
        <f>'Sheet2-PASTE HERE!'!K66</f>
        <v>Load on truck</v>
      </c>
      <c r="E56" s="13">
        <f>'Sheet2-PASTE HERE!'!F66</f>
        <v>5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 t="str">
        <f>'Sheet2-PASTE HERE!'!F68</f>
        <v/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t="s">
        <v>16</v>
      </c>
      <c r="B1" t="s">
        <v>187</v>
      </c>
      <c r="C1" t="s">
        <v>17</v>
      </c>
      <c r="D1" t="s">
        <v>188</v>
      </c>
      <c r="E1" t="s">
        <v>18</v>
      </c>
      <c r="F1" t="s">
        <v>189</v>
      </c>
      <c r="G1" t="s">
        <v>187</v>
      </c>
      <c r="H1" t="s">
        <v>20</v>
      </c>
      <c r="I1" t="s">
        <v>19</v>
      </c>
      <c r="L1" t="s">
        <v>21</v>
      </c>
      <c r="M1" t="s">
        <v>19</v>
      </c>
      <c r="N1" t="s">
        <v>22</v>
      </c>
      <c r="O1" t="s">
        <v>19</v>
      </c>
      <c r="R1" t="s">
        <v>23</v>
      </c>
      <c r="S1" s="21">
        <v>1</v>
      </c>
      <c r="T1" t="s">
        <v>24</v>
      </c>
      <c r="U1" t="s">
        <v>25</v>
      </c>
      <c r="V1" t="s">
        <v>26</v>
      </c>
      <c r="W1" s="19">
        <v>45824</v>
      </c>
      <c r="Y1" t="s">
        <v>27</v>
      </c>
      <c r="Z1" s="21">
        <v>1</v>
      </c>
      <c r="AA1" t="s">
        <v>24</v>
      </c>
      <c r="AB1" t="s">
        <v>25</v>
      </c>
      <c r="AC1" t="s">
        <v>28</v>
      </c>
      <c r="AD1" s="24">
        <v>395</v>
      </c>
    </row>
    <row r="2" spans="1:30" ht="12.75" customHeight="1" x14ac:dyDescent="0.2"/>
    <row r="3" spans="1:30" ht="12.75" customHeight="1" x14ac:dyDescent="0.2">
      <c r="A3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t="s">
        <v>30</v>
      </c>
      <c r="C7" t="s">
        <v>31</v>
      </c>
      <c r="D7" t="s">
        <v>33</v>
      </c>
      <c r="E7" t="s">
        <v>34</v>
      </c>
      <c r="F7" t="s">
        <v>35</v>
      </c>
      <c r="G7" t="s">
        <v>36</v>
      </c>
      <c r="H7" t="s">
        <v>32</v>
      </c>
      <c r="I7" t="s">
        <v>10</v>
      </c>
      <c r="J7" t="s">
        <v>37</v>
      </c>
    </row>
    <row r="8" spans="1:30" ht="12.75" customHeight="1" x14ac:dyDescent="0.2">
      <c r="A8" t="s">
        <v>19</v>
      </c>
      <c r="B8" t="s">
        <v>19</v>
      </c>
      <c r="F8" t="s">
        <v>19</v>
      </c>
      <c r="G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t="s">
        <v>38</v>
      </c>
      <c r="C11" t="s">
        <v>39</v>
      </c>
      <c r="D11" t="s">
        <v>40</v>
      </c>
      <c r="E11" t="s">
        <v>41</v>
      </c>
      <c r="F11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t="s">
        <v>43</v>
      </c>
      <c r="C14" t="s">
        <v>42</v>
      </c>
      <c r="D14" t="s">
        <v>44</v>
      </c>
      <c r="E14" t="s">
        <v>45</v>
      </c>
      <c r="F14" t="s">
        <v>46</v>
      </c>
      <c r="G14" t="s">
        <v>47</v>
      </c>
      <c r="H14" t="s">
        <v>48</v>
      </c>
      <c r="I14" t="s">
        <v>10</v>
      </c>
      <c r="J14" t="s">
        <v>49</v>
      </c>
      <c r="K14" t="s">
        <v>50</v>
      </c>
      <c r="L14" t="s">
        <v>51</v>
      </c>
      <c r="M14" t="s">
        <v>0</v>
      </c>
      <c r="N14" t="s">
        <v>1</v>
      </c>
      <c r="O14" t="s">
        <v>52</v>
      </c>
    </row>
    <row r="15" spans="1:30" ht="12.75" customHeight="1" x14ac:dyDescent="0.2">
      <c r="A15" t="s">
        <v>56</v>
      </c>
      <c r="B15" s="18">
        <v>52666</v>
      </c>
      <c r="C15" s="19">
        <v>0</v>
      </c>
      <c r="D15" t="s">
        <v>75</v>
      </c>
      <c r="E15" s="20">
        <v>0</v>
      </c>
      <c r="F15" s="20">
        <v>0</v>
      </c>
      <c r="G15" t="s">
        <v>54</v>
      </c>
      <c r="H15" s="20">
        <v>0</v>
      </c>
      <c r="I15" t="s">
        <v>76</v>
      </c>
      <c r="J15" s="19">
        <v>0</v>
      </c>
      <c r="K15" t="s">
        <v>75</v>
      </c>
      <c r="L15" t="s">
        <v>55</v>
      </c>
      <c r="M15" t="s">
        <v>55</v>
      </c>
      <c r="N15" t="s">
        <v>55</v>
      </c>
    </row>
    <row r="16" spans="1:30" ht="12.75" customHeight="1" x14ac:dyDescent="0.2">
      <c r="A16" t="s">
        <v>53</v>
      </c>
      <c r="B16" s="18">
        <v>52667</v>
      </c>
      <c r="C16" s="19">
        <v>0</v>
      </c>
      <c r="D16" t="s">
        <v>77</v>
      </c>
      <c r="E16" s="20">
        <v>0</v>
      </c>
      <c r="F16" s="20">
        <v>0</v>
      </c>
      <c r="G16" t="s">
        <v>54</v>
      </c>
      <c r="H16" s="20">
        <v>0</v>
      </c>
      <c r="I16" t="s">
        <v>78</v>
      </c>
      <c r="J16" s="19">
        <v>0</v>
      </c>
      <c r="K16" t="s">
        <v>79</v>
      </c>
      <c r="L16" t="s">
        <v>55</v>
      </c>
      <c r="M16" t="s">
        <v>55</v>
      </c>
      <c r="N16" t="s">
        <v>55</v>
      </c>
    </row>
    <row r="17" spans="1:14" ht="12.75" customHeight="1" x14ac:dyDescent="0.2">
      <c r="A17" t="s">
        <v>56</v>
      </c>
      <c r="B17" s="18">
        <v>52668</v>
      </c>
      <c r="C17" s="19">
        <v>0</v>
      </c>
      <c r="D17" t="s">
        <v>57</v>
      </c>
      <c r="E17" s="20">
        <v>0</v>
      </c>
      <c r="F17" s="20">
        <v>4</v>
      </c>
      <c r="G17" t="s">
        <v>54</v>
      </c>
      <c r="H17" s="20">
        <v>4</v>
      </c>
      <c r="I17" t="s">
        <v>58</v>
      </c>
      <c r="J17" s="19">
        <v>0</v>
      </c>
      <c r="K17" t="s">
        <v>80</v>
      </c>
      <c r="L17" t="s">
        <v>55</v>
      </c>
      <c r="M17" t="s">
        <v>55</v>
      </c>
      <c r="N17" t="s">
        <v>55</v>
      </c>
    </row>
    <row r="18" spans="1:14" ht="12.75" customHeight="1" x14ac:dyDescent="0.2">
      <c r="A18" t="s">
        <v>56</v>
      </c>
      <c r="B18" s="18">
        <v>52669</v>
      </c>
      <c r="C18" s="19">
        <v>0</v>
      </c>
      <c r="D18" t="s">
        <v>81</v>
      </c>
      <c r="E18" s="20">
        <v>0</v>
      </c>
      <c r="F18" s="20">
        <v>8</v>
      </c>
      <c r="G18" t="s">
        <v>54</v>
      </c>
      <c r="H18" s="20">
        <v>8</v>
      </c>
      <c r="I18" t="s">
        <v>82</v>
      </c>
      <c r="J18" s="19">
        <v>0</v>
      </c>
      <c r="K18" t="s">
        <v>190</v>
      </c>
      <c r="L18" t="s">
        <v>55</v>
      </c>
      <c r="M18" t="s">
        <v>55</v>
      </c>
      <c r="N18" t="s">
        <v>55</v>
      </c>
    </row>
    <row r="19" spans="1:14" ht="12.75" customHeight="1" x14ac:dyDescent="0.2">
      <c r="A19" t="s">
        <v>56</v>
      </c>
      <c r="B19" s="18">
        <v>52670</v>
      </c>
      <c r="C19" s="19">
        <v>0</v>
      </c>
      <c r="D19" t="s">
        <v>83</v>
      </c>
      <c r="E19" s="20">
        <v>0</v>
      </c>
      <c r="F19" s="20">
        <v>1</v>
      </c>
      <c r="G19" t="s">
        <v>54</v>
      </c>
      <c r="H19" s="20">
        <v>1</v>
      </c>
      <c r="I19" t="s">
        <v>84</v>
      </c>
      <c r="J19" s="19">
        <v>0</v>
      </c>
      <c r="K19" t="s">
        <v>85</v>
      </c>
      <c r="L19" t="s">
        <v>55</v>
      </c>
      <c r="M19" t="s">
        <v>55</v>
      </c>
      <c r="N19" t="s">
        <v>55</v>
      </c>
    </row>
    <row r="20" spans="1:14" ht="12.75" customHeight="1" x14ac:dyDescent="0.2">
      <c r="A20" t="s">
        <v>56</v>
      </c>
      <c r="B20" s="18">
        <v>52671</v>
      </c>
      <c r="C20" s="19">
        <v>0</v>
      </c>
      <c r="D20" t="s">
        <v>86</v>
      </c>
      <c r="E20" s="20">
        <v>0</v>
      </c>
      <c r="F20" s="20">
        <v>1</v>
      </c>
      <c r="G20" t="s">
        <v>54</v>
      </c>
      <c r="H20" s="20">
        <v>1</v>
      </c>
      <c r="I20" t="s">
        <v>87</v>
      </c>
      <c r="J20" s="19">
        <v>0</v>
      </c>
      <c r="K20" t="s">
        <v>88</v>
      </c>
      <c r="L20" t="s">
        <v>55</v>
      </c>
      <c r="M20" t="s">
        <v>55</v>
      </c>
      <c r="N20" t="s">
        <v>55</v>
      </c>
    </row>
    <row r="21" spans="1:14" ht="12.75" customHeight="1" x14ac:dyDescent="0.2">
      <c r="A21" t="s">
        <v>56</v>
      </c>
      <c r="B21" s="18">
        <v>52672</v>
      </c>
      <c r="C21" s="19">
        <v>0</v>
      </c>
      <c r="D21" t="s">
        <v>89</v>
      </c>
      <c r="E21" s="20">
        <v>0</v>
      </c>
      <c r="F21" s="20">
        <v>2</v>
      </c>
      <c r="G21" t="s">
        <v>54</v>
      </c>
      <c r="H21" s="20">
        <v>2</v>
      </c>
      <c r="I21" t="s">
        <v>90</v>
      </c>
      <c r="J21" s="19">
        <v>0</v>
      </c>
      <c r="K21" t="s">
        <v>91</v>
      </c>
      <c r="L21" t="s">
        <v>55</v>
      </c>
      <c r="M21" t="s">
        <v>55</v>
      </c>
      <c r="N21" t="s">
        <v>55</v>
      </c>
    </row>
    <row r="22" spans="1:14" ht="12.75" customHeight="1" x14ac:dyDescent="0.2">
      <c r="A22" t="s">
        <v>56</v>
      </c>
      <c r="B22" s="18">
        <v>52673</v>
      </c>
      <c r="C22" s="19">
        <v>0</v>
      </c>
      <c r="D22" t="s">
        <v>92</v>
      </c>
      <c r="E22" s="20">
        <v>0</v>
      </c>
      <c r="F22" s="20">
        <v>2</v>
      </c>
      <c r="G22" t="s">
        <v>54</v>
      </c>
      <c r="H22" s="20">
        <v>2</v>
      </c>
      <c r="I22" t="s">
        <v>93</v>
      </c>
      <c r="J22" s="19">
        <v>0</v>
      </c>
      <c r="K22" t="s">
        <v>94</v>
      </c>
      <c r="L22" t="s">
        <v>55</v>
      </c>
      <c r="M22" t="s">
        <v>55</v>
      </c>
      <c r="N22" t="s">
        <v>55</v>
      </c>
    </row>
    <row r="23" spans="1:14" ht="12.75" customHeight="1" x14ac:dyDescent="0.2">
      <c r="A23" t="s">
        <v>56</v>
      </c>
      <c r="B23" s="18">
        <v>52674</v>
      </c>
      <c r="C23" s="19">
        <v>0</v>
      </c>
      <c r="D23" t="s">
        <v>95</v>
      </c>
      <c r="E23" s="20">
        <v>0</v>
      </c>
      <c r="F23" s="20">
        <v>1</v>
      </c>
      <c r="G23" t="s">
        <v>54</v>
      </c>
      <c r="H23" s="20">
        <v>1</v>
      </c>
      <c r="I23" t="s">
        <v>96</v>
      </c>
      <c r="J23" s="19">
        <v>0</v>
      </c>
      <c r="K23" t="s">
        <v>97</v>
      </c>
      <c r="L23" t="s">
        <v>55</v>
      </c>
      <c r="M23" t="s">
        <v>55</v>
      </c>
      <c r="N23" t="s">
        <v>55</v>
      </c>
    </row>
    <row r="24" spans="1:14" ht="12.75" customHeight="1" x14ac:dyDescent="0.2">
      <c r="A24" t="s">
        <v>56</v>
      </c>
      <c r="B24" s="18">
        <v>52675</v>
      </c>
      <c r="C24" s="19">
        <v>0</v>
      </c>
      <c r="D24" t="s">
        <v>176</v>
      </c>
      <c r="E24" s="20">
        <v>0</v>
      </c>
      <c r="F24" s="20">
        <v>1</v>
      </c>
      <c r="G24" t="s">
        <v>54</v>
      </c>
      <c r="H24" s="20">
        <v>1</v>
      </c>
      <c r="I24" t="s">
        <v>177</v>
      </c>
      <c r="J24" s="19">
        <v>0</v>
      </c>
      <c r="K24" t="s">
        <v>191</v>
      </c>
      <c r="L24" t="s">
        <v>55</v>
      </c>
      <c r="M24" t="s">
        <v>55</v>
      </c>
      <c r="N24" t="s">
        <v>55</v>
      </c>
    </row>
    <row r="25" spans="1:14" ht="12.75" customHeight="1" x14ac:dyDescent="0.2">
      <c r="A25" t="s">
        <v>56</v>
      </c>
      <c r="B25" s="18">
        <v>52676</v>
      </c>
      <c r="C25" s="19">
        <v>0</v>
      </c>
      <c r="D25" t="s">
        <v>178</v>
      </c>
      <c r="E25" s="20">
        <v>0</v>
      </c>
      <c r="F25" s="20">
        <v>28</v>
      </c>
      <c r="G25" t="s">
        <v>54</v>
      </c>
      <c r="H25" s="20">
        <v>28</v>
      </c>
      <c r="I25" t="s">
        <v>59</v>
      </c>
      <c r="J25" s="19">
        <v>0</v>
      </c>
      <c r="K25" t="s">
        <v>98</v>
      </c>
      <c r="L25" t="s">
        <v>55</v>
      </c>
      <c r="M25" t="s">
        <v>55</v>
      </c>
      <c r="N25" t="s">
        <v>55</v>
      </c>
    </row>
    <row r="26" spans="1:14" ht="12.75" customHeight="1" x14ac:dyDescent="0.2">
      <c r="A26" t="s">
        <v>56</v>
      </c>
      <c r="B26" s="18">
        <v>52677</v>
      </c>
      <c r="C26" s="19">
        <v>0</v>
      </c>
      <c r="D26" t="s">
        <v>179</v>
      </c>
      <c r="E26" s="20">
        <v>0</v>
      </c>
      <c r="F26" s="20">
        <v>16</v>
      </c>
      <c r="G26" t="s">
        <v>54</v>
      </c>
      <c r="H26" s="20">
        <v>16</v>
      </c>
      <c r="I26" t="s">
        <v>180</v>
      </c>
      <c r="J26" s="19">
        <v>0</v>
      </c>
      <c r="L26" t="s">
        <v>55</v>
      </c>
      <c r="M26" t="s">
        <v>55</v>
      </c>
      <c r="N26" t="s">
        <v>55</v>
      </c>
    </row>
    <row r="27" spans="1:14" ht="12.75" customHeight="1" x14ac:dyDescent="0.2">
      <c r="A27" t="s">
        <v>56</v>
      </c>
      <c r="B27" s="18">
        <v>52678</v>
      </c>
      <c r="C27" s="19">
        <v>0</v>
      </c>
      <c r="D27" t="s">
        <v>60</v>
      </c>
      <c r="E27" s="20">
        <v>0</v>
      </c>
      <c r="F27" s="20">
        <v>8</v>
      </c>
      <c r="G27" t="s">
        <v>54</v>
      </c>
      <c r="H27" s="20">
        <v>8</v>
      </c>
      <c r="I27" t="s">
        <v>61</v>
      </c>
      <c r="J27" s="19">
        <v>0</v>
      </c>
      <c r="K27" t="s">
        <v>181</v>
      </c>
      <c r="L27" t="s">
        <v>55</v>
      </c>
      <c r="M27" t="s">
        <v>55</v>
      </c>
      <c r="N27" t="s">
        <v>55</v>
      </c>
    </row>
    <row r="28" spans="1:14" ht="12.75" customHeight="1" x14ac:dyDescent="0.2">
      <c r="A28" t="s">
        <v>56</v>
      </c>
      <c r="B28" s="18">
        <v>52679</v>
      </c>
      <c r="C28" s="19">
        <v>0</v>
      </c>
      <c r="D28" t="s">
        <v>99</v>
      </c>
      <c r="E28" s="20">
        <v>0</v>
      </c>
      <c r="F28" s="20">
        <v>2</v>
      </c>
      <c r="G28" t="s">
        <v>54</v>
      </c>
      <c r="H28" s="20">
        <v>2</v>
      </c>
      <c r="I28" t="s">
        <v>100</v>
      </c>
      <c r="J28" s="19">
        <v>0</v>
      </c>
      <c r="K28" t="s">
        <v>192</v>
      </c>
      <c r="L28" t="s">
        <v>55</v>
      </c>
      <c r="M28" t="s">
        <v>55</v>
      </c>
      <c r="N28" t="s">
        <v>55</v>
      </c>
    </row>
    <row r="29" spans="1:14" ht="12.75" customHeight="1" x14ac:dyDescent="0.2">
      <c r="A29" t="s">
        <v>56</v>
      </c>
      <c r="B29" s="18">
        <v>52680</v>
      </c>
      <c r="C29" s="19">
        <v>0</v>
      </c>
      <c r="D29" t="s">
        <v>101</v>
      </c>
      <c r="E29" s="20">
        <v>0</v>
      </c>
      <c r="F29" s="20">
        <v>2</v>
      </c>
      <c r="G29" t="s">
        <v>54</v>
      </c>
      <c r="H29" s="20">
        <v>2</v>
      </c>
      <c r="I29" t="s">
        <v>102</v>
      </c>
      <c r="J29" s="19">
        <v>0</v>
      </c>
      <c r="K29" t="s">
        <v>193</v>
      </c>
      <c r="L29" t="s">
        <v>55</v>
      </c>
      <c r="M29" t="s">
        <v>55</v>
      </c>
      <c r="N29" t="s">
        <v>55</v>
      </c>
    </row>
    <row r="30" spans="1:14" ht="12.75" customHeight="1" x14ac:dyDescent="0.2">
      <c r="A30" t="s">
        <v>56</v>
      </c>
      <c r="B30" s="18">
        <v>52681</v>
      </c>
      <c r="C30" s="19">
        <v>0</v>
      </c>
      <c r="D30" t="s">
        <v>162</v>
      </c>
      <c r="E30" s="20">
        <v>0</v>
      </c>
      <c r="F30" s="20">
        <v>2</v>
      </c>
      <c r="G30" t="s">
        <v>54</v>
      </c>
      <c r="H30" s="20">
        <v>2</v>
      </c>
      <c r="I30" t="s">
        <v>163</v>
      </c>
      <c r="J30" s="19">
        <v>0</v>
      </c>
      <c r="K30" t="s">
        <v>164</v>
      </c>
      <c r="L30" t="s">
        <v>55</v>
      </c>
      <c r="M30" t="s">
        <v>55</v>
      </c>
      <c r="N30" t="s">
        <v>55</v>
      </c>
    </row>
    <row r="31" spans="1:14" ht="12.75" customHeight="1" x14ac:dyDescent="0.2">
      <c r="A31" t="s">
        <v>53</v>
      </c>
      <c r="B31" s="18">
        <v>52682</v>
      </c>
      <c r="C31" s="19">
        <v>0</v>
      </c>
      <c r="D31" t="s">
        <v>103</v>
      </c>
      <c r="E31" s="20">
        <v>0</v>
      </c>
      <c r="F31" s="20">
        <v>0</v>
      </c>
      <c r="G31" t="s">
        <v>54</v>
      </c>
      <c r="H31" s="20">
        <v>0</v>
      </c>
      <c r="I31" t="s">
        <v>104</v>
      </c>
      <c r="J31" s="19">
        <v>0</v>
      </c>
      <c r="K31" t="s">
        <v>103</v>
      </c>
      <c r="L31" t="s">
        <v>55</v>
      </c>
      <c r="M31" t="s">
        <v>55</v>
      </c>
      <c r="N31" t="s">
        <v>55</v>
      </c>
    </row>
    <row r="32" spans="1:14" ht="12.75" customHeight="1" x14ac:dyDescent="0.2">
      <c r="A32" t="s">
        <v>56</v>
      </c>
      <c r="B32" s="18">
        <v>52683</v>
      </c>
      <c r="C32" s="19">
        <v>0</v>
      </c>
      <c r="D32" t="s">
        <v>105</v>
      </c>
      <c r="E32" s="20">
        <v>0</v>
      </c>
      <c r="F32" s="20">
        <v>36</v>
      </c>
      <c r="G32" t="s">
        <v>54</v>
      </c>
      <c r="H32" s="20">
        <v>36</v>
      </c>
      <c r="I32" t="s">
        <v>106</v>
      </c>
      <c r="J32" s="19">
        <v>0</v>
      </c>
      <c r="K32" t="s">
        <v>194</v>
      </c>
      <c r="L32" t="s">
        <v>55</v>
      </c>
      <c r="M32" t="s">
        <v>55</v>
      </c>
      <c r="N32" t="s">
        <v>55</v>
      </c>
    </row>
    <row r="33" spans="1:14" ht="12.75" customHeight="1" x14ac:dyDescent="0.2">
      <c r="A33" t="s">
        <v>56</v>
      </c>
      <c r="B33" s="18">
        <v>52684</v>
      </c>
      <c r="C33" s="19">
        <v>0</v>
      </c>
      <c r="D33" t="s">
        <v>107</v>
      </c>
      <c r="E33" s="20">
        <v>0</v>
      </c>
      <c r="F33" s="20">
        <v>24</v>
      </c>
      <c r="G33" t="s">
        <v>54</v>
      </c>
      <c r="H33" s="20">
        <v>24</v>
      </c>
      <c r="I33" t="s">
        <v>108</v>
      </c>
      <c r="J33" s="19">
        <v>0</v>
      </c>
      <c r="K33" t="s">
        <v>195</v>
      </c>
      <c r="L33" t="s">
        <v>55</v>
      </c>
      <c r="M33" t="s">
        <v>55</v>
      </c>
      <c r="N33" t="s">
        <v>55</v>
      </c>
    </row>
    <row r="34" spans="1:14" ht="12.75" customHeight="1" x14ac:dyDescent="0.2">
      <c r="A34" t="s">
        <v>56</v>
      </c>
      <c r="B34" s="18">
        <v>52685</v>
      </c>
      <c r="C34" s="19">
        <v>0</v>
      </c>
      <c r="D34" t="s">
        <v>165</v>
      </c>
      <c r="E34" s="20">
        <v>0</v>
      </c>
      <c r="F34" s="20">
        <v>11</v>
      </c>
      <c r="G34" t="s">
        <v>54</v>
      </c>
      <c r="H34" s="20">
        <v>11</v>
      </c>
      <c r="I34" t="s">
        <v>166</v>
      </c>
      <c r="J34" s="19">
        <v>0</v>
      </c>
      <c r="K34" t="s">
        <v>167</v>
      </c>
      <c r="L34" t="s">
        <v>55</v>
      </c>
      <c r="M34" t="s">
        <v>55</v>
      </c>
      <c r="N34" t="s">
        <v>55</v>
      </c>
    </row>
    <row r="35" spans="1:14" ht="12.75" customHeight="1" x14ac:dyDescent="0.2">
      <c r="A35" t="s">
        <v>53</v>
      </c>
      <c r="B35" s="18">
        <v>52686</v>
      </c>
      <c r="C35" s="19">
        <v>0</v>
      </c>
      <c r="D35" t="s">
        <v>109</v>
      </c>
      <c r="E35" s="20">
        <v>0</v>
      </c>
      <c r="F35" s="20">
        <v>0</v>
      </c>
      <c r="G35" t="s">
        <v>54</v>
      </c>
      <c r="H35" s="20">
        <v>0</v>
      </c>
      <c r="I35" t="s">
        <v>110</v>
      </c>
      <c r="J35" s="19">
        <v>0</v>
      </c>
      <c r="K35" t="s">
        <v>111</v>
      </c>
      <c r="L35" t="s">
        <v>55</v>
      </c>
      <c r="M35" t="s">
        <v>55</v>
      </c>
      <c r="N35" t="s">
        <v>55</v>
      </c>
    </row>
    <row r="36" spans="1:14" ht="12.75" customHeight="1" x14ac:dyDescent="0.2">
      <c r="A36" t="s">
        <v>56</v>
      </c>
      <c r="B36" s="18">
        <v>52687</v>
      </c>
      <c r="C36" s="19">
        <v>0</v>
      </c>
      <c r="D36" t="s">
        <v>112</v>
      </c>
      <c r="E36" s="20">
        <v>0</v>
      </c>
      <c r="F36" s="20">
        <v>2</v>
      </c>
      <c r="G36" t="s">
        <v>54</v>
      </c>
      <c r="H36" s="20">
        <v>2</v>
      </c>
      <c r="I36" t="s">
        <v>113</v>
      </c>
      <c r="J36" s="19">
        <v>0</v>
      </c>
      <c r="K36" t="s">
        <v>196</v>
      </c>
      <c r="L36" t="s">
        <v>55</v>
      </c>
      <c r="M36" t="s">
        <v>55</v>
      </c>
      <c r="N36" t="s">
        <v>55</v>
      </c>
    </row>
    <row r="37" spans="1:14" ht="12.75" customHeight="1" x14ac:dyDescent="0.2">
      <c r="A37" t="s">
        <v>56</v>
      </c>
      <c r="B37" s="18">
        <v>52688</v>
      </c>
      <c r="C37" s="19">
        <v>0</v>
      </c>
      <c r="D37" t="s">
        <v>114</v>
      </c>
      <c r="E37" s="20">
        <v>0</v>
      </c>
      <c r="F37" s="20">
        <v>2</v>
      </c>
      <c r="G37" t="s">
        <v>54</v>
      </c>
      <c r="H37" s="20">
        <v>2</v>
      </c>
      <c r="I37" t="s">
        <v>115</v>
      </c>
      <c r="J37" s="19">
        <v>0</v>
      </c>
      <c r="K37" t="s">
        <v>197</v>
      </c>
      <c r="L37" t="s">
        <v>55</v>
      </c>
      <c r="M37" t="s">
        <v>55</v>
      </c>
      <c r="N37" t="s">
        <v>55</v>
      </c>
    </row>
    <row r="38" spans="1:14" ht="12.75" customHeight="1" x14ac:dyDescent="0.2">
      <c r="A38" t="s">
        <v>56</v>
      </c>
      <c r="B38" s="18">
        <v>52689</v>
      </c>
      <c r="C38" s="19">
        <v>0</v>
      </c>
      <c r="D38" t="s">
        <v>116</v>
      </c>
      <c r="E38" s="20">
        <v>0</v>
      </c>
      <c r="F38" s="20">
        <v>6</v>
      </c>
      <c r="G38" t="s">
        <v>54</v>
      </c>
      <c r="H38" s="20">
        <v>6</v>
      </c>
      <c r="I38" t="s">
        <v>117</v>
      </c>
      <c r="J38" s="19">
        <v>0</v>
      </c>
      <c r="K38" t="s">
        <v>198</v>
      </c>
      <c r="L38" t="s">
        <v>55</v>
      </c>
      <c r="M38" t="s">
        <v>55</v>
      </c>
      <c r="N38" t="s">
        <v>55</v>
      </c>
    </row>
    <row r="39" spans="1:14" ht="12.75" customHeight="1" x14ac:dyDescent="0.2">
      <c r="A39" t="s">
        <v>56</v>
      </c>
      <c r="B39" s="18">
        <v>52690</v>
      </c>
      <c r="C39" s="19">
        <v>0</v>
      </c>
      <c r="D39" t="s">
        <v>168</v>
      </c>
      <c r="E39" s="20">
        <v>0</v>
      </c>
      <c r="F39" s="20">
        <v>7</v>
      </c>
      <c r="G39" t="s">
        <v>54</v>
      </c>
      <c r="H39" s="20">
        <v>7</v>
      </c>
      <c r="I39" t="s">
        <v>169</v>
      </c>
      <c r="J39" s="19">
        <v>0</v>
      </c>
      <c r="K39" t="s">
        <v>182</v>
      </c>
      <c r="L39" t="s">
        <v>55</v>
      </c>
      <c r="M39" t="s">
        <v>55</v>
      </c>
      <c r="N39" t="s">
        <v>55</v>
      </c>
    </row>
    <row r="40" spans="1:14" ht="12.75" customHeight="1" x14ac:dyDescent="0.2">
      <c r="A40" t="s">
        <v>53</v>
      </c>
      <c r="B40" s="18">
        <v>52691</v>
      </c>
      <c r="C40" s="19">
        <v>0</v>
      </c>
      <c r="D40" t="s">
        <v>109</v>
      </c>
      <c r="E40" s="20">
        <v>0</v>
      </c>
      <c r="F40" s="20">
        <v>0</v>
      </c>
      <c r="G40" t="s">
        <v>54</v>
      </c>
      <c r="H40" s="20">
        <v>0</v>
      </c>
      <c r="I40" t="s">
        <v>110</v>
      </c>
      <c r="J40" s="19">
        <v>0</v>
      </c>
      <c r="K40" t="s">
        <v>111</v>
      </c>
      <c r="L40" t="s">
        <v>55</v>
      </c>
      <c r="M40" t="s">
        <v>55</v>
      </c>
      <c r="N40" t="s">
        <v>55</v>
      </c>
    </row>
    <row r="41" spans="1:14" ht="12.75" customHeight="1" x14ac:dyDescent="0.2">
      <c r="A41" t="s">
        <v>74</v>
      </c>
      <c r="B41" s="18">
        <v>52692</v>
      </c>
      <c r="C41" s="19">
        <v>0</v>
      </c>
      <c r="D41" t="s">
        <v>118</v>
      </c>
      <c r="E41" s="20">
        <v>0</v>
      </c>
      <c r="F41" s="20">
        <v>14</v>
      </c>
      <c r="G41" t="s">
        <v>54</v>
      </c>
      <c r="H41" s="20">
        <v>14</v>
      </c>
      <c r="I41" t="s">
        <v>119</v>
      </c>
      <c r="J41" s="19">
        <v>0</v>
      </c>
      <c r="K41" t="s">
        <v>199</v>
      </c>
      <c r="L41" t="s">
        <v>55</v>
      </c>
      <c r="M41" t="s">
        <v>55</v>
      </c>
      <c r="N41" t="s">
        <v>55</v>
      </c>
    </row>
    <row r="42" spans="1:14" ht="12.75" customHeight="1" x14ac:dyDescent="0.2">
      <c r="A42" t="s">
        <v>74</v>
      </c>
      <c r="B42" s="18">
        <v>52693</v>
      </c>
      <c r="C42" s="19">
        <v>0</v>
      </c>
      <c r="D42" t="s">
        <v>120</v>
      </c>
      <c r="E42" s="20">
        <v>0</v>
      </c>
      <c r="F42" s="20">
        <v>14</v>
      </c>
      <c r="G42" t="s">
        <v>54</v>
      </c>
      <c r="H42" s="20">
        <v>14</v>
      </c>
      <c r="I42" t="s">
        <v>121</v>
      </c>
      <c r="J42" s="19">
        <v>0</v>
      </c>
      <c r="K42" t="s">
        <v>200</v>
      </c>
      <c r="L42" t="s">
        <v>55</v>
      </c>
      <c r="M42" t="s">
        <v>55</v>
      </c>
      <c r="N42" t="s">
        <v>55</v>
      </c>
    </row>
    <row r="43" spans="1:14" ht="12.75" customHeight="1" x14ac:dyDescent="0.2">
      <c r="A43" t="s">
        <v>74</v>
      </c>
      <c r="B43" s="18">
        <v>52694</v>
      </c>
      <c r="C43" s="19">
        <v>0</v>
      </c>
      <c r="D43" t="s">
        <v>122</v>
      </c>
      <c r="E43" s="20">
        <v>0</v>
      </c>
      <c r="F43" s="20">
        <v>14</v>
      </c>
      <c r="G43" t="s">
        <v>54</v>
      </c>
      <c r="H43" s="20">
        <v>14</v>
      </c>
      <c r="I43" t="s">
        <v>123</v>
      </c>
      <c r="J43" s="19">
        <v>0</v>
      </c>
      <c r="K43" t="s">
        <v>183</v>
      </c>
      <c r="L43" t="s">
        <v>55</v>
      </c>
      <c r="M43" t="s">
        <v>55</v>
      </c>
      <c r="N43" t="s">
        <v>55</v>
      </c>
    </row>
    <row r="44" spans="1:14" ht="12.75" customHeight="1" x14ac:dyDescent="0.2">
      <c r="A44" t="s">
        <v>74</v>
      </c>
      <c r="B44" s="18">
        <v>52695</v>
      </c>
      <c r="C44" s="19">
        <v>0</v>
      </c>
      <c r="D44" t="s">
        <v>170</v>
      </c>
      <c r="E44" s="20">
        <v>0</v>
      </c>
      <c r="F44" s="20">
        <v>12</v>
      </c>
      <c r="G44" t="s">
        <v>54</v>
      </c>
      <c r="H44" s="20">
        <v>12</v>
      </c>
      <c r="I44" t="s">
        <v>171</v>
      </c>
      <c r="J44" s="19">
        <v>0</v>
      </c>
      <c r="K44" t="s">
        <v>172</v>
      </c>
      <c r="L44" t="s">
        <v>55</v>
      </c>
      <c r="M44" t="s">
        <v>55</v>
      </c>
      <c r="N44" t="s">
        <v>55</v>
      </c>
    </row>
    <row r="45" spans="1:14" ht="12.75" customHeight="1" x14ac:dyDescent="0.2">
      <c r="A45" t="s">
        <v>74</v>
      </c>
      <c r="B45" s="18">
        <v>52696</v>
      </c>
      <c r="C45" s="19">
        <v>0</v>
      </c>
      <c r="D45" t="s">
        <v>173</v>
      </c>
      <c r="E45" s="20">
        <v>0</v>
      </c>
      <c r="F45" s="20">
        <v>12</v>
      </c>
      <c r="G45" t="s">
        <v>54</v>
      </c>
      <c r="H45" s="20">
        <v>12</v>
      </c>
      <c r="I45" t="s">
        <v>174</v>
      </c>
      <c r="J45" s="19">
        <v>0</v>
      </c>
      <c r="K45" t="s">
        <v>175</v>
      </c>
      <c r="L45" t="s">
        <v>55</v>
      </c>
      <c r="M45" t="s">
        <v>55</v>
      </c>
      <c r="N45" t="s">
        <v>55</v>
      </c>
    </row>
    <row r="46" spans="1:14" ht="12.75" customHeight="1" x14ac:dyDescent="0.2">
      <c r="A46" t="s">
        <v>74</v>
      </c>
      <c r="B46" s="18">
        <v>52697</v>
      </c>
      <c r="C46" s="19">
        <v>0</v>
      </c>
      <c r="D46" t="s">
        <v>124</v>
      </c>
      <c r="E46" s="20">
        <v>0</v>
      </c>
      <c r="F46" s="20">
        <v>2</v>
      </c>
      <c r="G46" t="s">
        <v>54</v>
      </c>
      <c r="H46" s="20">
        <v>2</v>
      </c>
      <c r="I46" t="s">
        <v>125</v>
      </c>
      <c r="J46" s="19">
        <v>0</v>
      </c>
      <c r="K46" t="s">
        <v>201</v>
      </c>
      <c r="L46" t="s">
        <v>55</v>
      </c>
      <c r="M46" t="s">
        <v>55</v>
      </c>
      <c r="N46" t="s">
        <v>55</v>
      </c>
    </row>
    <row r="47" spans="1:14" ht="12.75" customHeight="1" x14ac:dyDescent="0.2">
      <c r="A47" t="s">
        <v>53</v>
      </c>
      <c r="B47" s="18">
        <v>52698</v>
      </c>
      <c r="C47" s="19">
        <v>0</v>
      </c>
      <c r="D47" t="s">
        <v>126</v>
      </c>
      <c r="E47" s="20">
        <v>0</v>
      </c>
      <c r="F47" s="20">
        <v>0</v>
      </c>
      <c r="G47" t="s">
        <v>54</v>
      </c>
      <c r="H47" s="20">
        <v>0</v>
      </c>
      <c r="I47" t="s">
        <v>127</v>
      </c>
      <c r="J47" s="19">
        <v>0</v>
      </c>
      <c r="K47" t="s">
        <v>126</v>
      </c>
      <c r="L47" t="s">
        <v>55</v>
      </c>
      <c r="M47" t="s">
        <v>55</v>
      </c>
      <c r="N47" t="s">
        <v>55</v>
      </c>
    </row>
    <row r="48" spans="1:14" ht="12.75" customHeight="1" x14ac:dyDescent="0.2">
      <c r="A48" t="s">
        <v>74</v>
      </c>
      <c r="B48" s="18">
        <v>52699</v>
      </c>
      <c r="C48" s="19">
        <v>0</v>
      </c>
      <c r="D48" t="s">
        <v>128</v>
      </c>
      <c r="E48" s="20">
        <v>0</v>
      </c>
      <c r="F48" s="20">
        <v>9</v>
      </c>
      <c r="G48" t="s">
        <v>54</v>
      </c>
      <c r="H48" s="20">
        <v>9</v>
      </c>
      <c r="I48" t="s">
        <v>129</v>
      </c>
      <c r="J48" s="19">
        <v>0</v>
      </c>
      <c r="K48" t="s">
        <v>202</v>
      </c>
      <c r="L48" t="s">
        <v>55</v>
      </c>
      <c r="M48" t="s">
        <v>55</v>
      </c>
      <c r="N48" t="s">
        <v>55</v>
      </c>
    </row>
    <row r="49" spans="1:14" ht="12.75" customHeight="1" x14ac:dyDescent="0.2">
      <c r="A49" t="s">
        <v>74</v>
      </c>
      <c r="B49" s="18">
        <v>52700</v>
      </c>
      <c r="C49" s="19">
        <v>0</v>
      </c>
      <c r="D49" t="s">
        <v>184</v>
      </c>
      <c r="E49" s="20">
        <v>0</v>
      </c>
      <c r="F49" s="20">
        <v>14</v>
      </c>
      <c r="G49" t="s">
        <v>54</v>
      </c>
      <c r="H49" s="20">
        <v>14</v>
      </c>
      <c r="I49" t="s">
        <v>185</v>
      </c>
      <c r="J49" s="19">
        <v>0</v>
      </c>
      <c r="K49" t="s">
        <v>186</v>
      </c>
      <c r="L49" t="s">
        <v>55</v>
      </c>
      <c r="M49" t="s">
        <v>55</v>
      </c>
      <c r="N49" t="s">
        <v>55</v>
      </c>
    </row>
    <row r="50" spans="1:14" ht="12.75" customHeight="1" x14ac:dyDescent="0.2">
      <c r="A50" t="s">
        <v>130</v>
      </c>
      <c r="B50" s="18">
        <v>52701</v>
      </c>
      <c r="C50" s="19">
        <v>0</v>
      </c>
      <c r="D50" t="s">
        <v>131</v>
      </c>
      <c r="E50" s="20">
        <v>0</v>
      </c>
      <c r="F50" s="20">
        <v>3</v>
      </c>
      <c r="G50" t="s">
        <v>54</v>
      </c>
      <c r="H50" s="20">
        <v>3</v>
      </c>
      <c r="I50" t="s">
        <v>132</v>
      </c>
      <c r="J50" s="19">
        <v>0</v>
      </c>
      <c r="K50" t="s">
        <v>133</v>
      </c>
      <c r="L50" t="s">
        <v>55</v>
      </c>
      <c r="M50" t="s">
        <v>55</v>
      </c>
      <c r="N50" t="s">
        <v>55</v>
      </c>
    </row>
    <row r="51" spans="1:14" ht="12.75" customHeight="1" x14ac:dyDescent="0.2">
      <c r="A51" t="s">
        <v>74</v>
      </c>
      <c r="B51" s="18">
        <v>52702</v>
      </c>
      <c r="C51" s="19">
        <v>0</v>
      </c>
      <c r="D51" t="s">
        <v>203</v>
      </c>
      <c r="E51" s="20">
        <v>0</v>
      </c>
      <c r="F51" s="20">
        <v>21</v>
      </c>
      <c r="G51" t="s">
        <v>54</v>
      </c>
      <c r="H51" s="20">
        <v>21</v>
      </c>
      <c r="I51" t="s">
        <v>204</v>
      </c>
      <c r="J51" s="19">
        <v>0</v>
      </c>
      <c r="K51" t="s">
        <v>205</v>
      </c>
      <c r="L51" t="s">
        <v>55</v>
      </c>
      <c r="M51" t="s">
        <v>55</v>
      </c>
      <c r="N51" t="s">
        <v>55</v>
      </c>
    </row>
    <row r="52" spans="1:14" ht="12.75" customHeight="1" x14ac:dyDescent="0.2">
      <c r="A52" t="s">
        <v>74</v>
      </c>
      <c r="B52" s="18">
        <v>52703</v>
      </c>
      <c r="C52" s="19">
        <v>0</v>
      </c>
      <c r="D52" t="s">
        <v>62</v>
      </c>
      <c r="E52" s="20">
        <v>0</v>
      </c>
      <c r="F52" s="20">
        <v>5</v>
      </c>
      <c r="G52" t="s">
        <v>54</v>
      </c>
      <c r="H52" s="20">
        <v>5</v>
      </c>
      <c r="I52" t="s">
        <v>63</v>
      </c>
      <c r="J52" s="19">
        <v>0</v>
      </c>
      <c r="K52" t="s">
        <v>206</v>
      </c>
      <c r="L52" t="s">
        <v>55</v>
      </c>
      <c r="M52" t="s">
        <v>55</v>
      </c>
      <c r="N52" t="s">
        <v>55</v>
      </c>
    </row>
    <row r="53" spans="1:14" ht="12.75" customHeight="1" x14ac:dyDescent="0.2">
      <c r="A53" t="s">
        <v>74</v>
      </c>
      <c r="B53" s="18">
        <v>52704</v>
      </c>
      <c r="C53" s="19">
        <v>0</v>
      </c>
      <c r="D53" t="s">
        <v>134</v>
      </c>
      <c r="E53" s="20">
        <v>0</v>
      </c>
      <c r="F53" s="20">
        <v>15</v>
      </c>
      <c r="G53" t="s">
        <v>54</v>
      </c>
      <c r="H53" s="20">
        <v>15</v>
      </c>
      <c r="I53" t="s">
        <v>135</v>
      </c>
      <c r="J53" s="19">
        <v>0</v>
      </c>
      <c r="K53" t="s">
        <v>207</v>
      </c>
      <c r="L53" t="s">
        <v>55</v>
      </c>
      <c r="M53" t="s">
        <v>55</v>
      </c>
      <c r="N53" t="s">
        <v>55</v>
      </c>
    </row>
    <row r="54" spans="1:14" ht="12.75" customHeight="1" x14ac:dyDescent="0.2">
      <c r="A54" t="s">
        <v>74</v>
      </c>
      <c r="B54" s="18">
        <v>52705</v>
      </c>
      <c r="C54" s="19">
        <v>0</v>
      </c>
      <c r="D54" t="s">
        <v>136</v>
      </c>
      <c r="E54" s="20">
        <v>0</v>
      </c>
      <c r="F54" s="20">
        <v>6</v>
      </c>
      <c r="G54" t="s">
        <v>54</v>
      </c>
      <c r="H54" s="20">
        <v>6</v>
      </c>
      <c r="I54" t="s">
        <v>137</v>
      </c>
      <c r="J54" s="19">
        <v>0</v>
      </c>
      <c r="K54" t="s">
        <v>208</v>
      </c>
      <c r="L54" t="s">
        <v>55</v>
      </c>
      <c r="M54" t="s">
        <v>55</v>
      </c>
      <c r="N54" t="s">
        <v>55</v>
      </c>
    </row>
    <row r="55" spans="1:14" ht="12.75" customHeight="1" x14ac:dyDescent="0.2">
      <c r="A55" t="s">
        <v>74</v>
      </c>
      <c r="B55" s="18">
        <v>52706</v>
      </c>
      <c r="C55" s="19">
        <v>0</v>
      </c>
      <c r="D55" t="s">
        <v>138</v>
      </c>
      <c r="E55" s="20">
        <v>0</v>
      </c>
      <c r="F55" s="20">
        <v>12</v>
      </c>
      <c r="G55" t="s">
        <v>54</v>
      </c>
      <c r="H55" s="20">
        <v>12</v>
      </c>
      <c r="I55" t="s">
        <v>139</v>
      </c>
      <c r="J55" s="19">
        <v>0</v>
      </c>
      <c r="K55" t="s">
        <v>209</v>
      </c>
      <c r="L55" t="s">
        <v>55</v>
      </c>
      <c r="M55" t="s">
        <v>55</v>
      </c>
      <c r="N55" t="s">
        <v>55</v>
      </c>
    </row>
    <row r="56" spans="1:14" ht="12.75" customHeight="1" x14ac:dyDescent="0.2">
      <c r="A56" t="s">
        <v>64</v>
      </c>
      <c r="B56" s="18">
        <v>52707</v>
      </c>
      <c r="C56" s="19">
        <v>0</v>
      </c>
      <c r="D56" t="s">
        <v>140</v>
      </c>
      <c r="E56" s="20">
        <v>0</v>
      </c>
      <c r="F56" s="20">
        <v>1</v>
      </c>
      <c r="G56" t="s">
        <v>54</v>
      </c>
      <c r="H56" s="20">
        <v>1</v>
      </c>
      <c r="I56" t="s">
        <v>141</v>
      </c>
      <c r="J56" s="19">
        <v>0</v>
      </c>
      <c r="K56" t="s">
        <v>142</v>
      </c>
      <c r="L56" t="s">
        <v>55</v>
      </c>
      <c r="M56" t="s">
        <v>55</v>
      </c>
      <c r="N56" t="s">
        <v>55</v>
      </c>
    </row>
    <row r="57" spans="1:14" ht="12.75" customHeight="1" x14ac:dyDescent="0.2">
      <c r="A57" t="s">
        <v>74</v>
      </c>
      <c r="B57" s="18">
        <v>52708</v>
      </c>
      <c r="C57" s="19">
        <v>0</v>
      </c>
      <c r="D57" t="s">
        <v>143</v>
      </c>
      <c r="E57" s="20">
        <v>0</v>
      </c>
      <c r="F57" s="20">
        <v>1</v>
      </c>
      <c r="G57" t="s">
        <v>54</v>
      </c>
      <c r="H57" s="20">
        <v>1</v>
      </c>
      <c r="I57" t="s">
        <v>144</v>
      </c>
      <c r="J57" s="19">
        <v>0</v>
      </c>
      <c r="K57" t="s">
        <v>145</v>
      </c>
      <c r="L57" t="s">
        <v>55</v>
      </c>
      <c r="M57" t="s">
        <v>55</v>
      </c>
      <c r="N57" t="s">
        <v>55</v>
      </c>
    </row>
    <row r="58" spans="1:14" ht="12.75" customHeight="1" x14ac:dyDescent="0.2">
      <c r="A58" t="s">
        <v>53</v>
      </c>
      <c r="B58" s="18">
        <v>52709</v>
      </c>
      <c r="C58" s="19">
        <v>0</v>
      </c>
      <c r="D58" t="s">
        <v>146</v>
      </c>
      <c r="E58" s="20">
        <v>0</v>
      </c>
      <c r="F58" s="20">
        <v>0</v>
      </c>
      <c r="G58" t="s">
        <v>54</v>
      </c>
      <c r="H58" s="20">
        <v>0</v>
      </c>
      <c r="I58" t="s">
        <v>147</v>
      </c>
      <c r="J58" s="19">
        <v>0</v>
      </c>
      <c r="K58" t="s">
        <v>148</v>
      </c>
      <c r="L58" t="s">
        <v>55</v>
      </c>
      <c r="M58" t="s">
        <v>55</v>
      </c>
      <c r="N58" t="s">
        <v>55</v>
      </c>
    </row>
    <row r="59" spans="1:14" ht="12.75" customHeight="1" x14ac:dyDescent="0.2">
      <c r="A59" t="s">
        <v>130</v>
      </c>
      <c r="B59" s="18">
        <v>52710</v>
      </c>
      <c r="C59" s="19">
        <v>0</v>
      </c>
      <c r="D59" t="s">
        <v>149</v>
      </c>
      <c r="E59" s="20">
        <v>0</v>
      </c>
      <c r="F59" s="20">
        <v>3</v>
      </c>
      <c r="G59" t="s">
        <v>54</v>
      </c>
      <c r="H59" s="20">
        <v>3</v>
      </c>
      <c r="I59" t="s">
        <v>150</v>
      </c>
      <c r="J59" s="19">
        <v>0</v>
      </c>
      <c r="K59" t="s">
        <v>151</v>
      </c>
      <c r="L59" t="s">
        <v>55</v>
      </c>
      <c r="M59" t="s">
        <v>55</v>
      </c>
      <c r="N59" t="s">
        <v>55</v>
      </c>
    </row>
    <row r="60" spans="1:14" ht="12.75" customHeight="1" x14ac:dyDescent="0.2">
      <c r="A60" t="s">
        <v>64</v>
      </c>
      <c r="B60" s="18">
        <v>52711</v>
      </c>
      <c r="C60" s="19">
        <v>0</v>
      </c>
      <c r="D60" t="s">
        <v>152</v>
      </c>
      <c r="E60" s="20">
        <v>0</v>
      </c>
      <c r="F60" s="20">
        <v>14</v>
      </c>
      <c r="G60" t="s">
        <v>54</v>
      </c>
      <c r="H60" s="20">
        <v>14</v>
      </c>
      <c r="I60" t="s">
        <v>153</v>
      </c>
      <c r="J60" s="19">
        <v>0</v>
      </c>
      <c r="K60" t="s">
        <v>154</v>
      </c>
      <c r="L60" t="s">
        <v>55</v>
      </c>
      <c r="M60" t="s">
        <v>55</v>
      </c>
      <c r="N60" t="s">
        <v>55</v>
      </c>
    </row>
    <row r="61" spans="1:14" ht="12.75" customHeight="1" x14ac:dyDescent="0.2">
      <c r="A61" t="s">
        <v>53</v>
      </c>
      <c r="B61" s="18">
        <v>52712</v>
      </c>
      <c r="C61" s="19">
        <v>0</v>
      </c>
      <c r="D61" t="s">
        <v>155</v>
      </c>
      <c r="E61" s="20">
        <v>0</v>
      </c>
      <c r="F61" s="20">
        <v>0</v>
      </c>
      <c r="G61" t="s">
        <v>54</v>
      </c>
      <c r="H61" s="20">
        <v>0</v>
      </c>
      <c r="I61" t="s">
        <v>156</v>
      </c>
      <c r="J61" s="19">
        <v>0</v>
      </c>
      <c r="K61" t="s">
        <v>155</v>
      </c>
      <c r="L61" t="s">
        <v>55</v>
      </c>
      <c r="M61" t="s">
        <v>55</v>
      </c>
      <c r="N61" t="s">
        <v>55</v>
      </c>
    </row>
    <row r="62" spans="1:14" ht="12.75" customHeight="1" x14ac:dyDescent="0.2">
      <c r="A62" t="s">
        <v>64</v>
      </c>
      <c r="B62" s="18">
        <v>52713</v>
      </c>
      <c r="C62" s="19">
        <v>0</v>
      </c>
      <c r="D62" t="s">
        <v>157</v>
      </c>
      <c r="E62" s="20">
        <v>0</v>
      </c>
      <c r="F62" s="20">
        <v>48</v>
      </c>
      <c r="G62" t="s">
        <v>54</v>
      </c>
      <c r="H62" s="20">
        <v>48</v>
      </c>
      <c r="I62" t="s">
        <v>158</v>
      </c>
      <c r="J62" s="19">
        <v>0</v>
      </c>
      <c r="K62" t="s">
        <v>159</v>
      </c>
      <c r="L62" t="s">
        <v>55</v>
      </c>
      <c r="M62" t="s">
        <v>55</v>
      </c>
      <c r="N62" t="s">
        <v>55</v>
      </c>
    </row>
    <row r="63" spans="1:14" ht="12.75" customHeight="1" x14ac:dyDescent="0.2">
      <c r="A63" t="s">
        <v>53</v>
      </c>
      <c r="B63" s="18">
        <v>52714</v>
      </c>
      <c r="C63" s="19">
        <v>0</v>
      </c>
      <c r="D63" t="s">
        <v>160</v>
      </c>
      <c r="E63" s="20">
        <v>0</v>
      </c>
      <c r="F63" s="20">
        <v>0</v>
      </c>
      <c r="G63" t="s">
        <v>54</v>
      </c>
      <c r="H63" s="20">
        <v>0</v>
      </c>
      <c r="I63" t="s">
        <v>161</v>
      </c>
      <c r="J63" s="19">
        <v>0</v>
      </c>
      <c r="K63" t="s">
        <v>160</v>
      </c>
      <c r="L63" t="s">
        <v>55</v>
      </c>
      <c r="M63" t="s">
        <v>55</v>
      </c>
      <c r="N63" t="s">
        <v>55</v>
      </c>
    </row>
    <row r="64" spans="1:14" ht="12.75" customHeight="1" x14ac:dyDescent="0.2">
      <c r="A64" t="s">
        <v>64</v>
      </c>
      <c r="B64" s="18">
        <v>52715</v>
      </c>
      <c r="C64" s="19">
        <v>0</v>
      </c>
      <c r="D64" t="s">
        <v>210</v>
      </c>
      <c r="E64" s="20">
        <v>0</v>
      </c>
      <c r="F64" s="20">
        <v>4</v>
      </c>
      <c r="G64" t="s">
        <v>54</v>
      </c>
      <c r="H64" s="20">
        <v>4</v>
      </c>
      <c r="I64" t="s">
        <v>211</v>
      </c>
      <c r="J64" s="19">
        <v>0</v>
      </c>
      <c r="K64" t="s">
        <v>212</v>
      </c>
      <c r="L64" t="s">
        <v>55</v>
      </c>
      <c r="M64" t="s">
        <v>55</v>
      </c>
      <c r="N64" t="s">
        <v>55</v>
      </c>
    </row>
    <row r="65" spans="1:14" ht="12.75" customHeight="1" x14ac:dyDescent="0.2">
      <c r="A65" t="s">
        <v>53</v>
      </c>
      <c r="B65" s="18">
        <v>52716</v>
      </c>
      <c r="C65" s="19">
        <v>0</v>
      </c>
      <c r="D65" t="s">
        <v>65</v>
      </c>
      <c r="E65" s="20">
        <v>0</v>
      </c>
      <c r="F65" s="20">
        <v>0</v>
      </c>
      <c r="G65" t="s">
        <v>54</v>
      </c>
      <c r="H65" s="20">
        <v>0</v>
      </c>
      <c r="I65" t="s">
        <v>66</v>
      </c>
      <c r="J65" s="19">
        <v>0</v>
      </c>
      <c r="K65" t="s">
        <v>67</v>
      </c>
      <c r="L65" t="s">
        <v>55</v>
      </c>
      <c r="M65" t="s">
        <v>55</v>
      </c>
      <c r="N65" t="s">
        <v>55</v>
      </c>
    </row>
    <row r="66" spans="1:14" ht="12.75" customHeight="1" x14ac:dyDescent="0.2">
      <c r="A66" t="s">
        <v>68</v>
      </c>
      <c r="B66" s="18">
        <v>52717</v>
      </c>
      <c r="C66" s="19">
        <v>0</v>
      </c>
      <c r="D66" t="s">
        <v>69</v>
      </c>
      <c r="E66" s="20">
        <v>0</v>
      </c>
      <c r="F66" s="20">
        <v>5</v>
      </c>
      <c r="G66" t="s">
        <v>54</v>
      </c>
      <c r="H66" s="20">
        <v>5</v>
      </c>
      <c r="I66" t="s">
        <v>70</v>
      </c>
      <c r="J66" s="19">
        <v>0</v>
      </c>
      <c r="K66" t="s">
        <v>71</v>
      </c>
      <c r="L66" t="s">
        <v>55</v>
      </c>
      <c r="M66" t="s">
        <v>55</v>
      </c>
      <c r="N66" t="s">
        <v>55</v>
      </c>
    </row>
    <row r="67" spans="1:14" ht="12.75" customHeight="1" x14ac:dyDescent="0.2"/>
    <row r="68" spans="1:14" ht="12.75" customHeight="1" x14ac:dyDescent="0.2">
      <c r="B68" t="s">
        <v>16</v>
      </c>
      <c r="C68" t="s">
        <v>187</v>
      </c>
      <c r="E68" t="s">
        <v>19</v>
      </c>
      <c r="F68" t="s">
        <v>19</v>
      </c>
      <c r="G68" t="s">
        <v>21</v>
      </c>
      <c r="H68" t="s">
        <v>19</v>
      </c>
      <c r="J68" t="s">
        <v>19</v>
      </c>
    </row>
    <row r="69" spans="1:14" ht="12.75" customHeight="1" x14ac:dyDescent="0.2"/>
    <row r="70" spans="1:14" ht="12.75" customHeight="1" x14ac:dyDescent="0.2"/>
    <row r="71" spans="1:14" ht="12.75" customHeight="1" x14ac:dyDescent="0.2"/>
    <row r="72" spans="1:14" ht="12.75" customHeight="1" x14ac:dyDescent="0.2"/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072-25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4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072-25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8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072-25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.115</v>
      </c>
      <c r="C14" s="40" t="str">
        <f>'Build Plan w Hours'!D9</f>
        <v>Make manway parts: cut clips, form handles, etc.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1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072-25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.120</v>
      </c>
      <c r="C20" s="40" t="str">
        <f>'Build Plan w Hours'!D10</f>
        <v>Burn manway neck (CHECK BEFORE BURNING) - Clean and Bevel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072-25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.125</v>
      </c>
      <c r="C26" s="40" t="str">
        <f>'Build Plan w Hours'!D11</f>
        <v>Roll manway neck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072-25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.130</v>
      </c>
      <c r="C32" s="40" t="str">
        <f>'Build Plan w Hours'!D12</f>
        <v>Set up and weld manway flange and neck seam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072-25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.135</v>
      </c>
      <c r="C38" s="40" t="str">
        <f>'Build Plan w Hours'!D13</f>
        <v>Build davit arm assembly and cover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072-25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.140</v>
      </c>
      <c r="C44" s="40" t="str">
        <f>'Build Plan w Hours'!D14</f>
        <v>Build hatch/door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1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072-25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28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072-25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16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072-25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8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072-25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.170</v>
      </c>
      <c r="C68" s="40" t="str">
        <f>'Build Plan w Hours'!D18</f>
        <v>Roll repads: drill and tap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072-25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072-25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.205</v>
      </c>
      <c r="C80" s="40" t="str">
        <f>'Build Plan w Hours'!D20</f>
        <v>Roll rim angle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072-25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072-25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clean_x000D_
PREP (4) DOUBLE SHELLS &amp; (1) SINGLE SHELL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36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072-25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.315</v>
      </c>
      <c r="C98" s="40" t="str">
        <f>'Build Plan w Hours'!D23</f>
        <v>Roll shells, tack and weld inside seams_x000D_
ROLL (1) DOUBLE &amp; (1) SINGLE SHELL; WELD L/S W COBOT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24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072-25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.350</v>
      </c>
      <c r="C104" s="40" t="str">
        <f>'Build Plan w Hours'!D24</f>
        <v>Build top head/cone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11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072-25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.QC4</v>
      </c>
      <c r="C110" s="40" t="str">
        <f>'Build Plan w Hours'!D25</f>
        <v>QC Inspection - Top/Bottom/Cones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072-25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.355</v>
      </c>
      <c r="C116" s="40" t="str">
        <f>'Build Plan w Hours'!D26</f>
        <v>Lay out top head, burn and clean holes_x000D_
ON BURN TABLE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2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072-25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.365</v>
      </c>
      <c r="C122" s="40" t="str">
        <f>'Build Plan w Hours'!D27</f>
        <v>Set  nozzles, lift lugs, etc. in top head - tack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072-25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.366</v>
      </c>
      <c r="C128" s="40" t="str">
        <f>'Build Plan w Hours'!D28</f>
        <v>Weld out top head nozzles, etc.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6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072-25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.450</v>
      </c>
      <c r="C134" s="40" t="str">
        <f>'Build Plan w Hours'!D29</f>
        <v>Build bottom head/cone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7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072-25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.QC4</v>
      </c>
      <c r="C140" s="40" t="str">
        <f>'Build Plan w Hours'!D30</f>
        <v>QC Inspection - Top/Bottom/Cones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072-25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.600</v>
      </c>
      <c r="C146" s="40" t="str">
        <f>'Build Plan w Hours'!D31</f>
        <v>Fit bottom head to shell_x000D_
AND WELD INSIDE &amp; OUTSIDE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14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072-25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.605</v>
      </c>
      <c r="C152" s="40" t="str">
        <f>'Build Plan w Hours'!D32</f>
        <v>Tack shell courses together_x000D_
(4) DOUBLES &amp; (1) SINGLE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14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072-25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.610</v>
      </c>
      <c r="C158" s="40" t="str">
        <f>'Build Plan w Hours'!D33</f>
        <v>Weld inside round seams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14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072-25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.615</v>
      </c>
      <c r="C164" s="40" t="str">
        <f>'Build Plan w Hours'!D34</f>
        <v>Install rim angle - tack only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12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072-25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.616</v>
      </c>
      <c r="C170" s="40" t="str">
        <f>'Build Plan w Hours'!D35</f>
        <v>Weld rim angle complete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12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072-25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.620</v>
      </c>
      <c r="C176" s="40" t="str">
        <f>'Build Plan w Hours'!D36</f>
        <v>Lay out shell, burn and clean holes_x000D_
ON BURN TABLE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072-25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.QC5</v>
      </c>
      <c r="C182" s="40" t="str">
        <f>'Build Plan w Hours'!D37</f>
        <v>QC Inspection - Internal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072-25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.640</v>
      </c>
      <c r="C188" s="40" t="str">
        <f>'Build Plan w Hours'!D38</f>
        <v>Fit top head to shell - tack_x000D_
AND WELD TO RIM ANGLE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9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072-25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.645</v>
      </c>
      <c r="C194" s="40" t="str">
        <f>'Build Plan w Hours'!D39</f>
        <v>Weld all outside seams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14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072-25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.800</v>
      </c>
      <c r="C200" s="40" t="str">
        <f>'Build Plan w Hours'!D40</f>
        <v>Move tank to detail rolls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3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072-25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.715</v>
      </c>
      <c r="C206" s="40" t="str">
        <f>'Build Plan w Hours'!D41</f>
        <v>Install insulation/vacuum rings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21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072-25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.717</v>
      </c>
      <c r="C212" s="40" t="str">
        <f>'Build Plan w Hours'!D42</f>
        <v>Install lift lugs on shell_x000D_
INCLUDING REPADS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5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072-25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.720</v>
      </c>
      <c r="C218" s="40" t="str">
        <f>'Build Plan w Hours'!D43</f>
        <v>Install supports - legs, lugs, anchors, saddles, skirt_x000D_
AND WELD COMPLETE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15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072-25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.725</v>
      </c>
      <c r="C224" s="40" t="str">
        <f>'Build Plan w Hours'!D44</f>
        <v>Set nozzles in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6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072-25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.726</v>
      </c>
      <c r="C230" s="40" t="str">
        <f>'Build Plan w Hours'!D45</f>
        <v>Weld shell nozzles, manways, etc._x000D_
INCLUDING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072-25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.765</v>
      </c>
      <c r="C236" s="40" t="str">
        <f>'Build Plan w Hours'!D46</f>
        <v>Install name tag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072-25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.770</v>
      </c>
      <c r="C242" s="40" t="str">
        <f>'Build Plan w Hours'!D47</f>
        <v>Inspect tank, make repairs, get QC inspector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1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072-25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.QC6</v>
      </c>
      <c r="C248" s="40" t="str">
        <f>'Build Plan w Hours'!D48</f>
        <v>QC Inspection - Fabrication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072-25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.801</v>
      </c>
      <c r="C254" s="40" t="str">
        <f>'Build Plan w Hours'!D49</f>
        <v>Move to shop test area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3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072-25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.910</v>
      </c>
      <c r="C260" s="40" t="str">
        <f>'Build Plan w Hours'!D50</f>
        <v>Test tank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14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072-25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.QC7</v>
      </c>
      <c r="C266" s="40" t="str">
        <f>'Build Plan w Hours'!D51</f>
        <v>QC Inspection - Test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072-25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.920</v>
      </c>
      <c r="C272" s="40" t="str">
        <f>'Build Plan w Hours'!D52</f>
        <v>Clean tank complete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48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072-25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.QC8</v>
      </c>
      <c r="C278" s="40" t="str">
        <f>'Build Plan w Hours'!D53</f>
        <v>QC Inspection - Clean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072-25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.940</v>
      </c>
      <c r="C284" s="40" t="str">
        <f>'Build Plan w Hours'!D54</f>
        <v>Prepare tank for shipment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4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072-25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.QC95</v>
      </c>
      <c r="C290" s="40" t="str">
        <f>'Build Plan w Hours'!D55</f>
        <v>QC Inspection - Final &amp; Loose Items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072-25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.960</v>
      </c>
      <c r="C296" s="40" t="str">
        <f>'Build Plan w Hours'!D56</f>
        <v>Load on truck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5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072-25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072-25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 t="str">
        <f>'Build Plan w Hours'!E58</f>
        <v/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072-25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072-25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072-25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072-25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072-25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072-25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072-25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072-25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072-25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072-25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072-25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072-25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072-25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072-25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072-25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072-25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072-25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072-25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072-25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072-25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072-25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072-25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072-25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072-25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072-25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072-25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072-25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072-25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072-25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072-25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072-25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.115</v>
      </c>
      <c r="C14" s="40" t="str">
        <f>'Build Plan w Hours'!D9</f>
        <v>Make manway parts: cut clips, form handles, etc.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072-25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.120</v>
      </c>
      <c r="C20" s="40" t="str">
        <f>'Build Plan w Hours'!D10</f>
        <v>Burn manway neck (CHECK BEFORE BURNING) - Clean and Bevel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072-25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.125</v>
      </c>
      <c r="C26" s="40" t="str">
        <f>'Build Plan w Hours'!D11</f>
        <v>Roll manway neck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072-25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.130</v>
      </c>
      <c r="C32" s="40" t="str">
        <f>'Build Plan w Hours'!D12</f>
        <v>Set up and weld manway flange and neck seam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072-25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.135</v>
      </c>
      <c r="C38" s="40" t="str">
        <f>'Build Plan w Hours'!D13</f>
        <v>Build davit arm assembly and cover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072-25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.140</v>
      </c>
      <c r="C44" s="40" t="str">
        <f>'Build Plan w Hours'!D14</f>
        <v>Build hatch/door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072-25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072-25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072-25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072-25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.170</v>
      </c>
      <c r="C68" s="40" t="str">
        <f>'Build Plan w Hours'!D18</f>
        <v>Roll repads: drill and tap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072-25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072-25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.205</v>
      </c>
      <c r="C80" s="40" t="str">
        <f>'Build Plan w Hours'!D20</f>
        <v>Roll rim angle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072-25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072-25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clean_x000D_
PREP (4) DOUBLE SHELLS &amp; (1) SINGLE SHELL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072-25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.315</v>
      </c>
      <c r="C98" s="40" t="str">
        <f>'Build Plan w Hours'!D23</f>
        <v>Roll shells, tack and weld inside seams_x000D_
ROLL (1) DOUBLE &amp; (1) SINGLE SHELL; WELD L/S W COBOT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072-25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.350</v>
      </c>
      <c r="C104" s="40" t="str">
        <f>'Build Plan w Hours'!D24</f>
        <v>Build top head/cone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072-25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.QC4</v>
      </c>
      <c r="C110" s="40" t="str">
        <f>'Build Plan w Hours'!D25</f>
        <v>QC Inspection - Top/Bottom/Cones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072-25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.355</v>
      </c>
      <c r="C116" s="40" t="str">
        <f>'Build Plan w Hours'!D26</f>
        <v>Lay out top head, burn and clean holes_x000D_
ON BURN TABLE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072-25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.365</v>
      </c>
      <c r="C122" s="40" t="str">
        <f>'Build Plan w Hours'!D27</f>
        <v>Set  nozzles, lift lugs, etc. in top head - tack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072-25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.366</v>
      </c>
      <c r="C128" s="40" t="str">
        <f>'Build Plan w Hours'!D28</f>
        <v>Weld out top head nozzles, etc.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072-25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.450</v>
      </c>
      <c r="C134" s="40" t="str">
        <f>'Build Plan w Hours'!D29</f>
        <v>Build bottom head/cone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072-25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.QC4</v>
      </c>
      <c r="C140" s="40" t="str">
        <f>'Build Plan w Hours'!D30</f>
        <v>QC Inspection - Top/Bottom/Cones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072-25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.600</v>
      </c>
      <c r="C146" s="40" t="str">
        <f>'Build Plan w Hours'!D31</f>
        <v>Fit bottom head to shell_x000D_
AND WELD INSIDE &amp; OUTSIDE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072-25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.605</v>
      </c>
      <c r="C152" s="40" t="str">
        <f>'Build Plan w Hours'!D32</f>
        <v>Tack shell courses together_x000D_
(4) DOUBLES &amp; (1) SINGLE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072-25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.610</v>
      </c>
      <c r="C158" s="40" t="str">
        <f>'Build Plan w Hours'!D33</f>
        <v>Weld inside round seams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072-25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.615</v>
      </c>
      <c r="C164" s="40" t="str">
        <f>'Build Plan w Hours'!D34</f>
        <v>Install rim angle - tack only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072-25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.616</v>
      </c>
      <c r="C170" s="40" t="str">
        <f>'Build Plan w Hours'!D35</f>
        <v>Weld rim angle complete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072-25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.620</v>
      </c>
      <c r="C176" s="40" t="str">
        <f>'Build Plan w Hours'!D36</f>
        <v>Lay out shell, burn and clean holes_x000D_
ON BURN TABLE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072-25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.QC5</v>
      </c>
      <c r="C182" s="40" t="str">
        <f>'Build Plan w Hours'!D37</f>
        <v>QC Inspection - Internal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072-25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.640</v>
      </c>
      <c r="C188" s="40" t="str">
        <f>'Build Plan w Hours'!D38</f>
        <v>Fit top head to shell - tack_x000D_
AND WELD TO RIM ANGLE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072-25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.645</v>
      </c>
      <c r="C194" s="40" t="str">
        <f>'Build Plan w Hours'!D39</f>
        <v>Weld all outside seams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072-25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.800</v>
      </c>
      <c r="C200" s="40" t="str">
        <f>'Build Plan w Hours'!D40</f>
        <v>Move tank to detail rolls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072-25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.715</v>
      </c>
      <c r="C206" s="40" t="str">
        <f>'Build Plan w Hours'!D41</f>
        <v>Install insulation/vacuum rings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072-25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.717</v>
      </c>
      <c r="C212" s="40" t="str">
        <f>'Build Plan w Hours'!D42</f>
        <v>Install lift lugs on shell_x000D_
INCLUDING REPADS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072-25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.720</v>
      </c>
      <c r="C218" s="40" t="str">
        <f>'Build Plan w Hours'!D43</f>
        <v>Install supports - legs, lugs, anchors, saddles, skirt_x000D_
AND WELD COMPLETE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072-25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.725</v>
      </c>
      <c r="C224" s="40" t="str">
        <f>'Build Plan w Hours'!D44</f>
        <v>Set nozzles in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072-25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.726</v>
      </c>
      <c r="C230" s="40" t="str">
        <f>'Build Plan w Hours'!D45</f>
        <v>Weld shell nozzles, manways, etc._x000D_
INCLUDING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072-25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.765</v>
      </c>
      <c r="C236" s="40" t="str">
        <f>'Build Plan w Hours'!D46</f>
        <v>Install name tag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072-25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.770</v>
      </c>
      <c r="C242" s="40" t="str">
        <f>'Build Plan w Hours'!D47</f>
        <v>Inspect tank, make repairs, get QC inspector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072-25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.QC6</v>
      </c>
      <c r="C248" s="40" t="str">
        <f>'Build Plan w Hours'!D48</f>
        <v>QC Inspection - Fabrication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072-25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.801</v>
      </c>
      <c r="C254" s="40" t="str">
        <f>'Build Plan w Hours'!D49</f>
        <v>Move to shop test area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072-25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.910</v>
      </c>
      <c r="C260" s="40" t="str">
        <f>'Build Plan w Hours'!D50</f>
        <v>Test tank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072-25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.QC7</v>
      </c>
      <c r="C266" s="40" t="str">
        <f>'Build Plan w Hours'!D51</f>
        <v>QC Inspection - Test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072-25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.920</v>
      </c>
      <c r="C272" s="40" t="str">
        <f>'Build Plan w Hours'!D52</f>
        <v>Clean tank complete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072-25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.QC8</v>
      </c>
      <c r="C278" s="40" t="str">
        <f>'Build Plan w Hours'!D53</f>
        <v>QC Inspection - Clean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072-25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.940</v>
      </c>
      <c r="C284" s="40" t="str">
        <f>'Build Plan w Hours'!D54</f>
        <v>Prepare tank for shipment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072-25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.QC95</v>
      </c>
      <c r="C290" s="40" t="str">
        <f>'Build Plan w Hours'!D55</f>
        <v>QC Inspection - Final &amp; Loose Items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072-25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.960</v>
      </c>
      <c r="C296" s="40" t="str">
        <f>'Build Plan w Hours'!D56</f>
        <v>Load on truck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072-25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072-25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072-25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072-25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072-25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072-25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072-25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072-25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072-25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072-25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072-25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072-25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072-25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072-25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072-25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072-25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072-25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072-25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072-25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072-25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072-25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072-25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072-25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072-25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072-25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072-25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072-25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072-25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072-25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072-25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072-25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072-25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2025-07-24T14:55:34Z</cp:lastPrinted>
  <dcterms:created xsi:type="dcterms:W3CDTF">2016-06-28T20:53:17Z</dcterms:created>
  <dcterms:modified xsi:type="dcterms:W3CDTF">2025-07-24T14:56:08Z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