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5-24 - Kemira - Oxidizer\"/>
    </mc:Choice>
  </mc:AlternateContent>
  <xr:revisionPtr revIDLastSave="0" documentId="8_{520E815F-8CB6-405F-A47F-121C92AA031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Hours'!$A$1:$H$85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<sst xmlns="http://schemas.openxmlformats.org/spreadsheetml/2006/main" count="1934" uniqueCount="292">
  <si>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</si>
  <si>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</si>
  <si>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</si>
  <si>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</si>
  <si>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</si>
  <si>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</si>
  <si>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</si>
  <si>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</si>
  <si>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</si>
  <si>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</si>
  <si>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</si>
  <si>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</si>
  <si>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</si>
  <si>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</si>
  <si>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</si>
  <si>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</si>
  <si>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</si>
  <si>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</si>
  <si>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</si>
  <si>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</si>
  <si>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</si>
  <si>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</si>
  <si>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</si>
  <si>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</si>
  <si>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</si>
  <si>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</si>
  <si>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</si>
  <si>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</si>
  <si>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</si>
  <si>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</si>
  <si>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</si>
  <si>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</si>
  <si>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</si>
  <si>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</si>
  <si>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</si>
  <si>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</si>
  <si>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</si>
  <si>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</si>
  <si>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</si>
  <si>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</si>
  <si>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</si>
  <si>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</si>
  <si>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</si>
  <si>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</si>
  <si>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</si>
  <si>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</si>
  <si>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</si>
  <si>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</si>
  <si>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</si>
  <si>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</si>
  <si>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</si>
  <si>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</si>
  <si>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</si>
  <si>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</si>
  <si>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</si>
  <si>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</si>
  <si>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</si>
  <si>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</si>
  <si>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</si>
  <si>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</si>
  <si>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</si>
  <si>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</si>
  <si>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</si>
  <si>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</si>
  <si>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</si>
  <si>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</si>
  <si>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</si>
  <si>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</si>
  <si>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</si>
  <si>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</si>
  <si>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</si>
  <si>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</si>
  <si>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</si>
  <si>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</si>
  <si>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</si>
  <si>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</si>
  <si>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</si>
  <si>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</si>
  <si>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</si>
  <si>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</si>
  <si>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</si>
  <si>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</si>
  <si>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</si>
  <si>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</si>
  <si>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</si>
  <si>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</si>
  <si>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</si>
  <si>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</si>
  <si>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</si>
  <si>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</si>
  <si>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</si>
  <si>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</si>
  <si>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</si>
  <si>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</si>
  <si>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</si>
  <si>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</si>
  <si>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</si>
  <si>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</si>
  <si>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</si>
  <si>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</si>
  <si>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</si>
  <si>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</si>
  <si>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</si>
  <si>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</si>
  <si>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</si>
  <si>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</si>
  <si>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</si>
  <si>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</si>
  <si>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</si>
  <si>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</si>
  <si>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</si>
  <si>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</si>
  <si>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</si>
  <si>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</si>
  <si>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</si>
  <si>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</si>
  <si>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</si>
  <si>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</si>
  <si>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</si>
  <si>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</si>
  <si>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</si>
  <si>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</si>
  <si>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</si>
  <si>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</si>
  <si>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</si>
  <si>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</si>
  <si>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</si>
  <si>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</si>
  <si>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</si>
  <si>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</si>
  <si>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</si>
  <si>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</si>
  <si>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</si>
  <si>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</si>
  <si>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</si>
  <si>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</si>
  <si>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</si>
  <si>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</si>
  <si>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</si>
  <si>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</si>
  <si>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</si>
  <si>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</si>
  <si>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</si>
  <si>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</si>
  <si>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</si>
  <si>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</si>
  <si>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</si>
  <si>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</si>
  <si>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</si>
  <si>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</si>
  <si>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</si>
  <si>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</si>
  <si>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</si>
  <si>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</si>
  <si>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</si>
  <si>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</si>
  <si>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</si>
  <si>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</si>
  <si>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</si>
  <si>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</si>
  <si>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</si>
  <si>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</si>
  <si>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</si>
  <si>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</si>
  <si>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</si>
  <si>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</si>
  <si>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</si>
  <si>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</si>
  <si>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</si>
  <si>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</si>
  <si>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</si>
  <si>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Build Repads for Nozzles</t>
  </si>
  <si>
    <t>.107</t>
  </si>
  <si>
    <t>Build Repads for Nozzles, drill and tap holes</t>
  </si>
  <si>
    <t>Fab Miscellaneous Parts</t>
  </si>
  <si>
    <t>.252</t>
  </si>
  <si>
    <t>OXIDIZER</t>
  </si>
  <si>
    <t>4503099723</t>
  </si>
  <si>
    <t>8670.2</t>
  </si>
  <si>
    <t>Cut Parts on Burn Table</t>
  </si>
  <si>
    <t>Clean &amp; Prep Parts</t>
  </si>
  <si>
    <t>.156</t>
  </si>
  <si>
    <t>Build supports: legs, lugs, saddles</t>
  </si>
  <si>
    <t>Roll repads: drill and tap</t>
  </si>
  <si>
    <t>Fabricate miscellaneous parts_x000D_
LADDER CLIPS &amp; PLATFORM CLIPS</t>
  </si>
  <si>
    <t>Misc Fabrication</t>
  </si>
  <si>
    <t>.261</t>
  </si>
  <si>
    <t>Miscellaneous Fabrication - Braces, Mounting Plates, Cone Outlet Necks_x000D_
CUT/MAKE PARTS FOR BRACING</t>
  </si>
  <si>
    <t>Cut, Build Ladder Parts</t>
  </si>
  <si>
    <t>.262</t>
  </si>
  <si>
    <t>Cut/make parts for ladder: rungs, rails, etc.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</si>
  <si>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</si>
  <si>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</si>
  <si>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</si>
  <si>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</si>
  <si>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</si>
  <si>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</si>
  <si>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</si>
  <si>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</si>
  <si>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</si>
  <si>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</si>
  <si>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</si>
  <si>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</si>
  <si>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</si>
  <si>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</si>
  <si>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</si>
  <si>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</si>
  <si>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</si>
  <si>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</si>
  <si>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</si>
  <si>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</si>
  <si>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</si>
  <si>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</si>
  <si>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</si>
  <si>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</si>
  <si>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</si>
  <si>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</si>
  <si>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</si>
  <si>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</si>
  <si>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</si>
  <si>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</si>
  <si>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Wrap Top &amp; Bottom Heads</t>
  </si>
  <si>
    <t>.300</t>
  </si>
  <si>
    <t>Wrap top and bottom heads</t>
  </si>
  <si>
    <t>Shells: bring in plate, square, trim and clean_x000D_
PREP (6) SHELL COURSES AND GRIND WELDS FLUSH.</t>
  </si>
  <si>
    <t>Bevel Shell Plates</t>
  </si>
  <si>
    <t>.310</t>
  </si>
  <si>
    <t>Bevel shell plates</t>
  </si>
  <si>
    <t>Roll shells, tack and weld inside seams_x000D_
WELD INSIDE SEAMS</t>
  </si>
  <si>
    <t>Lay out top head, burn and clean holes_x000D_
ON BURN TABLE</t>
  </si>
  <si>
    <t>Bevel Top Head</t>
  </si>
  <si>
    <t>.360</t>
  </si>
  <si>
    <t>Bevel top head_x000D_
PREP NOZZLE HOLES FOR FULL PEN WELDS</t>
  </si>
  <si>
    <t>L/O Bottom, B&amp;C Holes</t>
  </si>
  <si>
    <t>.455</t>
  </si>
  <si>
    <t>Lay out bottom head, burn and clean holes_x000D_
ON BURN TABLE</t>
  </si>
  <si>
    <t>Bevel Bottom Head</t>
  </si>
  <si>
    <t>.460</t>
  </si>
  <si>
    <t>Bevel bottom head_x000D_
PREP NOZZLE HOLES FOR FULL PEN WELDS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</si>
  <si>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</si>
  <si>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</si>
  <si>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</si>
  <si>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</si>
  <si>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</si>
  <si>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</si>
  <si>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I&amp;W Bottom Repads</t>
  </si>
  <si>
    <t>.470</t>
  </si>
  <si>
    <t>Install and weld out repads - bottom head</t>
  </si>
  <si>
    <t>ASME Hold Point</t>
  </si>
  <si>
    <t>.OI1</t>
  </si>
  <si>
    <t>Fit bottom head to shell</t>
  </si>
  <si>
    <t>Tack shell courses together</t>
  </si>
  <si>
    <t>Weld inside round seams</t>
  </si>
  <si>
    <t>Lay out shell, burn and clean holes_x000D_
PREP NOZZLE HOLES; LAYOUT SHELL FOR LADDER CLIPS</t>
  </si>
  <si>
    <t>Fit top head to shell - tack</t>
  </si>
  <si>
    <t>Weld top to shell</t>
  </si>
  <si>
    <t>.641</t>
  </si>
  <si>
    <t>Weld top head to shell - inside_x000D_
INCL HOLE WATCH</t>
  </si>
  <si>
    <t>Weld all Outside Seams</t>
  </si>
  <si>
    <t>.645</t>
  </si>
  <si>
    <t>Weld all outside seams</t>
  </si>
  <si>
    <t>Install lift lugs on shell</t>
  </si>
  <si>
    <t>Install supports - legs, lugs, anchors, saddles, skirt</t>
  </si>
  <si>
    <t>Set nozzles in shell - tack</t>
  </si>
  <si>
    <t>Weld shell nozzles, manways, etc._x000D_
INCL HOLE WATCH</t>
  </si>
  <si>
    <t>Add Repads-Weld</t>
  </si>
  <si>
    <t>.730</t>
  </si>
  <si>
    <t>Add repads and weld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</si>
  <si>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</si>
  <si>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</si>
  <si>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</si>
  <si>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</si>
  <si>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</si>
  <si>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</si>
  <si>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</si>
  <si>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</si>
  <si>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</si>
  <si>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ASME Inspection Internal</t>
  </si>
  <si>
    <t>.OI2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</si>
  <si>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</si>
  <si>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</si>
  <si>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</si>
  <si>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</si>
  <si>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</si>
  <si>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</si>
  <si>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</si>
  <si>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</si>
  <si>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</si>
  <si>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QC Inspection - Ret Com</t>
  </si>
  <si>
    <t>.QC21</t>
  </si>
  <si>
    <t>QC Inspection - Returned Components from Subcontractor</t>
  </si>
  <si>
    <t>005-24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</si>
</sst>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8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291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OXIDIZER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10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27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4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16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20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24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</v>
      </c>
      <c r="E19" s="13">
        <f>'Sheet2-PASTE HERE!'!F29</f>
        <v>16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</v>
      </c>
      <c r="E20" s="13">
        <f>'Sheet2-PASTE HERE!'!F30</f>
        <v>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.252</v>
      </c>
      <c r="D22" s="22" t="str">
        <f>'Sheet2-PASTE HERE!'!K32</f>
        <v>Fabricate miscellaneous parts_x000D_
LADDER CLIPS &amp; PLATFORM CLIPS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.261</v>
      </c>
      <c r="D23" s="22" t="str">
        <f>'Sheet2-PASTE HERE!'!K33</f>
        <v>Miscellaneous Fabrication - Braces, Mounting Plates, Cone Outlet Necks_x000D_
CUT/MAKE PARTS FOR BRACING</v>
      </c>
      <c r="E23" s="13">
        <f>'Sheet2-PASTE HERE!'!F33</f>
        <v>6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.262</v>
      </c>
      <c r="D24" s="22" t="str">
        <f>'Sheet2-PASTE HERE!'!K34</f>
        <v>Cut/make parts for ladder: rungs, rails, etc.</v>
      </c>
      <c r="E24" s="13">
        <f>'Sheet2-PASTE HERE!'!F34</f>
        <v>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15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</v>
      </c>
      <c r="E27" s="13">
        <f>'Sheet2-PASTE HERE!'!F37</f>
        <v>7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</v>
      </c>
      <c r="E29" s="13">
        <f>'Sheet2-PASTE HERE!'!F39</f>
        <v>18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.285</v>
      </c>
      <c r="D30" s="22" t="str">
        <f>'Sheet2-PASTE HERE!'!K40</f>
        <v>Cut/Build parts for platform</v>
      </c>
      <c r="E30" s="13">
        <f>'Sheet2-PASTE HERE!'!F40</f>
        <v>8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.290</v>
      </c>
      <c r="D31" s="22" t="str">
        <f>'Sheet2-PASTE HERE!'!K41</f>
        <v>Burn grating for platforms, clean and band</v>
      </c>
      <c r="E31" s="13">
        <f>'Sheet2-PASTE HERE!'!F41</f>
        <v>8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.292</v>
      </c>
      <c r="D32" s="22" t="str">
        <f>'Sheet2-PASTE HERE!'!K42</f>
        <v>Build platform - weld out</v>
      </c>
      <c r="E32" s="13">
        <f>'Sheet2-PASTE HERE!'!F42</f>
        <v>25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.295</v>
      </c>
      <c r="D33" s="22" t="str">
        <f>'Sheet2-PASTE HERE!'!K43</f>
        <v>Mount handrail on platform</v>
      </c>
      <c r="E33" s="13">
        <f>'Sheet2-PASTE HERE!'!F43</f>
        <v>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.QC2</v>
      </c>
      <c r="D34" s="22" t="str">
        <f>'Sheet2-PASTE HERE!'!K44</f>
        <v>QC Inspection - Components prior to shipping to Subcontractor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.300</v>
      </c>
      <c r="D35" s="22" t="str">
        <f>'Sheet2-PASTE HERE!'!K45</f>
        <v>Wrap top and bottom heads</v>
      </c>
      <c r="E35" s="13">
        <f>'Sheet2-PASTE HERE!'!F45</f>
        <v>2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.QC3</v>
      </c>
      <c r="D36" s="22" t="str">
        <f>'Sheet2-PASTE HERE!'!K46</f>
        <v>UT Shells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.305</v>
      </c>
      <c r="D37" s="22" t="str">
        <f>'Sheet2-PASTE HERE!'!K47</f>
        <v>Shells: bring in plate, square, trim and clean_x000D_
PREP (6) SHELL COURSES AND GRIND WELDS FLUSH.</v>
      </c>
      <c r="E37" s="13">
        <f>'Sheet2-PASTE HERE!'!F47</f>
        <v>48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.310</v>
      </c>
      <c r="D38" s="22" t="str">
        <f>'Sheet2-PASTE HERE!'!K48</f>
        <v>Bevel shell plates</v>
      </c>
      <c r="E38" s="13">
        <f>'Sheet2-PASTE HERE!'!F48</f>
        <v>80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.315</v>
      </c>
      <c r="D39" s="22" t="str">
        <f>'Sheet2-PASTE HERE!'!K49</f>
        <v>Roll shells, tack and weld inside seams_x000D_
WELD INSIDE SEAMS</v>
      </c>
      <c r="E39" s="13">
        <f>'Sheet2-PASTE HERE!'!F49</f>
        <v>18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.QC4</v>
      </c>
      <c r="D40" s="22" t="str">
        <f>'Sheet2-PASTE HERE!'!K50</f>
        <v>QC Inspection - Top/Bottom/Cones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.355</v>
      </c>
      <c r="D41" s="22" t="str">
        <f>'Sheet2-PASTE HERE!'!K51</f>
        <v>Lay out top head, burn and clean holes_x000D_
ON BURN TABLE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.360</v>
      </c>
      <c r="D42" s="22" t="str">
        <f>'Sheet2-PASTE HERE!'!K52</f>
        <v>Bevel top head_x000D_
PREP NOZZLE HOLES FOR FULL PEN WELDS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.365</v>
      </c>
      <c r="D43" s="22" t="str">
        <f>'Sheet2-PASTE HERE!'!K53</f>
        <v>Set  nozzles, lift lugs, etc. in top head - tack</v>
      </c>
      <c r="E43" s="13">
        <f>'Sheet2-PASTE HERE!'!F53</f>
        <v>3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.366</v>
      </c>
      <c r="D44" s="22" t="str">
        <f>'Sheet2-PASTE HERE!'!K54</f>
        <v>Weld out top head nozzles, etc.</v>
      </c>
      <c r="E44" s="13">
        <f>'Sheet2-PASTE HERE!'!F54</f>
        <v>9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holes_x000D_
ON BURN TABLE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PRE FAB</v>
      </c>
      <c r="B47" s="11"/>
      <c r="C47" s="17" t="str">
        <f>'Sheet2-PASTE HERE!'!I57</f>
        <v>.460</v>
      </c>
      <c r="D47" s="22" t="str">
        <f>'Sheet2-PASTE HERE!'!K57</f>
        <v>Bevel bottom head_x000D_
PREP NOZZLE HOLES FOR FULL PEN WELDS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PRE FAB</v>
      </c>
      <c r="B48" s="11"/>
      <c r="C48" s="17" t="str">
        <f>'Sheet2-PASTE HERE!'!I58</f>
        <v>.465</v>
      </c>
      <c r="D48" s="22" t="str">
        <f>'Sheet2-PASTE HERE!'!K58</f>
        <v>Set  nozzles in bottom head - tack</v>
      </c>
      <c r="E48" s="13">
        <f>'Sheet2-PASTE HERE!'!F58</f>
        <v>3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PRE FAB</v>
      </c>
      <c r="B49" s="11"/>
      <c r="C49" s="17" t="str">
        <f>'Sheet2-PASTE HERE!'!I59</f>
        <v>.466</v>
      </c>
      <c r="D49" s="22" t="str">
        <f>'Sheet2-PASTE HERE!'!K59</f>
        <v>Weld nozzles in bottom head; weld complete</v>
      </c>
      <c r="E49" s="13">
        <f>'Sheet2-PASTE HERE!'!F59</f>
        <v>8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PRE FAB</v>
      </c>
      <c r="B50" s="11"/>
      <c r="C50" s="17" t="str">
        <f>'Sheet2-PASTE HERE!'!I60</f>
        <v>.470</v>
      </c>
      <c r="D50" s="22" t="str">
        <f>'Sheet2-PASTE HERE!'!K60</f>
        <v>Install and weld out repads - bottom head</v>
      </c>
      <c r="E50" s="13">
        <f>'Sheet2-PASTE HERE!'!F60</f>
        <v>5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.OI1</v>
      </c>
      <c r="D51" s="22" t="str">
        <f>'Sheet2-PASTE HERE!'!K61</f>
        <v>ASME Hold Point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1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.600</v>
      </c>
      <c r="D52" s="22" t="str">
        <f>'Sheet2-PASTE HERE!'!K62</f>
        <v>Fit bottom head to shell</v>
      </c>
      <c r="E52" s="13">
        <f>'Sheet2-PASTE HERE!'!F62</f>
        <v>8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.605</v>
      </c>
      <c r="D53" s="22" t="str">
        <f>'Sheet2-PASTE HERE!'!K63</f>
        <v>Tack shell courses together</v>
      </c>
      <c r="E53" s="13">
        <f>'Sheet2-PASTE HERE!'!F63</f>
        <v>40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.610</v>
      </c>
      <c r="D54" s="22" t="str">
        <f>'Sheet2-PASTE HERE!'!K64</f>
        <v>Weld inside round seams</v>
      </c>
      <c r="E54" s="13">
        <f>'Sheet2-PASTE HERE!'!F64</f>
        <v>60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.620</v>
      </c>
      <c r="D55" s="22" t="str">
        <f>'Sheet2-PASTE HERE!'!K65</f>
        <v>Lay out shell, burn and clean holes_x000D_
PREP NOZZLE HOLES; LAYOUT SHELL FOR LADDER CLIPS</v>
      </c>
      <c r="E55" s="13">
        <f>'Sheet2-PASTE HERE!'!F65</f>
        <v>12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.QC5</v>
      </c>
      <c r="D56" s="22" t="str">
        <f>'Sheet2-PASTE HERE!'!K66</f>
        <v>QC Inspection - Internal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.640</v>
      </c>
      <c r="D57" s="22" t="str">
        <f>'Sheet2-PASTE HERE!'!K67</f>
        <v>Fit top head to shell - tack</v>
      </c>
      <c r="E57" s="13">
        <f>'Sheet2-PASTE HERE!'!F67</f>
        <v>10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.641</v>
      </c>
      <c r="D58" s="22" t="str">
        <f>'Sheet2-PASTE HERE!'!K68</f>
        <v>Weld top head to shell - inside_x000D_
INCL HOLE WATCH</v>
      </c>
      <c r="E58" s="13">
        <f>'Sheet2-PASTE HERE!'!F68</f>
        <v>20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.645</v>
      </c>
      <c r="D59" s="22" t="str">
        <f>'Sheet2-PASTE HERE!'!K69</f>
        <v>Weld all outside seams</v>
      </c>
      <c r="E59" s="13">
        <f>'Sheet2-PASTE HERE!'!F69</f>
        <v>94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MOVE TANK</v>
      </c>
      <c r="B60" s="11"/>
      <c r="C60" s="17" t="str">
        <f>'Sheet2-PASTE HERE!'!I70</f>
        <v>.800</v>
      </c>
      <c r="D60" s="22" t="str">
        <f>'Sheet2-PASTE HERE!'!K70</f>
        <v>Move tank to detail rolls</v>
      </c>
      <c r="E60" s="13">
        <f>'Sheet2-PASTE HERE!'!F70</f>
        <v>5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.717</v>
      </c>
      <c r="D61" s="22" t="str">
        <f>'Sheet2-PASTE HERE!'!K71</f>
        <v>Install lift lugs on shell</v>
      </c>
      <c r="E61" s="13">
        <f>'Sheet2-PASTE HERE!'!F71</f>
        <v>4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.720</v>
      </c>
      <c r="D62" s="22" t="str">
        <f>'Sheet2-PASTE HERE!'!K72</f>
        <v>Install supports - legs, lugs, anchors, saddles, skirt</v>
      </c>
      <c r="E62" s="13">
        <f>'Sheet2-PASTE HERE!'!F72</f>
        <v>80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.725</v>
      </c>
      <c r="D63" s="22" t="str">
        <f>'Sheet2-PASTE HERE!'!K73</f>
        <v>Set nozzles in shell - tack</v>
      </c>
      <c r="E63" s="13">
        <f>'Sheet2-PASTE HERE!'!F73</f>
        <v>13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.726</v>
      </c>
      <c r="D64" s="22" t="str">
        <f>'Sheet2-PASTE HERE!'!K74</f>
        <v>Weld shell nozzles, manways, etc._x000D_
INCL HOLE WATCH</v>
      </c>
      <c r="E64" s="13">
        <f>'Sheet2-PASTE HERE!'!F74</f>
        <v>40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.730</v>
      </c>
      <c r="D65" s="22" t="str">
        <f>'Sheet2-PASTE HERE!'!K75</f>
        <v>Add repads and weld</v>
      </c>
      <c r="E65" s="13">
        <f>'Sheet2-PASTE HERE!'!F75</f>
        <v>5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.750</v>
      </c>
      <c r="D66" s="22" t="str">
        <f>'Sheet2-PASTE HERE!'!K76</f>
        <v>Fit handrail - install and weld clips</v>
      </c>
      <c r="E66" s="13">
        <f>'Sheet2-PASTE HERE!'!F76</f>
        <v>8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.755</v>
      </c>
      <c r="D67" s="22" t="str">
        <f>'Sheet2-PASTE HERE!'!K77</f>
        <v>Fit ladder - install and weld clips</v>
      </c>
      <c r="E67" s="13">
        <f>'Sheet2-PASTE HERE!'!F77</f>
        <v>10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FIT</v>
      </c>
      <c r="B68" s="11"/>
      <c r="C68" s="17" t="str">
        <f>'Sheet2-PASTE HERE!'!I78</f>
        <v>.760</v>
      </c>
      <c r="D68" s="22" t="str">
        <f>'Sheet2-PASTE HERE!'!K78</f>
        <v>Fit platform - install and weld clips, bracing, etc.</v>
      </c>
      <c r="E68" s="13">
        <f>'Sheet2-PASTE HERE!'!F78</f>
        <v>32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.765</v>
      </c>
      <c r="D69" s="22" t="str">
        <f>'Sheet2-PASTE HERE!'!K79</f>
        <v>Install name tag</v>
      </c>
      <c r="E69" s="13">
        <f>'Sheet2-PASTE HERE!'!F79</f>
        <v>1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FIT</v>
      </c>
      <c r="B70" s="11"/>
      <c r="C70" s="17" t="str">
        <f>'Sheet2-PASTE HERE!'!I80</f>
        <v>.770</v>
      </c>
      <c r="D70" s="22" t="str">
        <f>'Sheet2-PASTE HERE!'!K80</f>
        <v>Inspect tank, make repairs, get QC inspector</v>
      </c>
      <c r="E70" s="13">
        <f>'Sheet2-PASTE HERE!'!F80</f>
        <v>2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.QC6</v>
      </c>
      <c r="D71" s="22" t="str">
        <f>'Sheet2-PASTE HERE!'!K81</f>
        <v>QC Inspection - Fabrication</v>
      </c>
      <c r="E71" s="13">
        <f>'Sheet2-PASTE HERE!'!F81</f>
        <v>0</v>
      </c>
      <c r="F71" s="12"/>
      <c r="G71" s="12"/>
      <c r="H71" s="12"/>
      <c r="K71">
        <f t="shared" si="2"/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.OI2</v>
      </c>
      <c r="D72" s="22" t="str">
        <f>'Sheet2-PASTE HERE!'!K82</f>
        <v>ASME Inspection Internal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1</v>
      </c>
    </row>
    <row r="73" spans="1:12" ht="26.25" customHeight="1" x14ac:dyDescent="0.2">
      <c r="A73" s="10" t="str">
        <f>'Sheet2-PASTE HERE!'!A83</f>
        <v>MOVE TANK</v>
      </c>
      <c r="B73" s="11"/>
      <c r="C73" s="17" t="str">
        <f>'Sheet2-PASTE HERE!'!I83</f>
        <v>.801</v>
      </c>
      <c r="D73" s="22" t="str">
        <f>'Sheet2-PASTE HERE!'!K83</f>
        <v>Move to shop test area</v>
      </c>
      <c r="E73" s="13">
        <f>'Sheet2-PASTE HERE!'!F83</f>
        <v>5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.910</v>
      </c>
      <c r="D74" s="22" t="str">
        <f>'Sheet2-PASTE HERE!'!K84</f>
        <v>Test tank</v>
      </c>
      <c r="E74" s="13">
        <f>'Sheet2-PASTE HERE!'!F84</f>
        <v>30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.QC7</v>
      </c>
      <c r="D75" s="22" t="str">
        <f>'Sheet2-PASTE HERE!'!K85</f>
        <v>QC Inspection - Test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.OI3</v>
      </c>
      <c r="D76" s="22" t="str">
        <f>'Sheet2-PASTE HERE!'!K86</f>
        <v>ASME Inspection Test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1</v>
      </c>
    </row>
    <row r="77" spans="1:12" ht="26.25" customHeight="1" x14ac:dyDescent="0.2">
      <c r="A77" s="10" t="str">
        <f>'Sheet2-PASTE HERE!'!A87</f>
        <v>FINISHING</v>
      </c>
      <c r="B77" s="11"/>
      <c r="C77" s="17" t="str">
        <f>'Sheet2-PASTE HERE!'!I87</f>
        <v>.920</v>
      </c>
      <c r="D77" s="22" t="str">
        <f>'Sheet2-PASTE HERE!'!K87</f>
        <v>Clean tank complete</v>
      </c>
      <c r="E77" s="13">
        <f>'Sheet2-PASTE HERE!'!F87</f>
        <v>40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INSPECTION</v>
      </c>
      <c r="B78" s="11"/>
      <c r="C78" s="17" t="str">
        <f>'Sheet2-PASTE HERE!'!I88</f>
        <v>.QC8</v>
      </c>
      <c r="D78" s="22" t="str">
        <f>'Sheet2-PASTE HERE!'!K88</f>
        <v>QC Inspection - Clean</v>
      </c>
      <c r="E78" s="13">
        <f>'Sheet2-PASTE HERE!'!F88</f>
        <v>0</v>
      </c>
      <c r="F78" s="12"/>
      <c r="G78" s="12"/>
      <c r="H78" s="12"/>
      <c r="K78">
        <f t="shared" si="2"/>
        <v>1</v>
      </c>
      <c r="L78">
        <f t="shared" si="3"/>
        <v>0</v>
      </c>
    </row>
    <row r="79" spans="1:12" ht="26.25" customHeight="1" x14ac:dyDescent="0.2">
      <c r="A79" s="10" t="str">
        <f>'Sheet2-PASTE HERE!'!A89</f>
        <v>FINISHING</v>
      </c>
      <c r="B79" s="11"/>
      <c r="C79" s="17" t="str">
        <f>'Sheet2-PASTE HERE!'!I89</f>
        <v>.940</v>
      </c>
      <c r="D79" s="22" t="str">
        <f>'Sheet2-PASTE HERE!'!K89</f>
        <v>Prepare tank for shipment</v>
      </c>
      <c r="E79" s="13">
        <f>'Sheet2-PASTE HERE!'!F89</f>
        <v>2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FINISHING</v>
      </c>
      <c r="B80" s="11"/>
      <c r="C80" s="17" t="str">
        <f>'Sheet2-PASTE HERE!'!I90</f>
        <v>.950</v>
      </c>
      <c r="D80" s="22" t="str">
        <f>'Sheet2-PASTE HERE!'!K90</f>
        <v>Check bill of materials and pack loose parts</v>
      </c>
      <c r="E80" s="13">
        <f>'Sheet2-PASTE HERE!'!F90</f>
        <v>5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 t="str">
        <f>'Sheet2-PASTE HERE!'!A91</f>
        <v>INSPECTION</v>
      </c>
      <c r="B81" s="11"/>
      <c r="C81" s="17" t="str">
        <f>'Sheet2-PASTE HERE!'!I91</f>
        <v>.QC95</v>
      </c>
      <c r="D81" s="22" t="str">
        <f>'Sheet2-PASTE HERE!'!K91</f>
        <v>QC Inspection - Final &amp; Loose Items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1</v>
      </c>
      <c r="L81">
        <f t="shared" si="3"/>
        <v>0</v>
      </c>
    </row>
    <row r="82" spans="1:12" ht="26.25" customHeight="1" x14ac:dyDescent="0.2">
      <c r="A82" s="10" t="str">
        <f>'Sheet2-PASTE HERE!'!A92</f>
        <v>SHIPPING</v>
      </c>
      <c r="B82" s="11"/>
      <c r="C82" s="17" t="str">
        <f>'Sheet2-PASTE HERE!'!I92</f>
        <v>.960</v>
      </c>
      <c r="D82" s="22" t="str">
        <f>'Sheet2-PASTE HERE!'!K92</f>
        <v>Load on truck</v>
      </c>
      <c r="E82" s="13">
        <f>'Sheet2-PASTE HERE!'!F92</f>
        <v>8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 t="str">
        <f>'Sheet2-PASTE HERE!'!A93</f>
        <v>SHIPPING</v>
      </c>
      <c r="B83" s="11"/>
      <c r="C83" s="17" t="str">
        <f>'Sheet2-PASTE HERE!'!I93</f>
        <v>.970</v>
      </c>
      <c r="D83" s="22" t="str">
        <f>'Sheet2-PASTE HERE!'!K93</f>
        <v>Take parts to galvanizers</v>
      </c>
      <c r="E83" s="13">
        <f>'Sheet2-PASTE HERE!'!F93</f>
        <v>6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 t="str">
        <f>'Sheet2-PASTE HERE!'!A94</f>
        <v>SHIPPING</v>
      </c>
      <c r="B84" s="11"/>
      <c r="C84" s="17" t="str">
        <f>'Sheet2-PASTE HERE!'!I94</f>
        <v>.972</v>
      </c>
      <c r="D84" s="22" t="str">
        <f>'Sheet2-PASTE HERE!'!K94</f>
        <v>Pick up parts from galvanizers</v>
      </c>
      <c r="E84" s="13">
        <f>'Sheet2-PASTE HERE!'!F94</f>
        <v>6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 t="str">
        <f>'Sheet2-PASTE HERE!'!A95</f>
        <v>INSPECTION</v>
      </c>
      <c r="B85" s="11"/>
      <c r="C85" s="17" t="str">
        <f>'Sheet2-PASTE HERE!'!I95</f>
        <v>.QC21</v>
      </c>
      <c r="D85" s="22" t="str">
        <f>'Sheet2-PASTE HERE!'!K95</f>
        <v>QC Inspection - Returned Components from Subcontractor</v>
      </c>
      <c r="E85" s="13">
        <f>'Sheet2-PASTE HERE!'!F95</f>
        <v>0</v>
      </c>
      <c r="F85" s="12"/>
      <c r="G85" s="12"/>
      <c r="H85" s="12"/>
      <c r="K85">
        <f t="shared" si="4"/>
        <v>1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 t="str">
        <f>'Sheet2-PASTE HERE!'!F97</f>
        <v/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291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OXIDIZER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10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27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4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16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20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24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</v>
      </c>
      <c r="E19" s="13">
        <f>'Sheet2-PASTE HERE!'!F29</f>
        <v>16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</v>
      </c>
      <c r="E20" s="13">
        <f>'Sheet2-PASTE HERE!'!F30</f>
        <v>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.252</v>
      </c>
      <c r="D22" s="22" t="str">
        <f>'Sheet2-PASTE HERE!'!K32</f>
        <v>Fabricate miscellaneous parts_x000D_
LADDER CLIPS &amp; PLATFORM CLIPS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.261</v>
      </c>
      <c r="D23" s="22" t="str">
        <f>'Sheet2-PASTE HERE!'!K33</f>
        <v>Miscellaneous Fabrication - Braces, Mounting Plates, Cone Outlet Necks_x000D_
CUT/MAKE PARTS FOR BRACING</v>
      </c>
      <c r="E23" s="13">
        <f>'Sheet2-PASTE HERE!'!F33</f>
        <v>6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.262</v>
      </c>
      <c r="D24" s="22" t="str">
        <f>'Sheet2-PASTE HERE!'!K34</f>
        <v>Cut/make parts for ladder: rungs, rails, etc.</v>
      </c>
      <c r="E24" s="13">
        <f>'Sheet2-PASTE HERE!'!F34</f>
        <v>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15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</v>
      </c>
      <c r="E27" s="13">
        <f>'Sheet2-PASTE HERE!'!F37</f>
        <v>7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</v>
      </c>
      <c r="E29" s="13">
        <f>'Sheet2-PASTE HERE!'!F39</f>
        <v>18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.285</v>
      </c>
      <c r="D30" s="22" t="str">
        <f>'Sheet2-PASTE HERE!'!K40</f>
        <v>Cut/Build parts for platform</v>
      </c>
      <c r="E30" s="13">
        <f>'Sheet2-PASTE HERE!'!F40</f>
        <v>8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.290</v>
      </c>
      <c r="D31" s="22" t="str">
        <f>'Sheet2-PASTE HERE!'!K41</f>
        <v>Burn grating for platforms, clean and band</v>
      </c>
      <c r="E31" s="13">
        <f>'Sheet2-PASTE HERE!'!F41</f>
        <v>8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.292</v>
      </c>
      <c r="D32" s="22" t="str">
        <f>'Sheet2-PASTE HERE!'!K42</f>
        <v>Build platform - weld out</v>
      </c>
      <c r="E32" s="13">
        <f>'Sheet2-PASTE HERE!'!F42</f>
        <v>25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.295</v>
      </c>
      <c r="D33" s="22" t="str">
        <f>'Sheet2-PASTE HERE!'!K43</f>
        <v>Mount handrail on platform</v>
      </c>
      <c r="E33" s="13">
        <f>'Sheet2-PASTE HERE!'!F43</f>
        <v>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.QC2</v>
      </c>
      <c r="D34" s="22" t="str">
        <f>'Sheet2-PASTE HERE!'!K44</f>
        <v>QC Inspection - Components prior to shipping to Subcontractor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.300</v>
      </c>
      <c r="D35" s="22" t="str">
        <f>'Sheet2-PASTE HERE!'!K45</f>
        <v>Wrap top and bottom heads</v>
      </c>
      <c r="E35" s="13">
        <f>'Sheet2-PASTE HERE!'!F45</f>
        <v>2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.QC3</v>
      </c>
      <c r="D36" s="22" t="str">
        <f>'Sheet2-PASTE HERE!'!K46</f>
        <v>UT Shells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.305</v>
      </c>
      <c r="D37" s="22" t="str">
        <f>'Sheet2-PASTE HERE!'!K47</f>
        <v>Shells: bring in plate, square, trim and clean_x000D_
PREP (6) SHELL COURSES AND GRIND WELDS FLUSH.</v>
      </c>
      <c r="E37" s="13">
        <f>'Sheet2-PASTE HERE!'!F47</f>
        <v>48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.310</v>
      </c>
      <c r="D38" s="22" t="str">
        <f>'Sheet2-PASTE HERE!'!K48</f>
        <v>Bevel shell plates</v>
      </c>
      <c r="E38" s="13">
        <f>'Sheet2-PASTE HERE!'!F48</f>
        <v>80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.315</v>
      </c>
      <c r="D39" s="22" t="str">
        <f>'Sheet2-PASTE HERE!'!K49</f>
        <v>Roll shells, tack and weld inside seams_x000D_
WELD INSIDE SEAMS</v>
      </c>
      <c r="E39" s="13">
        <f>'Sheet2-PASTE HERE!'!F49</f>
        <v>18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.QC4</v>
      </c>
      <c r="D40" s="22" t="str">
        <f>'Sheet2-PASTE HERE!'!K50</f>
        <v>QC Inspection - Top/Bottom/Cones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.355</v>
      </c>
      <c r="D41" s="22" t="str">
        <f>'Sheet2-PASTE HERE!'!K51</f>
        <v>Lay out top head, burn and clean holes_x000D_
ON BURN TABLE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.360</v>
      </c>
      <c r="D42" s="22" t="str">
        <f>'Sheet2-PASTE HERE!'!K52</f>
        <v>Bevel top head_x000D_
PREP NOZZLE HOLES FOR FULL PEN WELDS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.365</v>
      </c>
      <c r="D43" s="22" t="str">
        <f>'Sheet2-PASTE HERE!'!K53</f>
        <v>Set  nozzles, lift lugs, etc. in top head - tack</v>
      </c>
      <c r="E43" s="13">
        <f>'Sheet2-PASTE HERE!'!F53</f>
        <v>3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.366</v>
      </c>
      <c r="D44" s="22" t="str">
        <f>'Sheet2-PASTE HERE!'!K54</f>
        <v>Weld out top head nozzles, etc.</v>
      </c>
      <c r="E44" s="13">
        <f>'Sheet2-PASTE HERE!'!F54</f>
        <v>9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holes_x000D_
ON BURN TABLE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PRE FAB</v>
      </c>
      <c r="B47" s="11"/>
      <c r="C47" s="17" t="str">
        <f>'Sheet2-PASTE HERE!'!I57</f>
        <v>.460</v>
      </c>
      <c r="D47" s="22" t="str">
        <f>'Sheet2-PASTE HERE!'!K57</f>
        <v>Bevel bottom head_x000D_
PREP NOZZLE HOLES FOR FULL PEN WELDS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PRE FAB</v>
      </c>
      <c r="B48" s="11"/>
      <c r="C48" s="17" t="str">
        <f>'Sheet2-PASTE HERE!'!I58</f>
        <v>.465</v>
      </c>
      <c r="D48" s="22" t="str">
        <f>'Sheet2-PASTE HERE!'!K58</f>
        <v>Set  nozzles in bottom head - tack</v>
      </c>
      <c r="E48" s="13">
        <f>'Sheet2-PASTE HERE!'!F58</f>
        <v>3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PRE FAB</v>
      </c>
      <c r="B49" s="11"/>
      <c r="C49" s="17" t="str">
        <f>'Sheet2-PASTE HERE!'!I59</f>
        <v>.466</v>
      </c>
      <c r="D49" s="22" t="str">
        <f>'Sheet2-PASTE HERE!'!K59</f>
        <v>Weld nozzles in bottom head; weld complete</v>
      </c>
      <c r="E49" s="13">
        <f>'Sheet2-PASTE HERE!'!F59</f>
        <v>8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PRE FAB</v>
      </c>
      <c r="B50" s="11"/>
      <c r="C50" s="17" t="str">
        <f>'Sheet2-PASTE HERE!'!I60</f>
        <v>.470</v>
      </c>
      <c r="D50" s="22" t="str">
        <f>'Sheet2-PASTE HERE!'!K60</f>
        <v>Install and weld out repads - bottom head</v>
      </c>
      <c r="E50" s="13">
        <f>'Sheet2-PASTE HERE!'!F60</f>
        <v>5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.OI1</v>
      </c>
      <c r="D51" s="22" t="str">
        <f>'Sheet2-PASTE HERE!'!K61</f>
        <v>ASME Hold Point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1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.600</v>
      </c>
      <c r="D52" s="22" t="str">
        <f>'Sheet2-PASTE HERE!'!K62</f>
        <v>Fit bottom head to shell</v>
      </c>
      <c r="E52" s="13">
        <f>'Sheet2-PASTE HERE!'!F62</f>
        <v>8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.605</v>
      </c>
      <c r="D53" s="22" t="str">
        <f>'Sheet2-PASTE HERE!'!K63</f>
        <v>Tack shell courses together</v>
      </c>
      <c r="E53" s="13">
        <f>'Sheet2-PASTE HERE!'!F63</f>
        <v>40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.610</v>
      </c>
      <c r="D54" s="22" t="str">
        <f>'Sheet2-PASTE HERE!'!K64</f>
        <v>Weld inside round seams</v>
      </c>
      <c r="E54" s="13">
        <f>'Sheet2-PASTE HERE!'!F64</f>
        <v>60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.620</v>
      </c>
      <c r="D55" s="22" t="str">
        <f>'Sheet2-PASTE HERE!'!K65</f>
        <v>Lay out shell, burn and clean holes_x000D_
PREP NOZZLE HOLES; LAYOUT SHELL FOR LADDER CLIPS</v>
      </c>
      <c r="E55" s="13">
        <f>'Sheet2-PASTE HERE!'!F65</f>
        <v>12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.QC5</v>
      </c>
      <c r="D56" s="22" t="str">
        <f>'Sheet2-PASTE HERE!'!K66</f>
        <v>QC Inspection - Internal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.640</v>
      </c>
      <c r="D57" s="22" t="str">
        <f>'Sheet2-PASTE HERE!'!K67</f>
        <v>Fit top head to shell - tack</v>
      </c>
      <c r="E57" s="13">
        <f>'Sheet2-PASTE HERE!'!F67</f>
        <v>10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.641</v>
      </c>
      <c r="D58" s="22" t="str">
        <f>'Sheet2-PASTE HERE!'!K68</f>
        <v>Weld top head to shell - inside_x000D_
INCL HOLE WATCH</v>
      </c>
      <c r="E58" s="13">
        <f>'Sheet2-PASTE HERE!'!F68</f>
        <v>20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.645</v>
      </c>
      <c r="D59" s="22" t="str">
        <f>'Sheet2-PASTE HERE!'!K69</f>
        <v>Weld all outside seams</v>
      </c>
      <c r="E59" s="13">
        <f>'Sheet2-PASTE HERE!'!F69</f>
        <v>94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MOVE TANK</v>
      </c>
      <c r="B60" s="11"/>
      <c r="C60" s="17" t="str">
        <f>'Sheet2-PASTE HERE!'!I70</f>
        <v>.800</v>
      </c>
      <c r="D60" s="22" t="str">
        <f>'Sheet2-PASTE HERE!'!K70</f>
        <v>Move tank to detail rolls</v>
      </c>
      <c r="E60" s="13">
        <f>'Sheet2-PASTE HERE!'!F70</f>
        <v>5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.717</v>
      </c>
      <c r="D61" s="22" t="str">
        <f>'Sheet2-PASTE HERE!'!K71</f>
        <v>Install lift lugs on shell</v>
      </c>
      <c r="E61" s="13">
        <f>'Sheet2-PASTE HERE!'!F71</f>
        <v>4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.720</v>
      </c>
      <c r="D62" s="22" t="str">
        <f>'Sheet2-PASTE HERE!'!K72</f>
        <v>Install supports - legs, lugs, anchors, saddles, skirt</v>
      </c>
      <c r="E62" s="13">
        <f>'Sheet2-PASTE HERE!'!F72</f>
        <v>80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.725</v>
      </c>
      <c r="D63" s="22" t="str">
        <f>'Sheet2-PASTE HERE!'!K73</f>
        <v>Set nozzles in shell - tack</v>
      </c>
      <c r="E63" s="13">
        <f>'Sheet2-PASTE HERE!'!F73</f>
        <v>13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.726</v>
      </c>
      <c r="D64" s="22" t="str">
        <f>'Sheet2-PASTE HERE!'!K74</f>
        <v>Weld shell nozzles, manways, etc._x000D_
INCL HOLE WATCH</v>
      </c>
      <c r="E64" s="13">
        <f>'Sheet2-PASTE HERE!'!F74</f>
        <v>40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.730</v>
      </c>
      <c r="D65" s="22" t="str">
        <f>'Sheet2-PASTE HERE!'!K75</f>
        <v>Add repads and weld</v>
      </c>
      <c r="E65" s="13">
        <f>'Sheet2-PASTE HERE!'!F75</f>
        <v>5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.750</v>
      </c>
      <c r="D66" s="22" t="str">
        <f>'Sheet2-PASTE HERE!'!K76</f>
        <v>Fit handrail - install and weld clips</v>
      </c>
      <c r="E66" s="13">
        <f>'Sheet2-PASTE HERE!'!F76</f>
        <v>8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.755</v>
      </c>
      <c r="D67" s="22" t="str">
        <f>'Sheet2-PASTE HERE!'!K77</f>
        <v>Fit ladder - install and weld clips</v>
      </c>
      <c r="E67" s="13">
        <f>'Sheet2-PASTE HERE!'!F77</f>
        <v>10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FIT</v>
      </c>
      <c r="B68" s="11"/>
      <c r="C68" s="17" t="str">
        <f>'Sheet2-PASTE HERE!'!I78</f>
        <v>.760</v>
      </c>
      <c r="D68" s="22" t="str">
        <f>'Sheet2-PASTE HERE!'!K78</f>
        <v>Fit platform - install and weld clips, bracing, etc.</v>
      </c>
      <c r="E68" s="13">
        <f>'Sheet2-PASTE HERE!'!F78</f>
        <v>32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.765</v>
      </c>
      <c r="D69" s="22" t="str">
        <f>'Sheet2-PASTE HERE!'!K79</f>
        <v>Install name tag</v>
      </c>
      <c r="E69" s="13">
        <f>'Sheet2-PASTE HERE!'!F79</f>
        <v>1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FIT</v>
      </c>
      <c r="B70" s="11"/>
      <c r="C70" s="17" t="str">
        <f>'Sheet2-PASTE HERE!'!I80</f>
        <v>.770</v>
      </c>
      <c r="D70" s="22" t="str">
        <f>'Sheet2-PASTE HERE!'!K80</f>
        <v>Inspect tank, make repairs, get QC inspector</v>
      </c>
      <c r="E70" s="13">
        <f>'Sheet2-PASTE HERE!'!F80</f>
        <v>2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.QC6</v>
      </c>
      <c r="D71" s="22" t="str">
        <f>'Sheet2-PASTE HERE!'!K81</f>
        <v>QC Inspection - Fabrication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.OI2</v>
      </c>
      <c r="D72" s="22" t="str">
        <f>'Sheet2-PASTE HERE!'!K82</f>
        <v>ASME Inspection Internal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1</v>
      </c>
    </row>
    <row r="73" spans="1:12" ht="26.25" customHeight="1" x14ac:dyDescent="0.2">
      <c r="A73" s="10" t="str">
        <f>'Sheet2-PASTE HERE!'!A83</f>
        <v>MOVE TANK</v>
      </c>
      <c r="B73" s="11"/>
      <c r="C73" s="17" t="str">
        <f>'Sheet2-PASTE HERE!'!I83</f>
        <v>.801</v>
      </c>
      <c r="D73" s="22" t="str">
        <f>'Sheet2-PASTE HERE!'!K83</f>
        <v>Move to shop test area</v>
      </c>
      <c r="E73" s="13">
        <f>'Sheet2-PASTE HERE!'!F83</f>
        <v>5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.910</v>
      </c>
      <c r="D74" s="22" t="str">
        <f>'Sheet2-PASTE HERE!'!K84</f>
        <v>Test tank</v>
      </c>
      <c r="E74" s="13">
        <f>'Sheet2-PASTE HERE!'!F84</f>
        <v>30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.QC7</v>
      </c>
      <c r="D75" s="22" t="str">
        <f>'Sheet2-PASTE HERE!'!K85</f>
        <v>QC Inspection - Test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.OI3</v>
      </c>
      <c r="D76" s="22" t="str">
        <f>'Sheet2-PASTE HERE!'!K86</f>
        <v>ASME Inspection Test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1</v>
      </c>
    </row>
    <row r="77" spans="1:12" ht="26.25" customHeight="1" x14ac:dyDescent="0.2">
      <c r="A77" s="10" t="str">
        <f>'Sheet2-PASTE HERE!'!A87</f>
        <v>FINISHING</v>
      </c>
      <c r="B77" s="11"/>
      <c r="C77" s="17" t="str">
        <f>'Sheet2-PASTE HERE!'!I87</f>
        <v>.920</v>
      </c>
      <c r="D77" s="22" t="str">
        <f>'Sheet2-PASTE HERE!'!K87</f>
        <v>Clean tank complete</v>
      </c>
      <c r="E77" s="13">
        <f>'Sheet2-PASTE HERE!'!F87</f>
        <v>40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INSPECTION</v>
      </c>
      <c r="B78" s="11"/>
      <c r="C78" s="17" t="str">
        <f>'Sheet2-PASTE HERE!'!I88</f>
        <v>.QC8</v>
      </c>
      <c r="D78" s="22" t="str">
        <f>'Sheet2-PASTE HERE!'!K88</f>
        <v>QC Inspection - Clean</v>
      </c>
      <c r="E78" s="13">
        <f>'Sheet2-PASTE HERE!'!F88</f>
        <v>0</v>
      </c>
      <c r="F78" s="12"/>
      <c r="G78" s="12"/>
      <c r="H78" s="12"/>
      <c r="K78">
        <f t="shared" si="2"/>
        <v>1</v>
      </c>
      <c r="L78">
        <f t="shared" si="3"/>
        <v>0</v>
      </c>
    </row>
    <row r="79" spans="1:12" ht="26.25" customHeight="1" x14ac:dyDescent="0.2">
      <c r="A79" s="10" t="str">
        <f>'Sheet2-PASTE HERE!'!A89</f>
        <v>FINISHING</v>
      </c>
      <c r="B79" s="11"/>
      <c r="C79" s="17" t="str">
        <f>'Sheet2-PASTE HERE!'!I89</f>
        <v>.940</v>
      </c>
      <c r="D79" s="22" t="str">
        <f>'Sheet2-PASTE HERE!'!K89</f>
        <v>Prepare tank for shipment</v>
      </c>
      <c r="E79" s="13">
        <f>'Sheet2-PASTE HERE!'!F89</f>
        <v>2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FINISHING</v>
      </c>
      <c r="B80" s="11"/>
      <c r="C80" s="17" t="str">
        <f>'Sheet2-PASTE HERE!'!I90</f>
        <v>.950</v>
      </c>
      <c r="D80" s="22" t="str">
        <f>'Sheet2-PASTE HERE!'!K90</f>
        <v>Check bill of materials and pack loose parts</v>
      </c>
      <c r="E80" s="13">
        <f>'Sheet2-PASTE HERE!'!F90</f>
        <v>5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 t="str">
        <f>'Sheet2-PASTE HERE!'!A91</f>
        <v>INSPECTION</v>
      </c>
      <c r="B81" s="11"/>
      <c r="C81" s="17" t="str">
        <f>'Sheet2-PASTE HERE!'!I91</f>
        <v>.QC95</v>
      </c>
      <c r="D81" s="22" t="str">
        <f>'Sheet2-PASTE HERE!'!K91</f>
        <v>QC Inspection - Final &amp; Loose Items</v>
      </c>
      <c r="E81" s="13">
        <f>'Sheet2-PASTE HERE!'!F91</f>
        <v>0</v>
      </c>
      <c r="F81" s="12"/>
      <c r="G81" s="12"/>
      <c r="H81" s="12"/>
      <c r="K81">
        <f t="shared" si="2"/>
        <v>1</v>
      </c>
      <c r="L81">
        <f t="shared" si="3"/>
        <v>0</v>
      </c>
    </row>
    <row r="82" spans="1:12" ht="26.25" customHeight="1" x14ac:dyDescent="0.2">
      <c r="A82" s="10" t="str">
        <f>'Sheet2-PASTE HERE!'!A92</f>
        <v>SHIPPING</v>
      </c>
      <c r="B82" s="11"/>
      <c r="C82" s="17" t="str">
        <f>'Sheet2-PASTE HERE!'!I92</f>
        <v>.960</v>
      </c>
      <c r="D82" s="22" t="str">
        <f>'Sheet2-PASTE HERE!'!K92</f>
        <v>Load on truck</v>
      </c>
      <c r="E82" s="13">
        <f>'Sheet2-PASTE HERE!'!F92</f>
        <v>8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 t="str">
        <f>'Sheet2-PASTE HERE!'!A93</f>
        <v>SHIPPING</v>
      </c>
      <c r="B83" s="11"/>
      <c r="C83" s="17" t="str">
        <f>'Sheet2-PASTE HERE!'!I93</f>
        <v>.970</v>
      </c>
      <c r="D83" s="22" t="str">
        <f>'Sheet2-PASTE HERE!'!K93</f>
        <v>Take parts to galvanizers</v>
      </c>
      <c r="E83" s="13">
        <f>'Sheet2-PASTE HERE!'!F93</f>
        <v>6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 t="str">
        <f>'Sheet2-PASTE HERE!'!A94</f>
        <v>SHIPPING</v>
      </c>
      <c r="B84" s="11"/>
      <c r="C84" s="17" t="str">
        <f>'Sheet2-PASTE HERE!'!I94</f>
        <v>.972</v>
      </c>
      <c r="D84" s="22" t="str">
        <f>'Sheet2-PASTE HERE!'!K94</f>
        <v>Pick up parts from galvanizers</v>
      </c>
      <c r="E84" s="13">
        <f>'Sheet2-PASTE HERE!'!F94</f>
        <v>6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 t="str">
        <f>'Sheet2-PASTE HERE!'!A95</f>
        <v>INSPECTION</v>
      </c>
      <c r="B85" s="11"/>
      <c r="C85" s="17" t="str">
        <f>'Sheet2-PASTE HERE!'!I95</f>
        <v>.QC21</v>
      </c>
      <c r="D85" s="22" t="str">
        <f>'Sheet2-PASTE HERE!'!K95</f>
        <v>QC Inspection - Returned Components from Subcontractor</v>
      </c>
      <c r="E85" s="13">
        <f>'Sheet2-PASTE HERE!'!F95</f>
        <v>0</v>
      </c>
      <c r="F85" s="12"/>
      <c r="G85" s="12"/>
      <c r="H85" s="12"/>
      <c r="K85">
        <f t="shared" si="2"/>
        <v>1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 t="str">
        <f>'Sheet2-PASTE HERE!'!F97</f>
        <v/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176</v>
      </c>
      <c r="C1" s="8" t="s">
        <v>17</v>
      </c>
      <c r="D1" s="8" t="s">
        <v>177</v>
      </c>
      <c r="E1" s="8" t="s">
        <v>18</v>
      </c>
      <c r="F1" s="8" t="s">
        <v>178</v>
      </c>
      <c r="G1" s="8" t="s">
        <v>176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45330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975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48762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48763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48764</v>
      </c>
      <c r="C19" s="19">
        <v>0</v>
      </c>
      <c r="D19" s="8" t="s">
        <v>57</v>
      </c>
      <c r="E19" s="20">
        <v>0</v>
      </c>
      <c r="F19" s="20">
        <v>10</v>
      </c>
      <c r="G19" s="8" t="s">
        <v>54</v>
      </c>
      <c r="H19" s="20">
        <v>10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48765</v>
      </c>
      <c r="C20" s="19">
        <v>0</v>
      </c>
      <c r="D20" s="8" t="s">
        <v>83</v>
      </c>
      <c r="E20" s="20">
        <v>0</v>
      </c>
      <c r="F20" s="20">
        <v>27</v>
      </c>
      <c r="G20" s="8" t="s">
        <v>54</v>
      </c>
      <c r="H20" s="20">
        <v>27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48766</v>
      </c>
      <c r="C21" s="19">
        <v>0</v>
      </c>
      <c r="D21" s="8" t="s">
        <v>171</v>
      </c>
      <c r="E21" s="20">
        <v>0</v>
      </c>
      <c r="F21" s="20">
        <v>4</v>
      </c>
      <c r="G21" s="8" t="s">
        <v>54</v>
      </c>
      <c r="H21" s="20">
        <v>4</v>
      </c>
      <c r="I21" s="8" t="s">
        <v>172</v>
      </c>
      <c r="J21" s="19">
        <v>0</v>
      </c>
      <c r="K21" s="8" t="s">
        <v>173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48767</v>
      </c>
      <c r="C22" s="19">
        <v>0</v>
      </c>
      <c r="D22" s="8" t="s">
        <v>86</v>
      </c>
      <c r="E22" s="20">
        <v>0</v>
      </c>
      <c r="F22" s="20">
        <v>2</v>
      </c>
      <c r="G22" s="8" t="s">
        <v>54</v>
      </c>
      <c r="H22" s="20">
        <v>2</v>
      </c>
      <c r="I22" s="8" t="s">
        <v>87</v>
      </c>
      <c r="J22" s="19">
        <v>0</v>
      </c>
      <c r="K22" s="8" t="s">
        <v>88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48768</v>
      </c>
      <c r="C23" s="19">
        <v>0</v>
      </c>
      <c r="D23" s="8" t="s">
        <v>89</v>
      </c>
      <c r="E23" s="20">
        <v>0</v>
      </c>
      <c r="F23" s="20">
        <v>2</v>
      </c>
      <c r="G23" s="8" t="s">
        <v>54</v>
      </c>
      <c r="H23" s="20">
        <v>2</v>
      </c>
      <c r="I23" s="8" t="s">
        <v>90</v>
      </c>
      <c r="J23" s="19">
        <v>0</v>
      </c>
      <c r="K23" s="8" t="s">
        <v>91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48769</v>
      </c>
      <c r="C24" s="19">
        <v>0</v>
      </c>
      <c r="D24" s="8" t="s">
        <v>92</v>
      </c>
      <c r="E24" s="20">
        <v>0</v>
      </c>
      <c r="F24" s="20">
        <v>2</v>
      </c>
      <c r="G24" s="8" t="s">
        <v>54</v>
      </c>
      <c r="H24" s="20">
        <v>2</v>
      </c>
      <c r="I24" s="8" t="s">
        <v>93</v>
      </c>
      <c r="J24" s="19">
        <v>0</v>
      </c>
      <c r="K24" s="8" t="s">
        <v>94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48770</v>
      </c>
      <c r="C25" s="19">
        <v>0</v>
      </c>
      <c r="D25" s="8" t="s">
        <v>95</v>
      </c>
      <c r="E25" s="20">
        <v>0</v>
      </c>
      <c r="F25" s="20">
        <v>16</v>
      </c>
      <c r="G25" s="8" t="s">
        <v>54</v>
      </c>
      <c r="H25" s="20">
        <v>16</v>
      </c>
      <c r="I25" s="8" t="s">
        <v>96</v>
      </c>
      <c r="J25" s="19">
        <v>0</v>
      </c>
      <c r="K25" s="8" t="s">
        <v>97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48771</v>
      </c>
      <c r="C26" s="19">
        <v>0</v>
      </c>
      <c r="D26" s="8" t="s">
        <v>98</v>
      </c>
      <c r="E26" s="20">
        <v>0</v>
      </c>
      <c r="F26" s="20">
        <v>2</v>
      </c>
      <c r="G26" s="8" t="s">
        <v>54</v>
      </c>
      <c r="H26" s="20">
        <v>2</v>
      </c>
      <c r="I26" s="8" t="s">
        <v>99</v>
      </c>
      <c r="J26" s="19">
        <v>0</v>
      </c>
      <c r="K26" s="8" t="s">
        <v>100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48772</v>
      </c>
      <c r="C27" s="19">
        <v>0</v>
      </c>
      <c r="D27" s="8" t="s">
        <v>179</v>
      </c>
      <c r="E27" s="20">
        <v>0</v>
      </c>
      <c r="F27" s="20">
        <v>20</v>
      </c>
      <c r="G27" s="8" t="s">
        <v>54</v>
      </c>
      <c r="H27" s="20">
        <v>20</v>
      </c>
      <c r="I27" s="8" t="s">
        <v>59</v>
      </c>
      <c r="J27" s="19">
        <v>0</v>
      </c>
      <c r="K27" s="8" t="s">
        <v>101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48773</v>
      </c>
      <c r="C28" s="19">
        <v>0</v>
      </c>
      <c r="D28" s="8" t="s">
        <v>180</v>
      </c>
      <c r="E28" s="20">
        <v>0</v>
      </c>
      <c r="F28" s="20">
        <v>24</v>
      </c>
      <c r="G28" s="8" t="s">
        <v>54</v>
      </c>
      <c r="H28" s="20">
        <v>24</v>
      </c>
      <c r="I28" s="8" t="s">
        <v>181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48774</v>
      </c>
      <c r="C29" s="19">
        <v>0</v>
      </c>
      <c r="D29" s="8" t="s">
        <v>60</v>
      </c>
      <c r="E29" s="20">
        <v>0</v>
      </c>
      <c r="F29" s="20">
        <v>16</v>
      </c>
      <c r="G29" s="8" t="s">
        <v>54</v>
      </c>
      <c r="H29" s="20">
        <v>16</v>
      </c>
      <c r="I29" s="8" t="s">
        <v>61</v>
      </c>
      <c r="J29" s="19">
        <v>0</v>
      </c>
      <c r="K29" s="8" t="s">
        <v>182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48775</v>
      </c>
      <c r="C30" s="19">
        <v>0</v>
      </c>
      <c r="D30" s="8" t="s">
        <v>102</v>
      </c>
      <c r="E30" s="20">
        <v>0</v>
      </c>
      <c r="F30" s="20">
        <v>6</v>
      </c>
      <c r="G30" s="8" t="s">
        <v>54</v>
      </c>
      <c r="H30" s="20">
        <v>6</v>
      </c>
      <c r="I30" s="8" t="s">
        <v>103</v>
      </c>
      <c r="J30" s="19">
        <v>0</v>
      </c>
      <c r="K30" s="8" t="s">
        <v>183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48776</v>
      </c>
      <c r="C31" s="19">
        <v>0</v>
      </c>
      <c r="D31" s="8" t="s">
        <v>104</v>
      </c>
      <c r="E31" s="20">
        <v>0</v>
      </c>
      <c r="F31" s="20">
        <v>2</v>
      </c>
      <c r="G31" s="8" t="s">
        <v>54</v>
      </c>
      <c r="H31" s="20">
        <v>2</v>
      </c>
      <c r="I31" s="8" t="s">
        <v>105</v>
      </c>
      <c r="J31" s="19">
        <v>0</v>
      </c>
      <c r="K31" s="8" t="s">
        <v>106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48777</v>
      </c>
      <c r="C32" s="19">
        <v>0</v>
      </c>
      <c r="D32" s="8" t="s">
        <v>174</v>
      </c>
      <c r="E32" s="20">
        <v>0</v>
      </c>
      <c r="F32" s="20">
        <v>3</v>
      </c>
      <c r="G32" s="8" t="s">
        <v>54</v>
      </c>
      <c r="H32" s="20">
        <v>3</v>
      </c>
      <c r="I32" s="8" t="s">
        <v>175</v>
      </c>
      <c r="J32" s="19">
        <v>0</v>
      </c>
      <c r="K32" s="8" t="s">
        <v>184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48778</v>
      </c>
      <c r="C33" s="19">
        <v>0</v>
      </c>
      <c r="D33" s="8" t="s">
        <v>185</v>
      </c>
      <c r="E33" s="20">
        <v>0</v>
      </c>
      <c r="F33" s="20">
        <v>6</v>
      </c>
      <c r="G33" s="8" t="s">
        <v>54</v>
      </c>
      <c r="H33" s="20">
        <v>6</v>
      </c>
      <c r="I33" s="8" t="s">
        <v>186</v>
      </c>
      <c r="J33" s="19">
        <v>0</v>
      </c>
      <c r="K33" s="8" t="s">
        <v>187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48779</v>
      </c>
      <c r="C34" s="19">
        <v>0</v>
      </c>
      <c r="D34" s="8" t="s">
        <v>188</v>
      </c>
      <c r="E34" s="20">
        <v>0</v>
      </c>
      <c r="F34" s="20">
        <v>8</v>
      </c>
      <c r="G34" s="8" t="s">
        <v>54</v>
      </c>
      <c r="H34" s="20">
        <v>8</v>
      </c>
      <c r="I34" s="8" t="s">
        <v>189</v>
      </c>
      <c r="J34" s="19">
        <v>0</v>
      </c>
      <c r="K34" s="8" t="s">
        <v>190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48780</v>
      </c>
      <c r="C35" s="19">
        <v>0</v>
      </c>
      <c r="D35" s="8" t="s">
        <v>191</v>
      </c>
      <c r="E35" s="20">
        <v>0</v>
      </c>
      <c r="F35" s="20">
        <v>15</v>
      </c>
      <c r="G35" s="8" t="s">
        <v>54</v>
      </c>
      <c r="H35" s="20">
        <v>15</v>
      </c>
      <c r="I35" s="8" t="s">
        <v>192</v>
      </c>
      <c r="J35" s="19">
        <v>0</v>
      </c>
      <c r="K35" s="8" t="s">
        <v>193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48781</v>
      </c>
      <c r="C36" s="19">
        <v>0</v>
      </c>
      <c r="D36" s="8" t="s">
        <v>194</v>
      </c>
      <c r="E36" s="20">
        <v>0</v>
      </c>
      <c r="F36" s="20">
        <v>6</v>
      </c>
      <c r="G36" s="8" t="s">
        <v>54</v>
      </c>
      <c r="H36" s="20">
        <v>6</v>
      </c>
      <c r="I36" s="8" t="s">
        <v>195</v>
      </c>
      <c r="J36" s="19">
        <v>0</v>
      </c>
      <c r="K36" s="8" t="s">
        <v>196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48782</v>
      </c>
      <c r="C37" s="19">
        <v>0</v>
      </c>
      <c r="D37" s="8" t="s">
        <v>197</v>
      </c>
      <c r="E37" s="20">
        <v>0</v>
      </c>
      <c r="F37" s="20">
        <v>7</v>
      </c>
      <c r="G37" s="8" t="s">
        <v>54</v>
      </c>
      <c r="H37" s="20">
        <v>7</v>
      </c>
      <c r="I37" s="8" t="s">
        <v>198</v>
      </c>
      <c r="J37" s="19">
        <v>0</v>
      </c>
      <c r="K37" s="8" t="s">
        <v>199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48783</v>
      </c>
      <c r="C38" s="19">
        <v>0</v>
      </c>
      <c r="D38" s="8" t="s">
        <v>200</v>
      </c>
      <c r="E38" s="20">
        <v>0</v>
      </c>
      <c r="F38" s="20">
        <v>2</v>
      </c>
      <c r="G38" s="8" t="s">
        <v>54</v>
      </c>
      <c r="H38" s="20">
        <v>2</v>
      </c>
      <c r="I38" s="8" t="s">
        <v>201</v>
      </c>
      <c r="J38" s="19">
        <v>0</v>
      </c>
      <c r="K38" s="8" t="s">
        <v>202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48784</v>
      </c>
      <c r="C39" s="19">
        <v>0</v>
      </c>
      <c r="D39" s="8" t="s">
        <v>203</v>
      </c>
      <c r="E39" s="20">
        <v>0</v>
      </c>
      <c r="F39" s="20">
        <v>18</v>
      </c>
      <c r="G39" s="8" t="s">
        <v>54</v>
      </c>
      <c r="H39" s="20">
        <v>18</v>
      </c>
      <c r="I39" s="8" t="s">
        <v>204</v>
      </c>
      <c r="J39" s="19">
        <v>0</v>
      </c>
      <c r="K39" s="8" t="s">
        <v>205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48785</v>
      </c>
      <c r="C40" s="19">
        <v>0</v>
      </c>
      <c r="D40" s="8" t="s">
        <v>206</v>
      </c>
      <c r="E40" s="20">
        <v>0</v>
      </c>
      <c r="F40" s="20">
        <v>8</v>
      </c>
      <c r="G40" s="8" t="s">
        <v>54</v>
      </c>
      <c r="H40" s="20">
        <v>8</v>
      </c>
      <c r="I40" s="8" t="s">
        <v>207</v>
      </c>
      <c r="J40" s="19">
        <v>0</v>
      </c>
      <c r="K40" s="8" t="s">
        <v>208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48786</v>
      </c>
      <c r="C41" s="19">
        <v>0</v>
      </c>
      <c r="D41" s="8" t="s">
        <v>209</v>
      </c>
      <c r="E41" s="20">
        <v>0</v>
      </c>
      <c r="F41" s="20">
        <v>8</v>
      </c>
      <c r="G41" s="8" t="s">
        <v>54</v>
      </c>
      <c r="H41" s="20">
        <v>8</v>
      </c>
      <c r="I41" s="8" t="s">
        <v>210</v>
      </c>
      <c r="J41" s="19">
        <v>0</v>
      </c>
      <c r="K41" s="8" t="s">
        <v>211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48787</v>
      </c>
      <c r="C42" s="19">
        <v>0</v>
      </c>
      <c r="D42" s="8" t="s">
        <v>212</v>
      </c>
      <c r="E42" s="20">
        <v>0</v>
      </c>
      <c r="F42" s="20">
        <v>25</v>
      </c>
      <c r="G42" s="8" t="s">
        <v>54</v>
      </c>
      <c r="H42" s="20">
        <v>25</v>
      </c>
      <c r="I42" s="8" t="s">
        <v>213</v>
      </c>
      <c r="J42" s="19">
        <v>0</v>
      </c>
      <c r="K42" s="8" t="s">
        <v>214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48788</v>
      </c>
      <c r="C43" s="19">
        <v>0</v>
      </c>
      <c r="D43" s="8" t="s">
        <v>215</v>
      </c>
      <c r="E43" s="20">
        <v>0</v>
      </c>
      <c r="F43" s="20">
        <v>4</v>
      </c>
      <c r="G43" s="8" t="s">
        <v>54</v>
      </c>
      <c r="H43" s="20">
        <v>4</v>
      </c>
      <c r="I43" s="8" t="s">
        <v>216</v>
      </c>
      <c r="J43" s="19">
        <v>0</v>
      </c>
      <c r="K43" s="8" t="s">
        <v>217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48789</v>
      </c>
      <c r="C44" s="19">
        <v>0</v>
      </c>
      <c r="D44" s="8" t="s">
        <v>218</v>
      </c>
      <c r="E44" s="20">
        <v>0</v>
      </c>
      <c r="F44" s="20">
        <v>0</v>
      </c>
      <c r="G44" s="8" t="s">
        <v>54</v>
      </c>
      <c r="H44" s="20">
        <v>0</v>
      </c>
      <c r="I44" s="8" t="s">
        <v>219</v>
      </c>
      <c r="J44" s="19">
        <v>0</v>
      </c>
      <c r="K44" s="8" t="s">
        <v>220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48790</v>
      </c>
      <c r="C45" s="19">
        <v>0</v>
      </c>
      <c r="D45" s="8" t="s">
        <v>221</v>
      </c>
      <c r="E45" s="20">
        <v>0</v>
      </c>
      <c r="F45" s="20">
        <v>2</v>
      </c>
      <c r="G45" s="8" t="s">
        <v>54</v>
      </c>
      <c r="H45" s="20">
        <v>2</v>
      </c>
      <c r="I45" s="8" t="s">
        <v>222</v>
      </c>
      <c r="J45" s="19">
        <v>0</v>
      </c>
      <c r="K45" s="8" t="s">
        <v>223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48791</v>
      </c>
      <c r="C46" s="19">
        <v>0</v>
      </c>
      <c r="D46" s="8" t="s">
        <v>107</v>
      </c>
      <c r="E46" s="20">
        <v>0</v>
      </c>
      <c r="F46" s="20">
        <v>0</v>
      </c>
      <c r="G46" s="8" t="s">
        <v>54</v>
      </c>
      <c r="H46" s="20">
        <v>0</v>
      </c>
      <c r="I46" s="8" t="s">
        <v>108</v>
      </c>
      <c r="J46" s="19">
        <v>0</v>
      </c>
      <c r="K46" s="8" t="s">
        <v>107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48792</v>
      </c>
      <c r="C47" s="19">
        <v>0</v>
      </c>
      <c r="D47" s="8" t="s">
        <v>109</v>
      </c>
      <c r="E47" s="20">
        <v>0</v>
      </c>
      <c r="F47" s="20">
        <v>48</v>
      </c>
      <c r="G47" s="8" t="s">
        <v>54</v>
      </c>
      <c r="H47" s="20">
        <v>48</v>
      </c>
      <c r="I47" s="8" t="s">
        <v>110</v>
      </c>
      <c r="J47" s="19">
        <v>0</v>
      </c>
      <c r="K47" s="8" t="s">
        <v>224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48793</v>
      </c>
      <c r="C48" s="19">
        <v>0</v>
      </c>
      <c r="D48" s="8" t="s">
        <v>225</v>
      </c>
      <c r="E48" s="20">
        <v>0</v>
      </c>
      <c r="F48" s="20">
        <v>80</v>
      </c>
      <c r="G48" s="8" t="s">
        <v>54</v>
      </c>
      <c r="H48" s="20">
        <v>80</v>
      </c>
      <c r="I48" s="8" t="s">
        <v>226</v>
      </c>
      <c r="J48" s="19">
        <v>0</v>
      </c>
      <c r="K48" s="8" t="s">
        <v>227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48794</v>
      </c>
      <c r="C49" s="19">
        <v>0</v>
      </c>
      <c r="D49" s="8" t="s">
        <v>111</v>
      </c>
      <c r="E49" s="20">
        <v>0</v>
      </c>
      <c r="F49" s="20">
        <v>18</v>
      </c>
      <c r="G49" s="8" t="s">
        <v>54</v>
      </c>
      <c r="H49" s="20">
        <v>18</v>
      </c>
      <c r="I49" s="8" t="s">
        <v>112</v>
      </c>
      <c r="J49" s="19">
        <v>0</v>
      </c>
      <c r="K49" s="8" t="s">
        <v>228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48795</v>
      </c>
      <c r="C50" s="19">
        <v>0</v>
      </c>
      <c r="D50" s="8" t="s">
        <v>113</v>
      </c>
      <c r="E50" s="20">
        <v>0</v>
      </c>
      <c r="F50" s="20">
        <v>0</v>
      </c>
      <c r="G50" s="8" t="s">
        <v>54</v>
      </c>
      <c r="H50" s="20">
        <v>0</v>
      </c>
      <c r="I50" s="8" t="s">
        <v>114</v>
      </c>
      <c r="J50" s="19">
        <v>0</v>
      </c>
      <c r="K50" s="8" t="s">
        <v>115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48796</v>
      </c>
      <c r="C51" s="19">
        <v>0</v>
      </c>
      <c r="D51" s="8" t="s">
        <v>116</v>
      </c>
      <c r="E51" s="20">
        <v>0</v>
      </c>
      <c r="F51" s="20">
        <v>1</v>
      </c>
      <c r="G51" s="8" t="s">
        <v>54</v>
      </c>
      <c r="H51" s="20">
        <v>1</v>
      </c>
      <c r="I51" s="8" t="s">
        <v>117</v>
      </c>
      <c r="J51" s="19">
        <v>0</v>
      </c>
      <c r="K51" s="8" t="s">
        <v>229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48797</v>
      </c>
      <c r="C52" s="19">
        <v>0</v>
      </c>
      <c r="D52" s="8" t="s">
        <v>230</v>
      </c>
      <c r="E52" s="20">
        <v>0</v>
      </c>
      <c r="F52" s="20">
        <v>5</v>
      </c>
      <c r="G52" s="8" t="s">
        <v>54</v>
      </c>
      <c r="H52" s="20">
        <v>5</v>
      </c>
      <c r="I52" s="8" t="s">
        <v>231</v>
      </c>
      <c r="J52" s="19">
        <v>0</v>
      </c>
      <c r="K52" s="8" t="s">
        <v>232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48798</v>
      </c>
      <c r="C53" s="19">
        <v>0</v>
      </c>
      <c r="D53" s="8" t="s">
        <v>118</v>
      </c>
      <c r="E53" s="20">
        <v>0</v>
      </c>
      <c r="F53" s="20">
        <v>3</v>
      </c>
      <c r="G53" s="8" t="s">
        <v>54</v>
      </c>
      <c r="H53" s="20">
        <v>3</v>
      </c>
      <c r="I53" s="8" t="s">
        <v>119</v>
      </c>
      <c r="J53" s="19">
        <v>0</v>
      </c>
      <c r="K53" s="8" t="s">
        <v>120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48799</v>
      </c>
      <c r="C54" s="19">
        <v>0</v>
      </c>
      <c r="D54" s="8" t="s">
        <v>121</v>
      </c>
      <c r="E54" s="20">
        <v>0</v>
      </c>
      <c r="F54" s="20">
        <v>9</v>
      </c>
      <c r="G54" s="8" t="s">
        <v>54</v>
      </c>
      <c r="H54" s="20">
        <v>9</v>
      </c>
      <c r="I54" s="8" t="s">
        <v>122</v>
      </c>
      <c r="J54" s="19">
        <v>0</v>
      </c>
      <c r="K54" s="8" t="s">
        <v>123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48800</v>
      </c>
      <c r="C55" s="19">
        <v>0</v>
      </c>
      <c r="D55" s="8" t="s">
        <v>113</v>
      </c>
      <c r="E55" s="20">
        <v>0</v>
      </c>
      <c r="F55" s="20">
        <v>0</v>
      </c>
      <c r="G55" s="8" t="s">
        <v>54</v>
      </c>
      <c r="H55" s="20">
        <v>0</v>
      </c>
      <c r="I55" s="8" t="s">
        <v>114</v>
      </c>
      <c r="J55" s="19">
        <v>0</v>
      </c>
      <c r="K55" s="8" t="s">
        <v>115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48801</v>
      </c>
      <c r="C56" s="19">
        <v>0</v>
      </c>
      <c r="D56" s="8" t="s">
        <v>233</v>
      </c>
      <c r="E56" s="20">
        <v>0</v>
      </c>
      <c r="F56" s="20">
        <v>1</v>
      </c>
      <c r="G56" s="8" t="s">
        <v>54</v>
      </c>
      <c r="H56" s="20">
        <v>1</v>
      </c>
      <c r="I56" s="8" t="s">
        <v>234</v>
      </c>
      <c r="J56" s="19">
        <v>0</v>
      </c>
      <c r="K56" s="8" t="s">
        <v>235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56</v>
      </c>
      <c r="B57" s="18">
        <v>48802</v>
      </c>
      <c r="C57" s="19">
        <v>0</v>
      </c>
      <c r="D57" s="8" t="s">
        <v>236</v>
      </c>
      <c r="E57" s="20">
        <v>0</v>
      </c>
      <c r="F57" s="20">
        <v>3</v>
      </c>
      <c r="G57" s="8" t="s">
        <v>54</v>
      </c>
      <c r="H57" s="20">
        <v>3</v>
      </c>
      <c r="I57" s="8" t="s">
        <v>237</v>
      </c>
      <c r="J57" s="19">
        <v>0</v>
      </c>
      <c r="K57" s="8" t="s">
        <v>238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56</v>
      </c>
      <c r="B58" s="18">
        <v>48803</v>
      </c>
      <c r="C58" s="19">
        <v>0</v>
      </c>
      <c r="D58" s="8" t="s">
        <v>239</v>
      </c>
      <c r="E58" s="20">
        <v>0</v>
      </c>
      <c r="F58" s="20">
        <v>3</v>
      </c>
      <c r="G58" s="8" t="s">
        <v>54</v>
      </c>
      <c r="H58" s="20">
        <v>3</v>
      </c>
      <c r="I58" s="8" t="s">
        <v>240</v>
      </c>
      <c r="J58" s="19">
        <v>0</v>
      </c>
      <c r="K58" s="8" t="s">
        <v>241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56</v>
      </c>
      <c r="B59" s="18">
        <v>48804</v>
      </c>
      <c r="C59" s="19">
        <v>0</v>
      </c>
      <c r="D59" s="8" t="s">
        <v>242</v>
      </c>
      <c r="E59" s="20">
        <v>0</v>
      </c>
      <c r="F59" s="20">
        <v>8</v>
      </c>
      <c r="G59" s="8" t="s">
        <v>54</v>
      </c>
      <c r="H59" s="20">
        <v>8</v>
      </c>
      <c r="I59" s="8" t="s">
        <v>243</v>
      </c>
      <c r="J59" s="19">
        <v>0</v>
      </c>
      <c r="K59" s="8" t="s">
        <v>244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56</v>
      </c>
      <c r="B60" s="18">
        <v>48805</v>
      </c>
      <c r="C60" s="19">
        <v>0</v>
      </c>
      <c r="D60" s="8" t="s">
        <v>245</v>
      </c>
      <c r="E60" s="20">
        <v>0</v>
      </c>
      <c r="F60" s="20">
        <v>5</v>
      </c>
      <c r="G60" s="8" t="s">
        <v>54</v>
      </c>
      <c r="H60" s="20">
        <v>5</v>
      </c>
      <c r="I60" s="8" t="s">
        <v>246</v>
      </c>
      <c r="J60" s="19">
        <v>0</v>
      </c>
      <c r="K60" s="8" t="s">
        <v>247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48806</v>
      </c>
      <c r="C61" s="19">
        <v>0</v>
      </c>
      <c r="D61" s="8" t="s">
        <v>248</v>
      </c>
      <c r="E61" s="20">
        <v>0</v>
      </c>
      <c r="F61" s="20">
        <v>0</v>
      </c>
      <c r="G61" s="8" t="s">
        <v>54</v>
      </c>
      <c r="H61" s="20">
        <v>0</v>
      </c>
      <c r="I61" s="8" t="s">
        <v>249</v>
      </c>
      <c r="J61" s="19">
        <v>0</v>
      </c>
      <c r="K61" s="8" t="s">
        <v>248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76</v>
      </c>
      <c r="B62" s="18">
        <v>48807</v>
      </c>
      <c r="C62" s="19">
        <v>0</v>
      </c>
      <c r="D62" s="8" t="s">
        <v>124</v>
      </c>
      <c r="E62" s="20">
        <v>0</v>
      </c>
      <c r="F62" s="20">
        <v>8</v>
      </c>
      <c r="G62" s="8" t="s">
        <v>54</v>
      </c>
      <c r="H62" s="20">
        <v>8</v>
      </c>
      <c r="I62" s="8" t="s">
        <v>125</v>
      </c>
      <c r="J62" s="19">
        <v>0</v>
      </c>
      <c r="K62" s="8" t="s">
        <v>250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76</v>
      </c>
      <c r="B63" s="18">
        <v>48808</v>
      </c>
      <c r="C63" s="19">
        <v>0</v>
      </c>
      <c r="D63" s="8" t="s">
        <v>126</v>
      </c>
      <c r="E63" s="20">
        <v>0</v>
      </c>
      <c r="F63" s="20">
        <v>40</v>
      </c>
      <c r="G63" s="8" t="s">
        <v>54</v>
      </c>
      <c r="H63" s="20">
        <v>40</v>
      </c>
      <c r="I63" s="8" t="s">
        <v>127</v>
      </c>
      <c r="J63" s="19">
        <v>0</v>
      </c>
      <c r="K63" s="8" t="s">
        <v>251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76</v>
      </c>
      <c r="B64" s="18">
        <v>48809</v>
      </c>
      <c r="C64" s="19">
        <v>0</v>
      </c>
      <c r="D64" s="8" t="s">
        <v>128</v>
      </c>
      <c r="E64" s="20">
        <v>0</v>
      </c>
      <c r="F64" s="20">
        <v>60</v>
      </c>
      <c r="G64" s="8" t="s">
        <v>54</v>
      </c>
      <c r="H64" s="20">
        <v>60</v>
      </c>
      <c r="I64" s="8" t="s">
        <v>129</v>
      </c>
      <c r="J64" s="19">
        <v>0</v>
      </c>
      <c r="K64" s="8" t="s">
        <v>252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76</v>
      </c>
      <c r="B65" s="18">
        <v>48810</v>
      </c>
      <c r="C65" s="19">
        <v>0</v>
      </c>
      <c r="D65" s="8" t="s">
        <v>130</v>
      </c>
      <c r="E65" s="20">
        <v>0</v>
      </c>
      <c r="F65" s="20">
        <v>12</v>
      </c>
      <c r="G65" s="8" t="s">
        <v>54</v>
      </c>
      <c r="H65" s="20">
        <v>12</v>
      </c>
      <c r="I65" s="8" t="s">
        <v>131</v>
      </c>
      <c r="J65" s="19">
        <v>0</v>
      </c>
      <c r="K65" s="8" t="s">
        <v>253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48811</v>
      </c>
      <c r="C66" s="19">
        <v>0</v>
      </c>
      <c r="D66" s="8" t="s">
        <v>132</v>
      </c>
      <c r="E66" s="20">
        <v>0</v>
      </c>
      <c r="F66" s="20">
        <v>0</v>
      </c>
      <c r="G66" s="8" t="s">
        <v>54</v>
      </c>
      <c r="H66" s="20">
        <v>0</v>
      </c>
      <c r="I66" s="8" t="s">
        <v>133</v>
      </c>
      <c r="J66" s="19">
        <v>0</v>
      </c>
      <c r="K66" s="8" t="s">
        <v>132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76</v>
      </c>
      <c r="B67" s="18">
        <v>48812</v>
      </c>
      <c r="C67" s="19">
        <v>0</v>
      </c>
      <c r="D67" s="8" t="s">
        <v>134</v>
      </c>
      <c r="E67" s="20">
        <v>0</v>
      </c>
      <c r="F67" s="20">
        <v>10</v>
      </c>
      <c r="G67" s="8" t="s">
        <v>54</v>
      </c>
      <c r="H67" s="20">
        <v>10</v>
      </c>
      <c r="I67" s="8" t="s">
        <v>135</v>
      </c>
      <c r="J67" s="19">
        <v>0</v>
      </c>
      <c r="K67" s="8" t="s">
        <v>254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76</v>
      </c>
      <c r="B68" s="18">
        <v>48813</v>
      </c>
      <c r="C68" s="19">
        <v>0</v>
      </c>
      <c r="D68" s="8" t="s">
        <v>255</v>
      </c>
      <c r="E68" s="20">
        <v>0</v>
      </c>
      <c r="F68" s="20">
        <v>20</v>
      </c>
      <c r="G68" s="8" t="s">
        <v>54</v>
      </c>
      <c r="H68" s="20">
        <v>20</v>
      </c>
      <c r="I68" s="8" t="s">
        <v>256</v>
      </c>
      <c r="J68" s="19">
        <v>0</v>
      </c>
      <c r="K68" s="8" t="s">
        <v>257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76</v>
      </c>
      <c r="B69" s="18">
        <v>48814</v>
      </c>
      <c r="C69" s="19">
        <v>0</v>
      </c>
      <c r="D69" s="8" t="s">
        <v>258</v>
      </c>
      <c r="E69" s="20">
        <v>0</v>
      </c>
      <c r="F69" s="20">
        <v>94</v>
      </c>
      <c r="G69" s="8" t="s">
        <v>54</v>
      </c>
      <c r="H69" s="20">
        <v>94</v>
      </c>
      <c r="I69" s="8" t="s">
        <v>259</v>
      </c>
      <c r="J69" s="19">
        <v>0</v>
      </c>
      <c r="K69" s="8" t="s">
        <v>260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136</v>
      </c>
      <c r="B70" s="18">
        <v>48815</v>
      </c>
      <c r="C70" s="19">
        <v>0</v>
      </c>
      <c r="D70" s="8" t="s">
        <v>137</v>
      </c>
      <c r="E70" s="20">
        <v>0</v>
      </c>
      <c r="F70" s="20">
        <v>5</v>
      </c>
      <c r="G70" s="8" t="s">
        <v>54</v>
      </c>
      <c r="H70" s="20">
        <v>5</v>
      </c>
      <c r="I70" s="8" t="s">
        <v>138</v>
      </c>
      <c r="J70" s="19">
        <v>0</v>
      </c>
      <c r="K70" s="8" t="s">
        <v>139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76</v>
      </c>
      <c r="B71" s="18">
        <v>48816</v>
      </c>
      <c r="C71" s="19">
        <v>0</v>
      </c>
      <c r="D71" s="8" t="s">
        <v>62</v>
      </c>
      <c r="E71" s="20">
        <v>0</v>
      </c>
      <c r="F71" s="20">
        <v>4</v>
      </c>
      <c r="G71" s="8" t="s">
        <v>54</v>
      </c>
      <c r="H71" s="20">
        <v>4</v>
      </c>
      <c r="I71" s="8" t="s">
        <v>63</v>
      </c>
      <c r="J71" s="19">
        <v>0</v>
      </c>
      <c r="K71" s="8" t="s">
        <v>261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76</v>
      </c>
      <c r="B72" s="18">
        <v>48817</v>
      </c>
      <c r="C72" s="19">
        <v>0</v>
      </c>
      <c r="D72" s="8" t="s">
        <v>140</v>
      </c>
      <c r="E72" s="20">
        <v>0</v>
      </c>
      <c r="F72" s="20">
        <v>80</v>
      </c>
      <c r="G72" s="8" t="s">
        <v>54</v>
      </c>
      <c r="H72" s="20">
        <v>80</v>
      </c>
      <c r="I72" s="8" t="s">
        <v>141</v>
      </c>
      <c r="J72" s="19">
        <v>0</v>
      </c>
      <c r="K72" s="8" t="s">
        <v>262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76</v>
      </c>
      <c r="B73" s="18">
        <v>48818</v>
      </c>
      <c r="C73" s="19">
        <v>0</v>
      </c>
      <c r="D73" s="8" t="s">
        <v>142</v>
      </c>
      <c r="E73" s="20">
        <v>0</v>
      </c>
      <c r="F73" s="20">
        <v>13</v>
      </c>
      <c r="G73" s="8" t="s">
        <v>54</v>
      </c>
      <c r="H73" s="20">
        <v>13</v>
      </c>
      <c r="I73" s="8" t="s">
        <v>143</v>
      </c>
      <c r="J73" s="19">
        <v>0</v>
      </c>
      <c r="K73" s="8" t="s">
        <v>263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76</v>
      </c>
      <c r="B74" s="18">
        <v>48819</v>
      </c>
      <c r="C74" s="19">
        <v>0</v>
      </c>
      <c r="D74" s="8" t="s">
        <v>144</v>
      </c>
      <c r="E74" s="20">
        <v>0</v>
      </c>
      <c r="F74" s="20">
        <v>40</v>
      </c>
      <c r="G74" s="8" t="s">
        <v>54</v>
      </c>
      <c r="H74" s="20">
        <v>40</v>
      </c>
      <c r="I74" s="8" t="s">
        <v>145</v>
      </c>
      <c r="J74" s="19">
        <v>0</v>
      </c>
      <c r="K74" s="8" t="s">
        <v>264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76</v>
      </c>
      <c r="B75" s="18">
        <v>48820</v>
      </c>
      <c r="C75" s="19">
        <v>0</v>
      </c>
      <c r="D75" s="8" t="s">
        <v>265</v>
      </c>
      <c r="E75" s="20">
        <v>0</v>
      </c>
      <c r="F75" s="20">
        <v>5</v>
      </c>
      <c r="G75" s="8" t="s">
        <v>54</v>
      </c>
      <c r="H75" s="20">
        <v>5</v>
      </c>
      <c r="I75" s="8" t="s">
        <v>266</v>
      </c>
      <c r="J75" s="19">
        <v>0</v>
      </c>
      <c r="K75" s="8" t="s">
        <v>267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76</v>
      </c>
      <c r="B76" s="18">
        <v>48821</v>
      </c>
      <c r="C76" s="19">
        <v>0</v>
      </c>
      <c r="D76" s="8" t="s">
        <v>268</v>
      </c>
      <c r="E76" s="20">
        <v>0</v>
      </c>
      <c r="F76" s="20">
        <v>8</v>
      </c>
      <c r="G76" s="8" t="s">
        <v>54</v>
      </c>
      <c r="H76" s="20">
        <v>8</v>
      </c>
      <c r="I76" s="8" t="s">
        <v>269</v>
      </c>
      <c r="J76" s="19">
        <v>0</v>
      </c>
      <c r="K76" s="8" t="s">
        <v>270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76</v>
      </c>
      <c r="B77" s="18">
        <v>48822</v>
      </c>
      <c r="C77" s="19">
        <v>0</v>
      </c>
      <c r="D77" s="8" t="s">
        <v>271</v>
      </c>
      <c r="E77" s="20">
        <v>0</v>
      </c>
      <c r="F77" s="20">
        <v>10</v>
      </c>
      <c r="G77" s="8" t="s">
        <v>54</v>
      </c>
      <c r="H77" s="20">
        <v>10</v>
      </c>
      <c r="I77" s="8" t="s">
        <v>272</v>
      </c>
      <c r="J77" s="19">
        <v>0</v>
      </c>
      <c r="K77" s="8" t="s">
        <v>273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76</v>
      </c>
      <c r="B78" s="18">
        <v>48823</v>
      </c>
      <c r="C78" s="19">
        <v>0</v>
      </c>
      <c r="D78" s="8" t="s">
        <v>274</v>
      </c>
      <c r="E78" s="20">
        <v>0</v>
      </c>
      <c r="F78" s="20">
        <v>32</v>
      </c>
      <c r="G78" s="8" t="s">
        <v>54</v>
      </c>
      <c r="H78" s="20">
        <v>32</v>
      </c>
      <c r="I78" s="8" t="s">
        <v>275</v>
      </c>
      <c r="J78" s="19">
        <v>0</v>
      </c>
      <c r="K78" s="8" t="s">
        <v>276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48824</v>
      </c>
      <c r="C79" s="19">
        <v>0</v>
      </c>
      <c r="D79" s="8" t="s">
        <v>146</v>
      </c>
      <c r="E79" s="20">
        <v>0</v>
      </c>
      <c r="F79" s="20">
        <v>1</v>
      </c>
      <c r="G79" s="8" t="s">
        <v>54</v>
      </c>
      <c r="H79" s="20">
        <v>1</v>
      </c>
      <c r="I79" s="8" t="s">
        <v>147</v>
      </c>
      <c r="J79" s="19">
        <v>0</v>
      </c>
      <c r="K79" s="8" t="s">
        <v>148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76</v>
      </c>
      <c r="B80" s="18">
        <v>48825</v>
      </c>
      <c r="C80" s="19">
        <v>0</v>
      </c>
      <c r="D80" s="8" t="s">
        <v>149</v>
      </c>
      <c r="E80" s="20">
        <v>0</v>
      </c>
      <c r="F80" s="20">
        <v>2</v>
      </c>
      <c r="G80" s="8" t="s">
        <v>54</v>
      </c>
      <c r="H80" s="20">
        <v>2</v>
      </c>
      <c r="I80" s="8" t="s">
        <v>150</v>
      </c>
      <c r="J80" s="19">
        <v>0</v>
      </c>
      <c r="K80" s="8" t="s">
        <v>151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53</v>
      </c>
      <c r="B81" s="18">
        <v>48826</v>
      </c>
      <c r="C81" s="19">
        <v>0</v>
      </c>
      <c r="D81" s="8" t="s">
        <v>152</v>
      </c>
      <c r="E81" s="20">
        <v>0</v>
      </c>
      <c r="F81" s="20">
        <v>0</v>
      </c>
      <c r="G81" s="8" t="s">
        <v>54</v>
      </c>
      <c r="H81" s="20">
        <v>0</v>
      </c>
      <c r="I81" s="8" t="s">
        <v>153</v>
      </c>
      <c r="J81" s="19">
        <v>0</v>
      </c>
      <c r="K81" s="8" t="s">
        <v>154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48827</v>
      </c>
      <c r="C82" s="19">
        <v>0</v>
      </c>
      <c r="D82" s="8" t="s">
        <v>277</v>
      </c>
      <c r="E82" s="20">
        <v>0</v>
      </c>
      <c r="F82" s="20">
        <v>0</v>
      </c>
      <c r="G82" s="8" t="s">
        <v>54</v>
      </c>
      <c r="H82" s="20">
        <v>0</v>
      </c>
      <c r="I82" s="8" t="s">
        <v>278</v>
      </c>
      <c r="J82" s="19">
        <v>0</v>
      </c>
      <c r="K82" s="8" t="s">
        <v>277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136</v>
      </c>
      <c r="B83" s="18">
        <v>48828</v>
      </c>
      <c r="C83" s="19">
        <v>0</v>
      </c>
      <c r="D83" s="8" t="s">
        <v>155</v>
      </c>
      <c r="E83" s="20">
        <v>0</v>
      </c>
      <c r="F83" s="20">
        <v>5</v>
      </c>
      <c r="G83" s="8" t="s">
        <v>54</v>
      </c>
      <c r="H83" s="20">
        <v>5</v>
      </c>
      <c r="I83" s="8" t="s">
        <v>156</v>
      </c>
      <c r="J83" s="19">
        <v>0</v>
      </c>
      <c r="K83" s="8" t="s">
        <v>157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48829</v>
      </c>
      <c r="C84" s="19">
        <v>0</v>
      </c>
      <c r="D84" s="8" t="s">
        <v>158</v>
      </c>
      <c r="E84" s="20">
        <v>0</v>
      </c>
      <c r="F84" s="20">
        <v>30</v>
      </c>
      <c r="G84" s="8" t="s">
        <v>54</v>
      </c>
      <c r="H84" s="20">
        <v>30</v>
      </c>
      <c r="I84" s="8" t="s">
        <v>159</v>
      </c>
      <c r="J84" s="19">
        <v>0</v>
      </c>
      <c r="K84" s="8" t="s">
        <v>160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53</v>
      </c>
      <c r="B85" s="18">
        <v>48830</v>
      </c>
      <c r="C85" s="19">
        <v>0</v>
      </c>
      <c r="D85" s="8" t="s">
        <v>161</v>
      </c>
      <c r="E85" s="20">
        <v>0</v>
      </c>
      <c r="F85" s="20">
        <v>0</v>
      </c>
      <c r="G85" s="8" t="s">
        <v>54</v>
      </c>
      <c r="H85" s="20">
        <v>0</v>
      </c>
      <c r="I85" s="8" t="s">
        <v>162</v>
      </c>
      <c r="J85" s="19">
        <v>0</v>
      </c>
      <c r="K85" s="8" t="s">
        <v>161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48831</v>
      </c>
      <c r="C86" s="19">
        <v>0</v>
      </c>
      <c r="D86" s="8" t="s">
        <v>163</v>
      </c>
      <c r="E86" s="20">
        <v>0</v>
      </c>
      <c r="F86" s="20">
        <v>0</v>
      </c>
      <c r="G86" s="8" t="s">
        <v>54</v>
      </c>
      <c r="H86" s="20">
        <v>0</v>
      </c>
      <c r="I86" s="8" t="s">
        <v>164</v>
      </c>
      <c r="J86" s="19">
        <v>0</v>
      </c>
      <c r="K86" s="8" t="s">
        <v>163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64</v>
      </c>
      <c r="B87" s="18">
        <v>48832</v>
      </c>
      <c r="C87" s="19">
        <v>0</v>
      </c>
      <c r="D87" s="8" t="s">
        <v>165</v>
      </c>
      <c r="E87" s="20">
        <v>0</v>
      </c>
      <c r="F87" s="20">
        <v>40</v>
      </c>
      <c r="G87" s="8" t="s">
        <v>54</v>
      </c>
      <c r="H87" s="20">
        <v>40</v>
      </c>
      <c r="I87" s="8" t="s">
        <v>166</v>
      </c>
      <c r="J87" s="19">
        <v>0</v>
      </c>
      <c r="K87" s="8" t="s">
        <v>167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53</v>
      </c>
      <c r="B88" s="18">
        <v>48833</v>
      </c>
      <c r="C88" s="19">
        <v>0</v>
      </c>
      <c r="D88" s="8" t="s">
        <v>168</v>
      </c>
      <c r="E88" s="20">
        <v>0</v>
      </c>
      <c r="F88" s="20">
        <v>0</v>
      </c>
      <c r="G88" s="8" t="s">
        <v>54</v>
      </c>
      <c r="H88" s="20">
        <v>0</v>
      </c>
      <c r="I88" s="8" t="s">
        <v>169</v>
      </c>
      <c r="J88" s="19">
        <v>0</v>
      </c>
      <c r="K88" s="8" t="s">
        <v>168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64</v>
      </c>
      <c r="B89" s="18">
        <v>48834</v>
      </c>
      <c r="C89" s="19">
        <v>0</v>
      </c>
      <c r="D89" s="8" t="s">
        <v>65</v>
      </c>
      <c r="E89" s="20">
        <v>0</v>
      </c>
      <c r="F89" s="20">
        <v>2</v>
      </c>
      <c r="G89" s="8" t="s">
        <v>54</v>
      </c>
      <c r="H89" s="20">
        <v>2</v>
      </c>
      <c r="I89" s="8" t="s">
        <v>66</v>
      </c>
      <c r="J89" s="19">
        <v>0</v>
      </c>
      <c r="K89" s="8" t="s">
        <v>170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>
      <c r="A90" s="8" t="s">
        <v>64</v>
      </c>
      <c r="B90" s="18">
        <v>48835</v>
      </c>
      <c r="C90" s="19">
        <v>0</v>
      </c>
      <c r="D90" s="8" t="s">
        <v>279</v>
      </c>
      <c r="E90" s="20">
        <v>0</v>
      </c>
      <c r="F90" s="20">
        <v>5</v>
      </c>
      <c r="G90" s="8" t="s">
        <v>54</v>
      </c>
      <c r="H90" s="20">
        <v>5</v>
      </c>
      <c r="I90" s="8" t="s">
        <v>280</v>
      </c>
      <c r="J90" s="19">
        <v>0</v>
      </c>
      <c r="K90" s="8" t="s">
        <v>281</v>
      </c>
      <c r="L90" s="8" t="s">
        <v>55</v>
      </c>
      <c r="M90" s="8" t="s">
        <v>55</v>
      </c>
      <c r="N90" s="8" t="s">
        <v>55</v>
      </c>
    </row>
    <row r="91" spans="1:14" ht="12.75" customHeight="1" x14ac:dyDescent="0.2">
      <c r="A91" s="8" t="s">
        <v>53</v>
      </c>
      <c r="B91" s="18">
        <v>48836</v>
      </c>
      <c r="C91" s="19">
        <v>0</v>
      </c>
      <c r="D91" s="8" t="s">
        <v>67</v>
      </c>
      <c r="E91" s="20">
        <v>0</v>
      </c>
      <c r="F91" s="20">
        <v>0</v>
      </c>
      <c r="G91" s="8" t="s">
        <v>54</v>
      </c>
      <c r="H91" s="20">
        <v>0</v>
      </c>
      <c r="I91" s="8" t="s">
        <v>68</v>
      </c>
      <c r="J91" s="19">
        <v>0</v>
      </c>
      <c r="K91" s="8" t="s">
        <v>69</v>
      </c>
      <c r="L91" s="8" t="s">
        <v>55</v>
      </c>
      <c r="M91" s="8" t="s">
        <v>55</v>
      </c>
      <c r="N91" s="8" t="s">
        <v>55</v>
      </c>
    </row>
    <row r="92" spans="1:14" ht="12.75" customHeight="1" x14ac:dyDescent="0.2">
      <c r="A92" s="8" t="s">
        <v>70</v>
      </c>
      <c r="B92" s="18">
        <v>48837</v>
      </c>
      <c r="C92" s="19">
        <v>0</v>
      </c>
      <c r="D92" s="8" t="s">
        <v>71</v>
      </c>
      <c r="E92" s="20">
        <v>0</v>
      </c>
      <c r="F92" s="20">
        <v>8</v>
      </c>
      <c r="G92" s="8" t="s">
        <v>54</v>
      </c>
      <c r="H92" s="20">
        <v>8</v>
      </c>
      <c r="I92" s="8" t="s">
        <v>72</v>
      </c>
      <c r="J92" s="19">
        <v>0</v>
      </c>
      <c r="K92" s="8" t="s">
        <v>73</v>
      </c>
      <c r="L92" s="8" t="s">
        <v>55</v>
      </c>
      <c r="M92" s="8" t="s">
        <v>55</v>
      </c>
      <c r="N92" s="8" t="s">
        <v>55</v>
      </c>
    </row>
    <row r="93" spans="1:14" ht="12.75" customHeight="1" x14ac:dyDescent="0.2">
      <c r="A93" s="8" t="s">
        <v>70</v>
      </c>
      <c r="B93" s="18">
        <v>48838</v>
      </c>
      <c r="C93" s="19">
        <v>0</v>
      </c>
      <c r="D93" s="8" t="s">
        <v>282</v>
      </c>
      <c r="E93" s="20">
        <v>0</v>
      </c>
      <c r="F93" s="20">
        <v>6</v>
      </c>
      <c r="G93" s="8" t="s">
        <v>54</v>
      </c>
      <c r="H93" s="20">
        <v>6</v>
      </c>
      <c r="I93" s="8" t="s">
        <v>283</v>
      </c>
      <c r="J93" s="19">
        <v>0</v>
      </c>
      <c r="K93" s="8" t="s">
        <v>284</v>
      </c>
      <c r="L93" s="8" t="s">
        <v>55</v>
      </c>
      <c r="M93" s="8" t="s">
        <v>55</v>
      </c>
      <c r="N93" s="8" t="s">
        <v>55</v>
      </c>
    </row>
    <row r="94" spans="1:14" ht="12.75" customHeight="1" x14ac:dyDescent="0.2">
      <c r="A94" s="8" t="s">
        <v>70</v>
      </c>
      <c r="B94" s="18">
        <v>48839</v>
      </c>
      <c r="C94" s="19">
        <v>0</v>
      </c>
      <c r="D94" s="8" t="s">
        <v>285</v>
      </c>
      <c r="E94" s="20">
        <v>0</v>
      </c>
      <c r="F94" s="20">
        <v>6</v>
      </c>
      <c r="G94" s="8" t="s">
        <v>54</v>
      </c>
      <c r="H94" s="20">
        <v>6</v>
      </c>
      <c r="I94" s="8" t="s">
        <v>286</v>
      </c>
      <c r="J94" s="19">
        <v>0</v>
      </c>
      <c r="K94" s="8" t="s">
        <v>287</v>
      </c>
      <c r="L94" s="8" t="s">
        <v>55</v>
      </c>
      <c r="M94" s="8" t="s">
        <v>55</v>
      </c>
      <c r="N94" s="8" t="s">
        <v>55</v>
      </c>
    </row>
    <row r="95" spans="1:14" ht="12.75" customHeight="1" x14ac:dyDescent="0.2">
      <c r="A95" s="8" t="s">
        <v>53</v>
      </c>
      <c r="B95" s="18">
        <v>48840</v>
      </c>
      <c r="C95" s="19">
        <v>0</v>
      </c>
      <c r="D95" s="8" t="s">
        <v>288</v>
      </c>
      <c r="E95" s="20">
        <v>0</v>
      </c>
      <c r="F95" s="20">
        <v>0</v>
      </c>
      <c r="G95" s="8" t="s">
        <v>54</v>
      </c>
      <c r="H95" s="20">
        <v>0</v>
      </c>
      <c r="I95" s="8" t="s">
        <v>289</v>
      </c>
      <c r="J95" s="19">
        <v>0</v>
      </c>
      <c r="K95" s="8" t="s">
        <v>290</v>
      </c>
      <c r="L95" s="8" t="s">
        <v>55</v>
      </c>
      <c r="M95" s="8" t="s">
        <v>55</v>
      </c>
      <c r="N95" s="8" t="s">
        <v>55</v>
      </c>
    </row>
    <row r="96" spans="1:14" ht="12.75" customHeight="1" x14ac:dyDescent="0.2"/>
    <row r="97" spans="2:10" ht="12.75" customHeight="1" x14ac:dyDescent="0.2">
      <c r="B97" s="8" t="s">
        <v>16</v>
      </c>
      <c r="C97" s="8" t="s">
        <v>176</v>
      </c>
      <c r="E97" s="8" t="s">
        <v>19</v>
      </c>
      <c r="F97" s="8" t="s">
        <v>19</v>
      </c>
      <c r="G97" s="8" t="s">
        <v>21</v>
      </c>
      <c r="H97" s="8" t="s">
        <v>19</v>
      </c>
      <c r="J97" s="8" t="s">
        <v>19</v>
      </c>
    </row>
    <row r="98" spans="2:10" ht="12.75" customHeight="1" x14ac:dyDescent="0.2"/>
    <row r="99" spans="2:10" ht="12.75" customHeight="1" x14ac:dyDescent="0.2"/>
    <row r="100" spans="2:10" ht="12.75" customHeight="1" x14ac:dyDescent="0.2"/>
    <row r="101" spans="2:10" ht="12.75" customHeight="1" x14ac:dyDescent="0.2"/>
    <row r="102" spans="2:10" ht="12.75" customHeight="1" x14ac:dyDescent="0.2"/>
    <row r="103" spans="2:10" ht="12.75" customHeight="1" x14ac:dyDescent="0.2"/>
    <row r="104" spans="2:10" ht="12.75" customHeight="1" x14ac:dyDescent="0.2"/>
    <row r="105" spans="2:10" ht="12.75" customHeight="1" x14ac:dyDescent="0.2"/>
    <row r="107" spans="2:10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005-24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005-24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005-24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10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005-24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27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005-24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4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005-24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005-24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005-24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005-24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16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005-24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005-24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20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005-24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24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005-24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16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005-24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005-24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005-24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.252</v>
      </c>
      <c r="C92" s="40" t="str">
        <f>'Build Plan w Hours'!D22</f>
        <v>Fabricate miscellaneous parts_x000D_
LADDER CLIPS &amp; PLATFORM CLIPS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005-24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.261</v>
      </c>
      <c r="C98" s="40" t="str">
        <f>'Build Plan w Hours'!D23</f>
        <v>Miscellaneous Fabrication - Braces, Mounting Plates, Cone Outlet Necks_x000D_
CUT/MAKE PARTS FOR BRACING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6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005-24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.262</v>
      </c>
      <c r="C104" s="40" t="str">
        <f>'Build Plan w Hours'!D24</f>
        <v>Cut/make parts for ladder: rungs, rails, etc.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005-24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15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005-24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005-24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7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005-24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005-24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18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005-24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.285</v>
      </c>
      <c r="C140" s="40" t="str">
        <f>'Build Plan w Hours'!D30</f>
        <v>Cut/Build parts for platform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8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005-24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.290</v>
      </c>
      <c r="C146" s="40" t="str">
        <f>'Build Plan w Hours'!D31</f>
        <v>Burn grating for platforms, clean and band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8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005-24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.292</v>
      </c>
      <c r="C152" s="40" t="str">
        <f>'Build Plan w Hours'!D32</f>
        <v>Build platform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25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005-24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.295</v>
      </c>
      <c r="C158" s="40" t="str">
        <f>'Build Plan w Hours'!D33</f>
        <v>Mount handrail on platform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005-24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.QC2</v>
      </c>
      <c r="C164" s="40" t="str">
        <f>'Build Plan w Hours'!D34</f>
        <v>QC Inspection - Components prior to shipping to Subcontractor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005-24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.300</v>
      </c>
      <c r="C170" s="40" t="str">
        <f>'Build Plan w Hours'!D35</f>
        <v>Wrap top and bottom heads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2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005-24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.QC3</v>
      </c>
      <c r="C176" s="40" t="str">
        <f>'Build Plan w Hours'!D36</f>
        <v>UT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005-24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.305</v>
      </c>
      <c r="C182" s="40" t="str">
        <f>'Build Plan w Hours'!D37</f>
        <v>Shells: bring in plate, square, trim and clean_x000D_
PREP (6) SHELL COURSES AND GRIND WELDS FLUSH.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48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005-24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.310</v>
      </c>
      <c r="C188" s="40" t="str">
        <f>'Build Plan w Hours'!D38</f>
        <v>Bevel shell plates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80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005-24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.315</v>
      </c>
      <c r="C194" s="40" t="str">
        <f>'Build Plan w Hours'!D39</f>
        <v>Roll shells, tack and weld inside seams_x000D_
WELD INSIDE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18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005-24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.QC4</v>
      </c>
      <c r="C200" s="40" t="str">
        <f>'Build Plan w Hours'!D40</f>
        <v>QC Inspection - Top/Bottom/Cones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005-24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.355</v>
      </c>
      <c r="C206" s="40" t="str">
        <f>'Build Plan w Hours'!D41</f>
        <v>Lay out top head, burn and clean holes_x000D_
ON BURN TABLE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005-24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.360</v>
      </c>
      <c r="C212" s="40" t="str">
        <f>'Build Plan w Hours'!D42</f>
        <v>Bevel top head_x000D_
PREP NOZZLE HOLES FOR FULL PEN WELDS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005-24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.365</v>
      </c>
      <c r="C218" s="40" t="str">
        <f>'Build Plan w Hours'!D43</f>
        <v>Set  nozzles, lift lugs, etc. in top head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3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005-24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.366</v>
      </c>
      <c r="C224" s="40" t="str">
        <f>'Build Plan w Hours'!D44</f>
        <v>Weld out top head nozzles, etc.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9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005-24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005-24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holes_x000D_
ON BURN TABLE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005-24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.460</v>
      </c>
      <c r="C242" s="40" t="str">
        <f>'Build Plan w Hours'!D47</f>
        <v>Bevel bottom head_x000D_
PREP NOZZLE HOLES FOR FULL PEN WELDS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005-24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.465</v>
      </c>
      <c r="C248" s="40" t="str">
        <f>'Build Plan w Hours'!D48</f>
        <v>Set  nozzles in bottom head - tack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3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005-24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.466</v>
      </c>
      <c r="C254" s="40" t="str">
        <f>'Build Plan w Hours'!D49</f>
        <v>Weld nozzles in bottom head; weld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8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005-24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.470</v>
      </c>
      <c r="C260" s="40" t="str">
        <f>'Build Plan w Hours'!D50</f>
        <v>Install and weld out repads - bottom head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5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005-24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.OI1</v>
      </c>
      <c r="C266" s="40" t="str">
        <f>'Build Plan w Hours'!D51</f>
        <v>ASME Hold Point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005-24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.600</v>
      </c>
      <c r="C272" s="40" t="str">
        <f>'Build Plan w Hours'!D52</f>
        <v>Fit bottom head to shell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8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005-24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.605</v>
      </c>
      <c r="C278" s="40" t="str">
        <f>'Build Plan w Hours'!D53</f>
        <v>Tack shell courses together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40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005-24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.610</v>
      </c>
      <c r="C284" s="40" t="str">
        <f>'Build Plan w Hours'!D54</f>
        <v>Weld inside round seams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60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005-24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.620</v>
      </c>
      <c r="C290" s="40" t="str">
        <f>'Build Plan w Hours'!D55</f>
        <v>Lay out shell, burn and clean holes_x000D_
PREP NOZZLE HOLES; LAYOUT SHELL FOR LADDER CLIPS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12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005-24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.QC5</v>
      </c>
      <c r="C296" s="40" t="str">
        <f>'Build Plan w Hours'!D56</f>
        <v>QC Inspection - Internal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005-24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.640</v>
      </c>
      <c r="C302" s="40" t="str">
        <f>'Build Plan w Hours'!D57</f>
        <v>Fit top head to shell - tack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10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005-24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.641</v>
      </c>
      <c r="C308" s="40" t="str">
        <f>'Build Plan w Hours'!D58</f>
        <v>Weld top head to shell - inside_x000D_
INCL HOLE WATCH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20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005-24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.645</v>
      </c>
      <c r="C314" s="40" t="str">
        <f>'Build Plan w Hours'!D59</f>
        <v>Weld all outside seams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94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005-24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.800</v>
      </c>
      <c r="C320" s="40" t="str">
        <f>'Build Plan w Hours'!D60</f>
        <v>Move tank to detail rolls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5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005-24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.717</v>
      </c>
      <c r="C326" s="40" t="str">
        <f>'Build Plan w Hours'!D61</f>
        <v>Install lift lugs on shell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4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005-24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.720</v>
      </c>
      <c r="C332" s="40" t="str">
        <f>'Build Plan w Hours'!D62</f>
        <v>Install supports - legs, lugs, anchors, saddles, skirt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80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005-24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.725</v>
      </c>
      <c r="C338" s="40" t="str">
        <f>'Build Plan w Hours'!D63</f>
        <v>Set nozzles in shell - tack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13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005-24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.726</v>
      </c>
      <c r="C344" s="40" t="str">
        <f>'Build Plan w Hours'!D64</f>
        <v>Weld shell nozzles, manways, etc._x000D_
INCL HOLE WATCH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40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005-24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.730</v>
      </c>
      <c r="C350" s="40" t="str">
        <f>'Build Plan w Hours'!D65</f>
        <v>Add repads and weld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5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005-24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.750</v>
      </c>
      <c r="C356" s="40" t="str">
        <f>'Build Plan w Hours'!D66</f>
        <v>Fit handrail - install and weld clips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8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005-24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 t="str">
        <f>'Build Plan w Hours'!C67</f>
        <v>.755</v>
      </c>
      <c r="C362" s="40" t="str">
        <f>'Build Plan w Hours'!D67</f>
        <v>Fit ladder - install and weld clips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10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005-24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 t="str">
        <f>'Build Plan w Hours'!C68</f>
        <v>.760</v>
      </c>
      <c r="C368" s="40" t="str">
        <f>'Build Plan w Hours'!D68</f>
        <v>Fit platform - install and weld clips, bracing, etc.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32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005-24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 t="str">
        <f>'Build Plan w Hours'!C69</f>
        <v>.765</v>
      </c>
      <c r="C374" s="40" t="str">
        <f>'Build Plan w Hours'!D69</f>
        <v>Install name tag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1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005-24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 t="str">
        <f>'Build Plan w Hours'!C70</f>
        <v>.770</v>
      </c>
      <c r="C380" s="40" t="str">
        <f>'Build Plan w Hours'!D70</f>
        <v>Inspect tank, make repairs, get QC inspector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2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005-24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 t="str">
        <f>'Build Plan w Hours'!C71</f>
        <v>.QC6</v>
      </c>
      <c r="C386" s="40" t="str">
        <f>'Build Plan w Hours'!D71</f>
        <v>QC Inspection - Fabrication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005-24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.OI2</v>
      </c>
      <c r="C392" s="40" t="str">
        <f>'Build Plan w Hours'!D72</f>
        <v>ASME Inspection Internal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005-24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.801</v>
      </c>
      <c r="C398" s="40" t="str">
        <f>'Build Plan w Hours'!D73</f>
        <v>Move to shop test area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5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005-24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.910</v>
      </c>
      <c r="C404" s="40" t="str">
        <f>'Build Plan w Hours'!D74</f>
        <v>Test tank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30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005-24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 t="str">
        <f>'Build Plan w Hours'!C75</f>
        <v>.QC7</v>
      </c>
      <c r="C410" s="40" t="str">
        <f>'Build Plan w Hours'!D75</f>
        <v>QC Inspection - Test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005-24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 t="str">
        <f>'Build Plan w Hours'!C76</f>
        <v>.OI3</v>
      </c>
      <c r="C416" s="40" t="str">
        <f>'Build Plan w Hours'!D76</f>
        <v>ASME Inspection Test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005-24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 t="str">
        <f>'Build Plan w Hours'!C77</f>
        <v>.920</v>
      </c>
      <c r="C422" s="40" t="str">
        <f>'Build Plan w Hours'!D77</f>
        <v>Clean tank complete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40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005-24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 t="str">
        <f>'Build Plan w Hours'!C78</f>
        <v>.QC8</v>
      </c>
      <c r="C428" s="40" t="str">
        <f>'Build Plan w Hours'!D78</f>
        <v>QC Inspection - Clean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005-24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 t="str">
        <f>'Build Plan w Hours'!C79</f>
        <v>.940</v>
      </c>
      <c r="C434" s="40" t="str">
        <f>'Build Plan w Hours'!D79</f>
        <v>Prepare tank for shipment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2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005-24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 t="str">
        <f>'Build Plan w Hours'!C80</f>
        <v>.950</v>
      </c>
      <c r="C440" s="40" t="str">
        <f>'Build Plan w Hours'!D80</f>
        <v>Check bill of materials and pack loose parts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5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005-24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 t="str">
        <f>'Build Plan w Hours'!C81</f>
        <v>.QC95</v>
      </c>
      <c r="C446" s="40" t="str">
        <f>'Build Plan w Hours'!D81</f>
        <v>QC Inspection - Final &amp; Loose Items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005-24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 t="str">
        <f>'Build Plan w Hours'!C82</f>
        <v>.960</v>
      </c>
      <c r="C452" s="40" t="str">
        <f>'Build Plan w Hours'!D82</f>
        <v>Load on truck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8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005-24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 t="str">
        <f>'Build Plan w Hours'!C83</f>
        <v>.970</v>
      </c>
      <c r="C458" s="40" t="str">
        <f>'Build Plan w Hours'!D83</f>
        <v>Take parts to galvanizers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6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005-24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 t="str">
        <f>'Build Plan w Hours'!C84</f>
        <v>.972</v>
      </c>
      <c r="C464" s="40" t="str">
        <f>'Build Plan w Hours'!D84</f>
        <v>Pick up parts from galvanizers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6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005-24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 t="str">
        <f>'Build Plan w Hours'!C85</f>
        <v>.QC21</v>
      </c>
      <c r="C470" s="40" t="str">
        <f>'Build Plan w Hours'!D85</f>
        <v>QC Inspection - Returned Components from Subcontractor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005-24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005-24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005-24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005-24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005-24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005-24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005-24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005-24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005-24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005-24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005-24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005-24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005-24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005-24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005-24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005-24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005-24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.252</v>
      </c>
      <c r="C92" s="40" t="str">
        <f>'Build Plan w Hours'!D22</f>
        <v>Fabricate miscellaneous parts_x000D_
LADDER CLIPS &amp; PLATFORM CLIPS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005-24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.261</v>
      </c>
      <c r="C98" s="40" t="str">
        <f>'Build Plan w Hours'!D23</f>
        <v>Miscellaneous Fabrication - Braces, Mounting Plates, Cone Outlet Necks_x000D_
CUT/MAKE PARTS FOR BRACING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005-24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.262</v>
      </c>
      <c r="C104" s="40" t="str">
        <f>'Build Plan w Hours'!D24</f>
        <v>Cut/make parts for ladder: rungs, rails, etc.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005-24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005-24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005-24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005-24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005-24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005-24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.285</v>
      </c>
      <c r="C140" s="40" t="str">
        <f>'Build Plan w Hours'!D30</f>
        <v>Cut/Build parts for platform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005-24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.290</v>
      </c>
      <c r="C146" s="40" t="str">
        <f>'Build Plan w Hours'!D31</f>
        <v>Burn grating for platforms, clean and band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005-24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.292</v>
      </c>
      <c r="C152" s="40" t="str">
        <f>'Build Plan w Hours'!D32</f>
        <v>Build platform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005-24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.295</v>
      </c>
      <c r="C158" s="40" t="str">
        <f>'Build Plan w Hours'!D33</f>
        <v>Mount handrail on platform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005-24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.QC2</v>
      </c>
      <c r="C164" s="40" t="str">
        <f>'Build Plan w Hours'!D34</f>
        <v>QC Inspection - Components prior to shipping to Subcontractor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005-24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.300</v>
      </c>
      <c r="C170" s="40" t="str">
        <f>'Build Plan w Hours'!D35</f>
        <v>Wrap top and bottom heads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005-24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.QC3</v>
      </c>
      <c r="C176" s="40" t="str">
        <f>'Build Plan w Hours'!D36</f>
        <v>UT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005-24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.305</v>
      </c>
      <c r="C182" s="40" t="str">
        <f>'Build Plan w Hours'!D37</f>
        <v>Shells: bring in plate, square, trim and clean_x000D_
PREP (6) SHELL COURSES AND GRIND WELDS FLUSH.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005-24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.310</v>
      </c>
      <c r="C188" s="40" t="str">
        <f>'Build Plan w Hours'!D38</f>
        <v>Bevel shell plates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005-24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.315</v>
      </c>
      <c r="C194" s="40" t="str">
        <f>'Build Plan w Hours'!D39</f>
        <v>Roll shells, tack and weld inside seams_x000D_
WELD INSIDE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005-24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.QC4</v>
      </c>
      <c r="C200" s="40" t="str">
        <f>'Build Plan w Hours'!D40</f>
        <v>QC Inspection - Top/Bottom/Cones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005-24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.355</v>
      </c>
      <c r="C206" s="40" t="str">
        <f>'Build Plan w Hours'!D41</f>
        <v>Lay out top head, burn and clean holes_x000D_
ON BURN TABLE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005-24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.360</v>
      </c>
      <c r="C212" s="40" t="str">
        <f>'Build Plan w Hours'!D42</f>
        <v>Bevel top head_x000D_
PREP NOZZLE HOLES FOR FULL PEN WELDS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005-24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.365</v>
      </c>
      <c r="C218" s="40" t="str">
        <f>'Build Plan w Hours'!D43</f>
        <v>Set  nozzles, lift lugs, etc. in top head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005-24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.366</v>
      </c>
      <c r="C224" s="40" t="str">
        <f>'Build Plan w Hours'!D44</f>
        <v>Weld out top head nozzles, etc.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005-24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005-24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holes_x000D_
ON BURN TABLE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005-24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.460</v>
      </c>
      <c r="C242" s="40" t="str">
        <f>'Build Plan w Hours'!D47</f>
        <v>Bevel bottom head_x000D_
PREP NOZZLE HOLES FOR FULL PEN WELDS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005-24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.465</v>
      </c>
      <c r="C248" s="40" t="str">
        <f>'Build Plan w Hours'!D48</f>
        <v>Set  nozzles in bottom head - tack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005-24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.466</v>
      </c>
      <c r="C254" s="40" t="str">
        <f>'Build Plan w Hours'!D49</f>
        <v>Weld nozzles in bottom head; weld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005-24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.470</v>
      </c>
      <c r="C260" s="40" t="str">
        <f>'Build Plan w Hours'!D50</f>
        <v>Install and weld out repads - bottom head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005-24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.OI1</v>
      </c>
      <c r="C266" s="40" t="str">
        <f>'Build Plan w Hours'!D51</f>
        <v>ASME Hold Point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005-24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.600</v>
      </c>
      <c r="C272" s="40" t="str">
        <f>'Build Plan w Hours'!D52</f>
        <v>Fit bottom head to shell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005-24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.605</v>
      </c>
      <c r="C278" s="40" t="str">
        <f>'Build Plan w Hours'!D53</f>
        <v>Tack shell courses together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005-24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.610</v>
      </c>
      <c r="C284" s="40" t="str">
        <f>'Build Plan w Hours'!D54</f>
        <v>Weld inside round seams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005-24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.620</v>
      </c>
      <c r="C290" s="40" t="str">
        <f>'Build Plan w Hours'!D55</f>
        <v>Lay out shell, burn and clean holes_x000D_
PREP NOZZLE HOLES; LAYOUT SHELL FOR LADDER CLIPS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005-24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.QC5</v>
      </c>
      <c r="C296" s="40" t="str">
        <f>'Build Plan w Hours'!D56</f>
        <v>QC Inspection - Internal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005-24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.640</v>
      </c>
      <c r="C302" s="40" t="str">
        <f>'Build Plan w Hours'!D57</f>
        <v>Fit top head to shell - tack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005-24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.641</v>
      </c>
      <c r="C308" s="40" t="str">
        <f>'Build Plan w Hours'!D58</f>
        <v>Weld top head to shell - inside_x000D_
INCL HOLE WATCH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005-24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.645</v>
      </c>
      <c r="C314" s="40" t="str">
        <f>'Build Plan w Hours'!D59</f>
        <v>Weld all outside seams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005-24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.800</v>
      </c>
      <c r="C320" s="40" t="str">
        <f>'Build Plan w Hours'!D60</f>
        <v>Move tank to detail rolls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005-24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.717</v>
      </c>
      <c r="C326" s="40" t="str">
        <f>'Build Plan w Hours'!D61</f>
        <v>Install lift lugs on shell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005-24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.720</v>
      </c>
      <c r="C332" s="40" t="str">
        <f>'Build Plan w Hours'!D62</f>
        <v>Install supports - legs, lugs, anchors, saddles, skirt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005-24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.725</v>
      </c>
      <c r="C338" s="40" t="str">
        <f>'Build Plan w Hours'!D63</f>
        <v>Set nozzles in shell - tack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005-24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.726</v>
      </c>
      <c r="C344" s="40" t="str">
        <f>'Build Plan w Hours'!D64</f>
        <v>Weld shell nozzles, manways, etc._x000D_
INCL HOLE WATCH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005-24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.730</v>
      </c>
      <c r="C350" s="40" t="str">
        <f>'Build Plan w Hours'!D65</f>
        <v>Add repads and weld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005-24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.750</v>
      </c>
      <c r="C356" s="40" t="str">
        <f>'Build Plan w Hours'!D66</f>
        <v>Fit handrail - install and weld clips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005-24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 t="str">
        <f>'Build Plan w Hours'!C67</f>
        <v>.755</v>
      </c>
      <c r="C362" s="40" t="str">
        <f>'Build Plan w Hours'!D67</f>
        <v>Fit ladder - install and weld clips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005-24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 t="str">
        <f>'Build Plan w Hours'!C68</f>
        <v>.760</v>
      </c>
      <c r="C368" s="40" t="str">
        <f>'Build Plan w Hours'!D68</f>
        <v>Fit platform - install and weld clips, bracing, etc.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005-24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 t="str">
        <f>'Build Plan w Hours'!C69</f>
        <v>.765</v>
      </c>
      <c r="C374" s="40" t="str">
        <f>'Build Plan w Hours'!D69</f>
        <v>Install name tag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005-24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 t="str">
        <f>'Build Plan w Hours'!C70</f>
        <v>.770</v>
      </c>
      <c r="C380" s="40" t="str">
        <f>'Build Plan w Hours'!D70</f>
        <v>Inspect tank, make repairs, get QC inspector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005-24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 t="str">
        <f>'Build Plan w Hours'!C71</f>
        <v>.QC6</v>
      </c>
      <c r="C386" s="40" t="str">
        <f>'Build Plan w Hours'!D71</f>
        <v>QC Inspection - Fabrication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005-24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.OI2</v>
      </c>
      <c r="C392" s="40" t="str">
        <f>'Build Plan w Hours'!D72</f>
        <v>ASME Inspection Internal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005-24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.801</v>
      </c>
      <c r="C398" s="40" t="str">
        <f>'Build Plan w Hours'!D73</f>
        <v>Move to shop test area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005-24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.910</v>
      </c>
      <c r="C404" s="40" t="str">
        <f>'Build Plan w Hours'!D74</f>
        <v>Test tank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005-24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 t="str">
        <f>'Build Plan w Hours'!C75</f>
        <v>.QC7</v>
      </c>
      <c r="C410" s="40" t="str">
        <f>'Build Plan w Hours'!D75</f>
        <v>QC Inspection - Test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005-24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 t="str">
        <f>'Build Plan w Hours'!C76</f>
        <v>.OI3</v>
      </c>
      <c r="C416" s="40" t="str">
        <f>'Build Plan w Hours'!D76</f>
        <v>ASME Inspection Test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005-24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 t="str">
        <f>'Build Plan w Hours'!C77</f>
        <v>.920</v>
      </c>
      <c r="C422" s="40" t="str">
        <f>'Build Plan w Hours'!D77</f>
        <v>Clean tank complete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005-24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 t="str">
        <f>'Build Plan w Hours'!C78</f>
        <v>.QC8</v>
      </c>
      <c r="C428" s="40" t="str">
        <f>'Build Plan w Hours'!D78</f>
        <v>QC Inspection - Clean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005-24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 t="str">
        <f>'Build Plan w Hours'!C79</f>
        <v>.940</v>
      </c>
      <c r="C434" s="40" t="str">
        <f>'Build Plan w Hours'!D79</f>
        <v>Prepare tank for shipment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005-24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 t="str">
        <f>'Build Plan w Hours'!C80</f>
        <v>.950</v>
      </c>
      <c r="C440" s="40" t="str">
        <f>'Build Plan w Hours'!D80</f>
        <v>Check bill of materials and pack loose parts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005-24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 t="str">
        <f>'Build Plan w Hours'!C81</f>
        <v>.QC95</v>
      </c>
      <c r="C446" s="40" t="str">
        <f>'Build Plan w Hours'!D81</f>
        <v>QC Inspection - Final &amp; Loose Items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005-24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 t="str">
        <f>'Build Plan w Hours'!C82</f>
        <v>.960</v>
      </c>
      <c r="C452" s="40" t="str">
        <f>'Build Plan w Hours'!D82</f>
        <v>Load on truck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005-24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 t="str">
        <f>'Build Plan w Hours'!C83</f>
        <v>.970</v>
      </c>
      <c r="C458" s="40" t="str">
        <f>'Build Plan w Hours'!D83</f>
        <v>Take parts to galvanizers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005-24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 t="str">
        <f>'Build Plan w Hours'!C84</f>
        <v>.972</v>
      </c>
      <c r="C464" s="40" t="str">
        <f>'Build Plan w Hours'!D84</f>
        <v>Pick up parts from galvanizers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005-24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 t="str">
        <f>'Build Plan w Hours'!C85</f>
        <v>.QC21</v>
      </c>
      <c r="C470" s="40" t="str">
        <f>'Build Plan w Hours'!D85</f>
        <v>QC Inspection - Returned Components from Subcontractor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005-24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005-24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005-24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2024-06-19T15:07:45Z</cp:lastPrinted>
  <dcterms:created xsi:type="dcterms:W3CDTF">2016-06-28T20:53:17Z</dcterms:created>
  <dcterms:modified xsi:type="dcterms:W3CDTF">2024-06-19T15:08:17Z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