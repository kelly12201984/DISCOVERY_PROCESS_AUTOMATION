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1-25 - Kimberly Clark - 230-TK-23001\"/>
    </mc:Choice>
  </mc:AlternateContent>
  <xr:revisionPtr revIDLastSave="0" documentId="8_{96BC5E12-B827-4FAF-9133-00BEA041E94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<sst xmlns="http://schemas.openxmlformats.org/spreadsheetml/2006/main" count="1676" uniqueCount="200">
  <si>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</si>
  <si>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</si>
  <si>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</si>
  <si>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</si>
  <si>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</si>
  <si>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</si>
  <si>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</si>
  <si>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</si>
  <si>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</si>
  <si>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</si>
  <si>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</si>
  <si>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</si>
  <si>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</si>
  <si>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</si>
  <si>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</si>
  <si>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</si>
  <si>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</si>
  <si>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</si>
  <si>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</si>
  <si>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</si>
  <si>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</si>
  <si>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</si>
  <si>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</si>
  <si>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</si>
  <si>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</si>
  <si>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</si>
  <si>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</si>
  <si>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</si>
  <si>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</si>
  <si>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</si>
  <si>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</si>
  <si>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</si>
  <si>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</si>
  <si>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</si>
  <si>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</si>
  <si>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</si>
  <si>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</si>
  <si>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</si>
  <si>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</si>
  <si>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</si>
  <si>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</si>
  <si>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</si>
  <si>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</si>
  <si>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</si>
  <si>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</si>
  <si>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</si>
  <si>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</si>
  <si>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</si>
  <si>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</si>
  <si>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</si>
  <si>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</si>
  <si>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</si>
  <si>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</si>
  <si>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</si>
  <si>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</si>
  <si>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</si>
  <si>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</si>
  <si>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.155</t>
  </si>
  <si>
    <t>Build Supports</t>
  </si>
  <si>
    <t>.165</t>
  </si>
  <si>
    <t>Install Lift Lugs on Shl</t>
  </si>
  <si>
    <t>.717</t>
  </si>
  <si>
    <t>FINISHING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</si>
  <si>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</si>
  <si>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</si>
  <si>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</si>
  <si>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</si>
  <si>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</si>
  <si>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</si>
  <si>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</si>
  <si>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</si>
  <si>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</si>
  <si>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</si>
  <si>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</si>
  <si>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</si>
  <si>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Make Manway Parts</t>
  </si>
  <si>
    <t>.115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</si>
  <si>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</si>
  <si>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</si>
  <si>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</si>
  <si>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</si>
  <si>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</si>
  <si>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</si>
  <si>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</si>
  <si>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</si>
  <si>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</si>
  <si>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</si>
  <si>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</si>
  <si>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</si>
  <si>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</si>
  <si>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</si>
  <si>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</si>
  <si>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</si>
  <si>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</si>
  <si>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</si>
  <si>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</si>
  <si>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</si>
  <si>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</si>
  <si>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</si>
  <si>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</si>
  <si>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</si>
  <si>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</si>
  <si>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</si>
  <si>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</si>
  <si>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</si>
  <si>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</si>
  <si>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</si>
  <si>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</si>
  <si>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</si>
  <si>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</si>
  <si>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</si>
  <si>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</si>
  <si>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</si>
  <si>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</si>
  <si>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</si>
  <si>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</si>
  <si>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</si>
  <si>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</si>
  <si>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</si>
  <si>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</si>
  <si>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</si>
  <si>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</si>
  <si>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</si>
  <si>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</si>
  <si>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</si>
  <si>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</si>
  <si>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</si>
  <si>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</si>
  <si>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</si>
  <si>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</si>
  <si>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</si>
  <si>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</si>
  <si>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</si>
  <si>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</si>
  <si>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</si>
  <si>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</si>
  <si>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</si>
  <si>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</si>
  <si>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</si>
  <si>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</si>
  <si>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</si>
  <si>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</si>
  <si>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</si>
  <si>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</si>
  <si>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</si>
  <si>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</si>
  <si>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</si>
  <si>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</si>
  <si>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</si>
  <si>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</si>
  <si>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</si>
  <si>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</si>
  <si>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Install Dip Pipe Supports</t>
  </si>
  <si>
    <t>.735</t>
  </si>
  <si>
    <t>Build Hatch/Door</t>
  </si>
  <si>
    <t>.140</t>
  </si>
  <si>
    <t>Cut Parts on Burn Table</t>
  </si>
  <si>
    <t>Clean &amp; Prep Parts</t>
  </si>
  <si>
    <t>.156</t>
  </si>
  <si>
    <t>Add Repads-Weld</t>
  </si>
  <si>
    <t>.730</t>
  </si>
  <si>
    <t>230-TK-23001</t>
  </si>
  <si>
    <t>C000139275</t>
  </si>
  <si>
    <t>9063.3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</si>
  <si>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</si>
  <si>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</si>
  <si>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</si>
  <si>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</si>
  <si>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</si>
  <si>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</si>
  <si>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</si>
  <si>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</si>
  <si>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Shells: bring in plate, square, trim and clean_x000D_
PREP (1) DOUBLE SHELL</t>
  </si>
  <si>
    <t>Roll shells, tack and weld inside seams_x000D_
ROLL (1) DOUBLE SHELL ; WELD L/S W 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</si>
  <si>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</si>
  <si>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</si>
  <si>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</si>
  <si>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</si>
  <si>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</si>
  <si>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</si>
  <si>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</si>
  <si>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</si>
  <si>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Fit bottom head to shell_x000D_
FOR FLAT &amp; SLOPED BOTTOM; WELD COMPLETE</t>
  </si>
  <si>
    <t>Lay out shell, burn and clean holes_x000D_
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</si>
  <si>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</si>
  <si>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</si>
  <si>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</si>
  <si>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</si>
  <si>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***SEE SAMMY BEFORE WELDING MANWAY***</t>
  </si>
  <si>
    <t>Add repads and weld_x000D_
FOR MANWAY AND MIXER STIFFENERS</t>
  </si>
  <si>
    <t>Install dip pipe supports</t>
  </si>
  <si>
    <t>Clean tank complete_x000D_
CLEAN INTERIOR TO HIGH STANDARD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</si>
  <si>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</si>
  <si>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</si>
  <si>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</si>
  <si>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</si>
  <si>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</si>
  <si>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parts_x000D_
(4) SHIM PLATES</t>
  </si>
  <si>
    <t>011-25</t>
  </si>
  <si>
    <t>Clean and prep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</si>
</sst>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3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230-TK-23001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.107</v>
      </c>
      <c r="D7" s="22" t="str">
        <f>'Sheet2-PASTE HERE!'!K17</f>
        <v>Build Repads for Nozzles, drill and tap holes</v>
      </c>
      <c r="E7" s="13">
        <f>'Sheet2-PASTE HERE!'!F17</f>
        <v>10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.115</v>
      </c>
      <c r="D8" s="22" t="str">
        <f>'Sheet2-PASTE HERE!'!K18</f>
        <v>Make manway parts: cut clips, form handles, etc. _x000D_
FOR HATCH X1</v>
      </c>
      <c r="E8" s="13">
        <f>'Sheet2-PASTE HERE!'!F18</f>
        <v>1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.135</v>
      </c>
      <c r="D9" s="22" t="str">
        <f>'Sheet2-PASTE HERE!'!K19</f>
        <v>Build davit arm assembly and cover_x000D_
FOR HATCH X1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.140</v>
      </c>
      <c r="D10" s="22" t="str">
        <f>'Sheet2-PASTE HERE!'!K20</f>
        <v>Build hatch/door_x000D_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20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42" t="s">
        <v>199</v>
      </c>
      <c r="E12" s="13">
        <f>'Sheet2-PASTE HERE!'!F22</f>
        <v>9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TACK ONLY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.205</v>
      </c>
      <c r="D15" s="22" t="str">
        <f>'Sheet2-PASTE HERE!'!K25</f>
        <v>Roll rim angle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PREP (1) DOUBLE SHELL</v>
      </c>
      <c r="E17" s="13">
        <f>'Sheet2-PASTE HERE!'!F27</f>
        <v>8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ROLL (1) DOUBLE SHELL ; WELD L/S W COBOT</v>
      </c>
      <c r="E18" s="13">
        <f>'Sheet2-PASTE HERE!'!F28</f>
        <v>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.350</v>
      </c>
      <c r="D19" s="22" t="str">
        <f>'Sheet2-PASTE HERE!'!K29</f>
        <v>Build top head/cone</v>
      </c>
      <c r="E19" s="13">
        <f>'Sheet2-PASTE HERE!'!F29</f>
        <v>10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2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.355</v>
      </c>
      <c r="D21" s="22" t="str">
        <f>'Sheet2-PASTE HERE!'!K31</f>
        <v>Lay out top head, burn and clean holes_x000D_
ON BURN TABLE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.365</v>
      </c>
      <c r="D22" s="22" t="str">
        <f>'Sheet2-PASTE HERE!'!K32</f>
        <v>Set  nozzles, lift lugs, etc. in top head - tack</v>
      </c>
      <c r="E22" s="13">
        <f>'Sheet2-PASTE HERE!'!F32</f>
        <v>8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.366</v>
      </c>
      <c r="D23" s="22" t="str">
        <f>'Sheet2-PASTE HERE!'!K33</f>
        <v>Weld out top head nozzles, etc.</v>
      </c>
      <c r="E23" s="13">
        <f>'Sheet2-PASTE HERE!'!F33</f>
        <v>14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.370</v>
      </c>
      <c r="D24" s="22" t="str">
        <f>'Sheet2-PASTE HERE!'!K34</f>
        <v>Install and weld out repads - top head</v>
      </c>
      <c r="E24" s="13">
        <f>'Sheet2-PASTE HERE!'!F34</f>
        <v>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.450</v>
      </c>
      <c r="D25" s="22" t="str">
        <f>'Sheet2-PASTE HERE!'!K35</f>
        <v>Build bottom head/cone_x000D_
FOR FLAT BOTTOM &amp; SLOPED BOTTOM</v>
      </c>
      <c r="E25" s="13">
        <f>'Sheet2-PASTE HERE!'!F35</f>
        <v>20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2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.475</v>
      </c>
      <c r="D27" s="22" t="str">
        <f>'Sheet2-PASTE HERE!'!K37</f>
        <v>Install bottom stiffeners</v>
      </c>
      <c r="E27" s="13">
        <f>'Sheet2-PASTE HERE!'!F37</f>
        <v>12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.600</v>
      </c>
      <c r="D28" s="22" t="str">
        <f>'Sheet2-PASTE HERE!'!K38</f>
        <v>Fit bottom head to shell_x000D_
FOR FLAT &amp; SLOPED BOTTOM; WELD COMPLETE</v>
      </c>
      <c r="E28" s="13">
        <f>'Sheet2-PASTE HERE!'!F38</f>
        <v>25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.615</v>
      </c>
      <c r="D29" s="22" t="str">
        <f>'Sheet2-PASTE HERE!'!K39</f>
        <v>Install rim angle - tack only</v>
      </c>
      <c r="E29" s="13">
        <f>'Sheet2-PASTE HERE!'!F39</f>
        <v>4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.616</v>
      </c>
      <c r="D30" s="22" t="str">
        <f>'Sheet2-PASTE HERE!'!K40</f>
        <v>Weld rim angle complete</v>
      </c>
      <c r="E30" s="13">
        <f>'Sheet2-PASTE HERE!'!F40</f>
        <v>5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.620</v>
      </c>
      <c r="D31" s="22" t="str">
        <f>'Sheet2-PASTE HERE!'!K41</f>
        <v>Lay out shell, burn and clean holes_x000D_
ON BURN TABLE</v>
      </c>
      <c r="E31" s="13">
        <f>'Sheet2-PASTE HERE!'!F41</f>
        <v>2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.QC5</v>
      </c>
      <c r="D32" s="22" t="str">
        <f>'Sheet2-PASTE HERE!'!K42</f>
        <v>QC Inspection - Internal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.640</v>
      </c>
      <c r="D33" s="22" t="str">
        <f>'Sheet2-PASTE HERE!'!K43</f>
        <v>Fit top head to shell - tack_x000D_
AND WELD TO RIM ANGLE</v>
      </c>
      <c r="E33" s="13">
        <f>'Sheet2-PASTE HERE!'!F43</f>
        <v>8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.800</v>
      </c>
      <c r="D34" s="22" t="str">
        <f>'Sheet2-PASTE HERE!'!K44</f>
        <v>Move tank to detail rolls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.717</v>
      </c>
      <c r="D35" s="22" t="str">
        <f>'Sheet2-PASTE HERE!'!K45</f>
        <v>Install lift lugs on shell</v>
      </c>
      <c r="E35" s="13">
        <f>'Sheet2-PASTE HERE!'!F45</f>
        <v>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.720</v>
      </c>
      <c r="D36" s="22" t="str">
        <f>'Sheet2-PASTE HERE!'!K46</f>
        <v>Install supports - legs, lugs, anchors, saddles, skirt_x000D_
AND WELD COMPLETE</v>
      </c>
      <c r="E36" s="13">
        <f>'Sheet2-PASTE HERE!'!F46</f>
        <v>12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.725</v>
      </c>
      <c r="D37" s="22" t="str">
        <f>'Sheet2-PASTE HERE!'!K47</f>
        <v>Set nozzles in shell - tack</v>
      </c>
      <c r="E37" s="13">
        <f>'Sheet2-PASTE HERE!'!F47</f>
        <v>10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.726</v>
      </c>
      <c r="D38" s="22" t="str">
        <f>'Sheet2-PASTE HERE!'!K48</f>
        <v>Weld shell nozzles, manways, etc._x000D_
***SEE SAMMY BEFORE WELDING MANWAY***</v>
      </c>
      <c r="E38" s="13">
        <f>'Sheet2-PASTE HERE!'!F48</f>
        <v>22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.730</v>
      </c>
      <c r="D39" s="22" t="str">
        <f>'Sheet2-PASTE HERE!'!K49</f>
        <v>Add repads and weld_x000D_
FOR MANWAY AND MIXER STIFFENERS</v>
      </c>
      <c r="E39" s="13">
        <f>'Sheet2-PASTE HERE!'!F49</f>
        <v>16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.735</v>
      </c>
      <c r="D40" s="22" t="str">
        <f>'Sheet2-PASTE HERE!'!K50</f>
        <v>Install dip pipe supports</v>
      </c>
      <c r="E40" s="13">
        <f>'Sheet2-PASTE HERE!'!F50</f>
        <v>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.765</v>
      </c>
      <c r="D41" s="22" t="str">
        <f>'Sheet2-PASTE HERE!'!K51</f>
        <v>Install name tag</v>
      </c>
      <c r="E41" s="13">
        <f>'Sheet2-PASTE HERE!'!F51</f>
        <v>1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.770</v>
      </c>
      <c r="D42" s="22" t="str">
        <f>'Sheet2-PASTE HERE!'!K52</f>
        <v>Inspect tank, make repairs, get QC inspector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.QC6</v>
      </c>
      <c r="D43" s="22" t="str">
        <f>'Sheet2-PASTE HERE!'!K53</f>
        <v>QC Inspection - Fabrication</v>
      </c>
      <c r="E43" s="13">
        <f>'Sheet2-PASTE HERE!'!F53</f>
        <v>0</v>
      </c>
      <c r="F43" s="12"/>
      <c r="G43" s="12"/>
      <c r="H43" s="12"/>
      <c r="K43">
        <f t="shared" si="2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.801</v>
      </c>
      <c r="D44" s="22" t="str">
        <f>'Sheet2-PASTE HERE!'!K54</f>
        <v>Move to shop test area</v>
      </c>
      <c r="E44" s="13">
        <f>'Sheet2-PASTE HERE!'!F54</f>
        <v>2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.910</v>
      </c>
      <c r="D45" s="22" t="str">
        <f>'Sheet2-PASTE HERE!'!K55</f>
        <v>Test tank</v>
      </c>
      <c r="E45" s="13">
        <f>'Sheet2-PASTE HERE!'!F55</f>
        <v>12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.QC7</v>
      </c>
      <c r="D46" s="22" t="str">
        <f>'Sheet2-PASTE HERE!'!K56</f>
        <v>QC Inspection - Test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.920</v>
      </c>
      <c r="D47" s="22" t="str">
        <f>'Sheet2-PASTE HERE!'!K57</f>
        <v>Clean tank complete_x000D_
CLEAN INTERIOR TO HIGH STANDARD</v>
      </c>
      <c r="E47" s="13">
        <f>'Sheet2-PASTE HERE!'!F57</f>
        <v>30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.QC8</v>
      </c>
      <c r="D48" s="22" t="str">
        <f>'Sheet2-PASTE HERE!'!K58</f>
        <v>QC Inspection - Clean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.940</v>
      </c>
      <c r="D49" s="22" t="str">
        <f>'Sheet2-PASTE HERE!'!K59</f>
        <v>Prepare tank for shipment</v>
      </c>
      <c r="E49" s="13">
        <f>'Sheet2-PASTE HERE!'!F59</f>
        <v>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.950</v>
      </c>
      <c r="D50" s="22" t="str">
        <f>'Sheet2-PASTE HERE!'!K60</f>
        <v>Check bill of materials and pack loose parts_x000D_
(4) SHIM PLATES</v>
      </c>
      <c r="E50" s="13">
        <f>'Sheet2-PASTE HERE!'!F60</f>
        <v>1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</v>
      </c>
      <c r="E51" s="13">
        <f>'Sheet2-PASTE HERE!'!F61</f>
        <v>3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D11" sqref="D1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198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230-TK-23001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.107</v>
      </c>
      <c r="D7" s="22" t="str">
        <f>'Sheet2-PASTE HERE!'!K17</f>
        <v>Build Repads for Nozzles, drill and tap holes</v>
      </c>
      <c r="E7" s="13">
        <f>'Sheet2-PASTE HERE!'!F17</f>
        <v>10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.115</v>
      </c>
      <c r="D8" s="22" t="str">
        <f>'Sheet2-PASTE HERE!'!K18</f>
        <v>Make manway parts: cut clips, form handles, etc. _x000D_
FOR HATCH X1</v>
      </c>
      <c r="E8" s="13">
        <f>'Sheet2-PASTE HERE!'!F18</f>
        <v>1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.135</v>
      </c>
      <c r="D9" s="22" t="str">
        <f>'Sheet2-PASTE HERE!'!K19</f>
        <v>Build davit arm assembly and cover_x000D_
FOR HATCH X1</v>
      </c>
      <c r="E9" s="13">
        <f>'Sheet2-PASTE HERE!'!F19</f>
        <v>1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.140</v>
      </c>
      <c r="D10" s="22" t="str">
        <f>'Sheet2-PASTE HERE!'!K20</f>
        <v>Build hatch/door_x000D_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20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42" t="s">
        <v>199</v>
      </c>
      <c r="E12" s="13">
        <f>'Sheet2-PASTE HERE!'!F22</f>
        <v>9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saddles_x000D_
TACK ONLY</v>
      </c>
      <c r="E13" s="13">
        <f>'Sheet2-PASTE HERE!'!F23</f>
        <v>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.200</v>
      </c>
      <c r="D14" s="22" t="str">
        <f>'Sheet2-PASTE HERE!'!K24</f>
        <v>Make lift lugs, ground lugs, etc.</v>
      </c>
      <c r="E14" s="13">
        <f>'Sheet2-PASTE HERE!'!F24</f>
        <v>2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.205</v>
      </c>
      <c r="D15" s="22" t="str">
        <f>'Sheet2-PASTE HERE!'!K25</f>
        <v>Roll rim angle</v>
      </c>
      <c r="E15" s="13">
        <f>'Sheet2-PASTE HERE!'!F25</f>
        <v>3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INSPECTION</v>
      </c>
      <c r="B16" s="11"/>
      <c r="C16" s="17" t="str">
        <f>'Sheet2-PASTE HERE!'!I26</f>
        <v>.QC3</v>
      </c>
      <c r="D16" s="22" t="str">
        <f>'Sheet2-PASTE HERE!'!K26</f>
        <v>UT Shells</v>
      </c>
      <c r="E16" s="13">
        <f>'Sheet2-PASTE HERE!'!F26</f>
        <v>0</v>
      </c>
      <c r="F16" s="12"/>
      <c r="G16" s="12"/>
      <c r="H16" s="12"/>
      <c r="K16">
        <f t="shared" si="0"/>
        <v>1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.305</v>
      </c>
      <c r="D17" s="22" t="str">
        <f>'Sheet2-PASTE HERE!'!K27</f>
        <v>Shells: bring in plate, square, trim and clean_x000D_
PREP (1) DOUBLE SHELL</v>
      </c>
      <c r="E17" s="13">
        <f>'Sheet2-PASTE HERE!'!F27</f>
        <v>8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.315</v>
      </c>
      <c r="D18" s="22" t="str">
        <f>'Sheet2-PASTE HERE!'!K28</f>
        <v>Roll shells, tack and weld inside seams_x000D_
ROLL (1) DOUBLE SHELL ; WELD L/S W COBOT</v>
      </c>
      <c r="E18" s="13">
        <f>'Sheet2-PASTE HERE!'!F28</f>
        <v>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.350</v>
      </c>
      <c r="D19" s="22" t="str">
        <f>'Sheet2-PASTE HERE!'!K29</f>
        <v>Build top head/cone</v>
      </c>
      <c r="E19" s="13">
        <f>'Sheet2-PASTE HERE!'!F29</f>
        <v>10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INSPECTION</v>
      </c>
      <c r="B20" s="11"/>
      <c r="C20" s="17" t="str">
        <f>'Sheet2-PASTE HERE!'!I30</f>
        <v>.QC4</v>
      </c>
      <c r="D20" s="22" t="str">
        <f>'Sheet2-PASTE HERE!'!K30</f>
        <v>QC Inspection - Top/Bottom/Cones</v>
      </c>
      <c r="E20" s="13">
        <f>'Sheet2-PASTE HERE!'!F30</f>
        <v>0</v>
      </c>
      <c r="F20" s="12"/>
      <c r="G20" s="12"/>
      <c r="H20" s="12"/>
      <c r="K20">
        <f t="shared" si="0"/>
        <v>1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.355</v>
      </c>
      <c r="D21" s="22" t="str">
        <f>'Sheet2-PASTE HERE!'!K31</f>
        <v>Lay out top head, burn and clean holes_x000D_
ON BURN TABLE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.365</v>
      </c>
      <c r="D22" s="22" t="str">
        <f>'Sheet2-PASTE HERE!'!K32</f>
        <v>Set  nozzles, lift lugs, etc. in top head - tack</v>
      </c>
      <c r="E22" s="13">
        <f>'Sheet2-PASTE HERE!'!F32</f>
        <v>8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.366</v>
      </c>
      <c r="D23" s="22" t="str">
        <f>'Sheet2-PASTE HERE!'!K33</f>
        <v>Weld out top head nozzles, etc.</v>
      </c>
      <c r="E23" s="13">
        <f>'Sheet2-PASTE HERE!'!F33</f>
        <v>14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.370</v>
      </c>
      <c r="D24" s="22" t="str">
        <f>'Sheet2-PASTE HERE!'!K34</f>
        <v>Install and weld out repads - top head</v>
      </c>
      <c r="E24" s="13">
        <f>'Sheet2-PASTE HERE!'!F34</f>
        <v>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.450</v>
      </c>
      <c r="D25" s="22" t="str">
        <f>'Sheet2-PASTE HERE!'!K35</f>
        <v>Build bottom head/cone_x000D_
FOR FLAT BOTTOM &amp; SLOPED BOTTOM</v>
      </c>
      <c r="E25" s="13">
        <f>'Sheet2-PASTE HERE!'!F35</f>
        <v>20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INSPECTION</v>
      </c>
      <c r="B26" s="11"/>
      <c r="C26" s="17" t="str">
        <f>'Sheet2-PASTE HERE!'!I36</f>
        <v>.QC4</v>
      </c>
      <c r="D26" s="22" t="str">
        <f>'Sheet2-PASTE HERE!'!K36</f>
        <v>QC Inspection - Top/Bottom/Cones</v>
      </c>
      <c r="E26" s="13">
        <f>'Sheet2-PASTE HERE!'!F36</f>
        <v>0</v>
      </c>
      <c r="F26" s="12"/>
      <c r="G26" s="12"/>
      <c r="H26" s="12"/>
      <c r="K26">
        <f t="shared" si="0"/>
        <v>1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.475</v>
      </c>
      <c r="D27" s="22" t="str">
        <f>'Sheet2-PASTE HERE!'!K37</f>
        <v>Install bottom stiffeners</v>
      </c>
      <c r="E27" s="13">
        <f>'Sheet2-PASTE HERE!'!F37</f>
        <v>12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FIT</v>
      </c>
      <c r="B28" s="11"/>
      <c r="C28" s="17" t="str">
        <f>'Sheet2-PASTE HERE!'!I38</f>
        <v>.600</v>
      </c>
      <c r="D28" s="22" t="str">
        <f>'Sheet2-PASTE HERE!'!K38</f>
        <v>Fit bottom head to shell_x000D_
FOR FLAT &amp; SLOPED BOTTOM; WELD COMPLETE</v>
      </c>
      <c r="E28" s="13">
        <f>'Sheet2-PASTE HERE!'!F38</f>
        <v>25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FIT</v>
      </c>
      <c r="B29" s="11"/>
      <c r="C29" s="17" t="str">
        <f>'Sheet2-PASTE HERE!'!I39</f>
        <v>.615</v>
      </c>
      <c r="D29" s="22" t="str">
        <f>'Sheet2-PASTE HERE!'!K39</f>
        <v>Install rim angle - tack only</v>
      </c>
      <c r="E29" s="13">
        <f>'Sheet2-PASTE HERE!'!F39</f>
        <v>4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.616</v>
      </c>
      <c r="D30" s="22" t="str">
        <f>'Sheet2-PASTE HERE!'!K40</f>
        <v>Weld rim angle complete</v>
      </c>
      <c r="E30" s="13">
        <f>'Sheet2-PASTE HERE!'!F40</f>
        <v>5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.620</v>
      </c>
      <c r="D31" s="22" t="str">
        <f>'Sheet2-PASTE HERE!'!K41</f>
        <v>Lay out shell, burn and clean holes_x000D_
ON BURN TABLE</v>
      </c>
      <c r="E31" s="13">
        <f>'Sheet2-PASTE HERE!'!F41</f>
        <v>2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.QC5</v>
      </c>
      <c r="D32" s="22" t="str">
        <f>'Sheet2-PASTE HERE!'!K42</f>
        <v>QC Inspection - Internal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.640</v>
      </c>
      <c r="D33" s="22" t="str">
        <f>'Sheet2-PASTE HERE!'!K43</f>
        <v>Fit top head to shell - tack_x000D_
AND WELD TO RIM ANGLE</v>
      </c>
      <c r="E33" s="13">
        <f>'Sheet2-PASTE HERE!'!F43</f>
        <v>8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MOVE TANK</v>
      </c>
      <c r="B34" s="11"/>
      <c r="C34" s="17" t="str">
        <f>'Sheet2-PASTE HERE!'!I44</f>
        <v>.800</v>
      </c>
      <c r="D34" s="22" t="str">
        <f>'Sheet2-PASTE HERE!'!K44</f>
        <v>Move tank to detail rolls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.717</v>
      </c>
      <c r="D35" s="22" t="str">
        <f>'Sheet2-PASTE HERE!'!K45</f>
        <v>Install lift lugs on shell</v>
      </c>
      <c r="E35" s="13">
        <f>'Sheet2-PASTE HERE!'!F45</f>
        <v>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.720</v>
      </c>
      <c r="D36" s="22" t="str">
        <f>'Sheet2-PASTE HERE!'!K46</f>
        <v>Install supports - legs, lugs, anchors, saddles, skirt_x000D_
AND WELD COMPLETE</v>
      </c>
      <c r="E36" s="13">
        <f>'Sheet2-PASTE HERE!'!F46</f>
        <v>12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.725</v>
      </c>
      <c r="D37" s="22" t="str">
        <f>'Sheet2-PASTE HERE!'!K47</f>
        <v>Set nozzles in shell - tack</v>
      </c>
      <c r="E37" s="13">
        <f>'Sheet2-PASTE HERE!'!F47</f>
        <v>10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.726</v>
      </c>
      <c r="D38" s="22" t="str">
        <f>'Sheet2-PASTE HERE!'!K48</f>
        <v>Weld shell nozzles, manways, etc._x000D_
***SEE SAMMY BEFORE WELDING MANWAY***</v>
      </c>
      <c r="E38" s="13">
        <f>'Sheet2-PASTE HERE!'!F48</f>
        <v>22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.730</v>
      </c>
      <c r="D39" s="22" t="str">
        <f>'Sheet2-PASTE HERE!'!K49</f>
        <v>Add repads and weld_x000D_
FOR MANWAY AND MIXER STIFFENERS</v>
      </c>
      <c r="E39" s="13">
        <f>'Sheet2-PASTE HERE!'!F49</f>
        <v>16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.735</v>
      </c>
      <c r="D40" s="22" t="str">
        <f>'Sheet2-PASTE HERE!'!K50</f>
        <v>Install dip pipe supports</v>
      </c>
      <c r="E40" s="13">
        <f>'Sheet2-PASTE HERE!'!F50</f>
        <v>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FINISHING</v>
      </c>
      <c r="B41" s="11"/>
      <c r="C41" s="17" t="str">
        <f>'Sheet2-PASTE HERE!'!I51</f>
        <v>.765</v>
      </c>
      <c r="D41" s="22" t="str">
        <f>'Sheet2-PASTE HERE!'!K51</f>
        <v>Install name tag</v>
      </c>
      <c r="E41" s="13">
        <f>'Sheet2-PASTE HERE!'!F51</f>
        <v>1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.770</v>
      </c>
      <c r="D42" s="22" t="str">
        <f>'Sheet2-PASTE HERE!'!K52</f>
        <v>Inspect tank, make repairs, get QC inspector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INSPECTION</v>
      </c>
      <c r="B43" s="11"/>
      <c r="C43" s="17" t="str">
        <f>'Sheet2-PASTE HERE!'!I53</f>
        <v>.QC6</v>
      </c>
      <c r="D43" s="22" t="str">
        <f>'Sheet2-PASTE HERE!'!K53</f>
        <v>QC Inspection - Fabrication</v>
      </c>
      <c r="E43" s="13">
        <f>'Sheet2-PASTE HERE!'!F53</f>
        <v>0</v>
      </c>
      <c r="F43" s="12"/>
      <c r="G43" s="12"/>
      <c r="H43" s="12"/>
      <c r="K43">
        <f t="shared" si="0"/>
        <v>1</v>
      </c>
      <c r="L43">
        <f t="shared" si="1"/>
        <v>0</v>
      </c>
    </row>
    <row r="44" spans="1:12" ht="26.25" customHeight="1" x14ac:dyDescent="0.2">
      <c r="A44" s="10" t="str">
        <f>'Sheet2-PASTE HERE!'!A54</f>
        <v>MOVE TANK</v>
      </c>
      <c r="B44" s="11"/>
      <c r="C44" s="17" t="str">
        <f>'Sheet2-PASTE HERE!'!I54</f>
        <v>.801</v>
      </c>
      <c r="D44" s="22" t="str">
        <f>'Sheet2-PASTE HERE!'!K54</f>
        <v>Move to shop test area</v>
      </c>
      <c r="E44" s="13">
        <f>'Sheet2-PASTE HERE!'!F54</f>
        <v>2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.910</v>
      </c>
      <c r="D45" s="22" t="str">
        <f>'Sheet2-PASTE HERE!'!K55</f>
        <v>Test tank</v>
      </c>
      <c r="E45" s="13">
        <f>'Sheet2-PASTE HERE!'!F55</f>
        <v>12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.QC7</v>
      </c>
      <c r="D46" s="22" t="str">
        <f>'Sheet2-PASTE HERE!'!K56</f>
        <v>QC Inspection - Test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FINISHING</v>
      </c>
      <c r="B47" s="11"/>
      <c r="C47" s="17" t="str">
        <f>'Sheet2-PASTE HERE!'!I57</f>
        <v>.920</v>
      </c>
      <c r="D47" s="22" t="str">
        <f>'Sheet2-PASTE HERE!'!K57</f>
        <v>Clean tank complete_x000D_
CLEAN INTERIOR TO HIGH STANDARD</v>
      </c>
      <c r="E47" s="13">
        <f>'Sheet2-PASTE HERE!'!F57</f>
        <v>30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.QC8</v>
      </c>
      <c r="D48" s="22" t="str">
        <f>'Sheet2-PASTE HERE!'!K58</f>
        <v>QC Inspection - Clean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.940</v>
      </c>
      <c r="D49" s="22" t="str">
        <f>'Sheet2-PASTE HERE!'!K59</f>
        <v>Prepare tank for shipment</v>
      </c>
      <c r="E49" s="13">
        <f>'Sheet2-PASTE HERE!'!F59</f>
        <v>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.950</v>
      </c>
      <c r="D50" s="22" t="str">
        <f>'Sheet2-PASTE HERE!'!K60</f>
        <v>Check bill of materials and pack loose parts_x000D_
(4) SHIM PLATES</v>
      </c>
      <c r="E50" s="13">
        <f>'Sheet2-PASTE HERE!'!F60</f>
        <v>1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SHIPPING</v>
      </c>
      <c r="B51" s="11"/>
      <c r="C51" s="17" t="str">
        <f>'Sheet2-PASTE HERE!'!I61</f>
        <v>.960</v>
      </c>
      <c r="D51" s="22" t="str">
        <f>'Sheet2-PASTE HERE!'!K61</f>
        <v>Load on truck</v>
      </c>
      <c r="E51" s="13">
        <f>'Sheet2-PASTE HERE!'!F61</f>
        <v>3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 t="str">
        <f>'Sheet2-PASTE HERE!'!F63</f>
        <v/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161</v>
      </c>
      <c r="C1" s="8" t="s">
        <v>17</v>
      </c>
      <c r="D1" s="8" t="s">
        <v>162</v>
      </c>
      <c r="E1" s="8" t="s">
        <v>18</v>
      </c>
      <c r="F1" s="8" t="s">
        <v>163</v>
      </c>
      <c r="G1" s="8" t="s">
        <v>161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298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54878</v>
      </c>
      <c r="C15" s="19">
        <v>0</v>
      </c>
      <c r="D15" s="8" t="s">
        <v>70</v>
      </c>
      <c r="E15" s="20">
        <v>0</v>
      </c>
      <c r="F15" s="20">
        <v>0</v>
      </c>
      <c r="G15" s="8" t="s">
        <v>54</v>
      </c>
      <c r="H15" s="20">
        <v>0</v>
      </c>
      <c r="I15" s="8" t="s">
        <v>71</v>
      </c>
      <c r="J15" s="19">
        <v>0</v>
      </c>
      <c r="K15" s="8" t="s">
        <v>70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54879</v>
      </c>
      <c r="C16" s="19">
        <v>0</v>
      </c>
      <c r="D16" s="8" t="s">
        <v>72</v>
      </c>
      <c r="E16" s="20">
        <v>0</v>
      </c>
      <c r="F16" s="20">
        <v>0</v>
      </c>
      <c r="G16" s="8" t="s">
        <v>54</v>
      </c>
      <c r="H16" s="20">
        <v>0</v>
      </c>
      <c r="I16" s="8" t="s">
        <v>73</v>
      </c>
      <c r="J16" s="19">
        <v>0</v>
      </c>
      <c r="K16" s="8" t="s">
        <v>74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54880</v>
      </c>
      <c r="C17" s="19">
        <v>0</v>
      </c>
      <c r="D17" s="8" t="s">
        <v>164</v>
      </c>
      <c r="E17" s="20">
        <v>0</v>
      </c>
      <c r="F17" s="20">
        <v>10</v>
      </c>
      <c r="G17" s="8" t="s">
        <v>54</v>
      </c>
      <c r="H17" s="20">
        <v>10</v>
      </c>
      <c r="I17" s="8" t="s">
        <v>165</v>
      </c>
      <c r="J17" s="19">
        <v>0</v>
      </c>
      <c r="K17" s="8" t="s">
        <v>166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54881</v>
      </c>
      <c r="C18" s="19">
        <v>0</v>
      </c>
      <c r="D18" s="8" t="s">
        <v>75</v>
      </c>
      <c r="E18" s="20">
        <v>0</v>
      </c>
      <c r="F18" s="20">
        <v>1</v>
      </c>
      <c r="G18" s="8" t="s">
        <v>54</v>
      </c>
      <c r="H18" s="20">
        <v>1</v>
      </c>
      <c r="I18" s="8" t="s">
        <v>76</v>
      </c>
      <c r="J18" s="19">
        <v>0</v>
      </c>
      <c r="K18" s="8" t="s">
        <v>167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54882</v>
      </c>
      <c r="C19" s="19">
        <v>0</v>
      </c>
      <c r="D19" s="8" t="s">
        <v>77</v>
      </c>
      <c r="E19" s="20">
        <v>0</v>
      </c>
      <c r="F19" s="20">
        <v>1</v>
      </c>
      <c r="G19" s="8" t="s">
        <v>54</v>
      </c>
      <c r="H19" s="20">
        <v>1</v>
      </c>
      <c r="I19" s="8" t="s">
        <v>78</v>
      </c>
      <c r="J19" s="19">
        <v>0</v>
      </c>
      <c r="K19" s="8" t="s">
        <v>168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54883</v>
      </c>
      <c r="C20" s="19">
        <v>0</v>
      </c>
      <c r="D20" s="8" t="s">
        <v>154</v>
      </c>
      <c r="E20" s="20">
        <v>0</v>
      </c>
      <c r="F20" s="20">
        <v>1</v>
      </c>
      <c r="G20" s="8" t="s">
        <v>54</v>
      </c>
      <c r="H20" s="20">
        <v>1</v>
      </c>
      <c r="I20" s="8" t="s">
        <v>155</v>
      </c>
      <c r="J20" s="19">
        <v>0</v>
      </c>
      <c r="K20" s="8" t="s">
        <v>169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54884</v>
      </c>
      <c r="C21" s="19">
        <v>0</v>
      </c>
      <c r="D21" s="8" t="s">
        <v>156</v>
      </c>
      <c r="E21" s="20">
        <v>0</v>
      </c>
      <c r="F21" s="20">
        <v>20</v>
      </c>
      <c r="G21" s="8" t="s">
        <v>54</v>
      </c>
      <c r="H21" s="20">
        <v>20</v>
      </c>
      <c r="I21" s="8" t="s">
        <v>57</v>
      </c>
      <c r="J21" s="19">
        <v>0</v>
      </c>
      <c r="K21" s="8" t="s">
        <v>79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54885</v>
      </c>
      <c r="C22" s="19">
        <v>0</v>
      </c>
      <c r="D22" s="8" t="s">
        <v>157</v>
      </c>
      <c r="E22" s="20">
        <v>0</v>
      </c>
      <c r="F22" s="20">
        <v>9</v>
      </c>
      <c r="G22" s="8" t="s">
        <v>54</v>
      </c>
      <c r="H22" s="20">
        <v>9</v>
      </c>
      <c r="I22" s="8" t="s">
        <v>158</v>
      </c>
      <c r="J22" s="19">
        <v>0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54886</v>
      </c>
      <c r="C23" s="19">
        <v>0</v>
      </c>
      <c r="D23" s="8" t="s">
        <v>58</v>
      </c>
      <c r="E23" s="20">
        <v>0</v>
      </c>
      <c r="F23" s="20">
        <v>4</v>
      </c>
      <c r="G23" s="8" t="s">
        <v>54</v>
      </c>
      <c r="H23" s="20">
        <v>4</v>
      </c>
      <c r="I23" s="8" t="s">
        <v>59</v>
      </c>
      <c r="J23" s="19">
        <v>0</v>
      </c>
      <c r="K23" s="8" t="s">
        <v>170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54887</v>
      </c>
      <c r="C24" s="19">
        <v>0</v>
      </c>
      <c r="D24" s="8" t="s">
        <v>80</v>
      </c>
      <c r="E24" s="20">
        <v>0</v>
      </c>
      <c r="F24" s="20">
        <v>2</v>
      </c>
      <c r="G24" s="8" t="s">
        <v>54</v>
      </c>
      <c r="H24" s="20">
        <v>2</v>
      </c>
      <c r="I24" s="8" t="s">
        <v>81</v>
      </c>
      <c r="J24" s="19">
        <v>0</v>
      </c>
      <c r="K24" s="8" t="s">
        <v>171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54888</v>
      </c>
      <c r="C25" s="19">
        <v>0</v>
      </c>
      <c r="D25" s="8" t="s">
        <v>136</v>
      </c>
      <c r="E25" s="20">
        <v>0</v>
      </c>
      <c r="F25" s="20">
        <v>3</v>
      </c>
      <c r="G25" s="8" t="s">
        <v>54</v>
      </c>
      <c r="H25" s="20">
        <v>3</v>
      </c>
      <c r="I25" s="8" t="s">
        <v>137</v>
      </c>
      <c r="J25" s="19">
        <v>0</v>
      </c>
      <c r="K25" s="8" t="s">
        <v>138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53</v>
      </c>
      <c r="B26" s="18">
        <v>54889</v>
      </c>
      <c r="C26" s="19">
        <v>0</v>
      </c>
      <c r="D26" s="8" t="s">
        <v>82</v>
      </c>
      <c r="E26" s="20">
        <v>0</v>
      </c>
      <c r="F26" s="20">
        <v>0</v>
      </c>
      <c r="G26" s="8" t="s">
        <v>54</v>
      </c>
      <c r="H26" s="20">
        <v>0</v>
      </c>
      <c r="I26" s="8" t="s">
        <v>83</v>
      </c>
      <c r="J26" s="19">
        <v>0</v>
      </c>
      <c r="K26" s="8" t="s">
        <v>82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54890</v>
      </c>
      <c r="C27" s="19">
        <v>0</v>
      </c>
      <c r="D27" s="8" t="s">
        <v>84</v>
      </c>
      <c r="E27" s="20">
        <v>0</v>
      </c>
      <c r="F27" s="20">
        <v>8</v>
      </c>
      <c r="G27" s="8" t="s">
        <v>54</v>
      </c>
      <c r="H27" s="20">
        <v>8</v>
      </c>
      <c r="I27" s="8" t="s">
        <v>85</v>
      </c>
      <c r="J27" s="19">
        <v>0</v>
      </c>
      <c r="K27" s="8" t="s">
        <v>172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54891</v>
      </c>
      <c r="C28" s="19">
        <v>0</v>
      </c>
      <c r="D28" s="8" t="s">
        <v>86</v>
      </c>
      <c r="E28" s="20">
        <v>0</v>
      </c>
      <c r="F28" s="20">
        <v>4</v>
      </c>
      <c r="G28" s="8" t="s">
        <v>54</v>
      </c>
      <c r="H28" s="20">
        <v>4</v>
      </c>
      <c r="I28" s="8" t="s">
        <v>87</v>
      </c>
      <c r="J28" s="19">
        <v>0</v>
      </c>
      <c r="K28" s="8" t="s">
        <v>173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54892</v>
      </c>
      <c r="C29" s="19">
        <v>0</v>
      </c>
      <c r="D29" s="8" t="s">
        <v>139</v>
      </c>
      <c r="E29" s="20">
        <v>0</v>
      </c>
      <c r="F29" s="20">
        <v>10</v>
      </c>
      <c r="G29" s="8" t="s">
        <v>54</v>
      </c>
      <c r="H29" s="20">
        <v>10</v>
      </c>
      <c r="I29" s="8" t="s">
        <v>140</v>
      </c>
      <c r="J29" s="19">
        <v>0</v>
      </c>
      <c r="K29" s="8" t="s">
        <v>141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53</v>
      </c>
      <c r="B30" s="18">
        <v>54893</v>
      </c>
      <c r="C30" s="19">
        <v>0</v>
      </c>
      <c r="D30" s="8" t="s">
        <v>88</v>
      </c>
      <c r="E30" s="20">
        <v>0</v>
      </c>
      <c r="F30" s="20">
        <v>0</v>
      </c>
      <c r="G30" s="8" t="s">
        <v>54</v>
      </c>
      <c r="H30" s="20">
        <v>0</v>
      </c>
      <c r="I30" s="8" t="s">
        <v>89</v>
      </c>
      <c r="J30" s="19">
        <v>0</v>
      </c>
      <c r="K30" s="8" t="s">
        <v>90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54894</v>
      </c>
      <c r="C31" s="19">
        <v>0</v>
      </c>
      <c r="D31" s="8" t="s">
        <v>91</v>
      </c>
      <c r="E31" s="20">
        <v>0</v>
      </c>
      <c r="F31" s="20">
        <v>1</v>
      </c>
      <c r="G31" s="8" t="s">
        <v>54</v>
      </c>
      <c r="H31" s="20">
        <v>1</v>
      </c>
      <c r="I31" s="8" t="s">
        <v>92</v>
      </c>
      <c r="J31" s="19">
        <v>0</v>
      </c>
      <c r="K31" s="8" t="s">
        <v>174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54895</v>
      </c>
      <c r="C32" s="19">
        <v>0</v>
      </c>
      <c r="D32" s="8" t="s">
        <v>93</v>
      </c>
      <c r="E32" s="20">
        <v>0</v>
      </c>
      <c r="F32" s="20">
        <v>8</v>
      </c>
      <c r="G32" s="8" t="s">
        <v>54</v>
      </c>
      <c r="H32" s="20">
        <v>8</v>
      </c>
      <c r="I32" s="8" t="s">
        <v>94</v>
      </c>
      <c r="J32" s="19">
        <v>0</v>
      </c>
      <c r="K32" s="8" t="s">
        <v>175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54896</v>
      </c>
      <c r="C33" s="19">
        <v>0</v>
      </c>
      <c r="D33" s="8" t="s">
        <v>95</v>
      </c>
      <c r="E33" s="20">
        <v>0</v>
      </c>
      <c r="F33" s="20">
        <v>14</v>
      </c>
      <c r="G33" s="8" t="s">
        <v>54</v>
      </c>
      <c r="H33" s="20">
        <v>14</v>
      </c>
      <c r="I33" s="8" t="s">
        <v>96</v>
      </c>
      <c r="J33" s="19">
        <v>0</v>
      </c>
      <c r="K33" s="8" t="s">
        <v>176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54897</v>
      </c>
      <c r="C34" s="19">
        <v>0</v>
      </c>
      <c r="D34" s="8" t="s">
        <v>142</v>
      </c>
      <c r="E34" s="20">
        <v>0</v>
      </c>
      <c r="F34" s="20">
        <v>8</v>
      </c>
      <c r="G34" s="8" t="s">
        <v>54</v>
      </c>
      <c r="H34" s="20">
        <v>8</v>
      </c>
      <c r="I34" s="8" t="s">
        <v>143</v>
      </c>
      <c r="J34" s="19">
        <v>0</v>
      </c>
      <c r="K34" s="8" t="s">
        <v>177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54898</v>
      </c>
      <c r="C35" s="19">
        <v>0</v>
      </c>
      <c r="D35" s="8" t="s">
        <v>144</v>
      </c>
      <c r="E35" s="20">
        <v>0</v>
      </c>
      <c r="F35" s="20">
        <v>20</v>
      </c>
      <c r="G35" s="8" t="s">
        <v>54</v>
      </c>
      <c r="H35" s="20">
        <v>20</v>
      </c>
      <c r="I35" s="8" t="s">
        <v>145</v>
      </c>
      <c r="J35" s="19">
        <v>0</v>
      </c>
      <c r="K35" s="8" t="s">
        <v>178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53</v>
      </c>
      <c r="B36" s="18">
        <v>54899</v>
      </c>
      <c r="C36" s="19">
        <v>0</v>
      </c>
      <c r="D36" s="8" t="s">
        <v>88</v>
      </c>
      <c r="E36" s="20">
        <v>0</v>
      </c>
      <c r="F36" s="20">
        <v>0</v>
      </c>
      <c r="G36" s="8" t="s">
        <v>54</v>
      </c>
      <c r="H36" s="20">
        <v>0</v>
      </c>
      <c r="I36" s="8" t="s">
        <v>89</v>
      </c>
      <c r="J36" s="19">
        <v>0</v>
      </c>
      <c r="K36" s="8" t="s">
        <v>90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54900</v>
      </c>
      <c r="C37" s="19">
        <v>0</v>
      </c>
      <c r="D37" s="8" t="s">
        <v>179</v>
      </c>
      <c r="E37" s="20">
        <v>0</v>
      </c>
      <c r="F37" s="20">
        <v>12</v>
      </c>
      <c r="G37" s="8" t="s">
        <v>54</v>
      </c>
      <c r="H37" s="20">
        <v>12</v>
      </c>
      <c r="I37" s="8" t="s">
        <v>180</v>
      </c>
      <c r="J37" s="19">
        <v>0</v>
      </c>
      <c r="K37" s="8" t="s">
        <v>181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69</v>
      </c>
      <c r="B38" s="18">
        <v>54901</v>
      </c>
      <c r="C38" s="19">
        <v>0</v>
      </c>
      <c r="D38" s="8" t="s">
        <v>97</v>
      </c>
      <c r="E38" s="20">
        <v>0</v>
      </c>
      <c r="F38" s="20">
        <v>25</v>
      </c>
      <c r="G38" s="8" t="s">
        <v>54</v>
      </c>
      <c r="H38" s="20">
        <v>25</v>
      </c>
      <c r="I38" s="8" t="s">
        <v>98</v>
      </c>
      <c r="J38" s="19">
        <v>0</v>
      </c>
      <c r="K38" s="8" t="s">
        <v>182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69</v>
      </c>
      <c r="B39" s="18">
        <v>54902</v>
      </c>
      <c r="C39" s="19">
        <v>0</v>
      </c>
      <c r="D39" s="8" t="s">
        <v>146</v>
      </c>
      <c r="E39" s="20">
        <v>0</v>
      </c>
      <c r="F39" s="20">
        <v>4</v>
      </c>
      <c r="G39" s="8" t="s">
        <v>54</v>
      </c>
      <c r="H39" s="20">
        <v>4</v>
      </c>
      <c r="I39" s="8" t="s">
        <v>147</v>
      </c>
      <c r="J39" s="19">
        <v>0</v>
      </c>
      <c r="K39" s="8" t="s">
        <v>148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69</v>
      </c>
      <c r="B40" s="18">
        <v>54903</v>
      </c>
      <c r="C40" s="19">
        <v>0</v>
      </c>
      <c r="D40" s="8" t="s">
        <v>149</v>
      </c>
      <c r="E40" s="20">
        <v>0</v>
      </c>
      <c r="F40" s="20">
        <v>5</v>
      </c>
      <c r="G40" s="8" t="s">
        <v>54</v>
      </c>
      <c r="H40" s="20">
        <v>5</v>
      </c>
      <c r="I40" s="8" t="s">
        <v>150</v>
      </c>
      <c r="J40" s="19">
        <v>0</v>
      </c>
      <c r="K40" s="8" t="s">
        <v>151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69</v>
      </c>
      <c r="B41" s="18">
        <v>54904</v>
      </c>
      <c r="C41" s="19">
        <v>0</v>
      </c>
      <c r="D41" s="8" t="s">
        <v>99</v>
      </c>
      <c r="E41" s="20">
        <v>0</v>
      </c>
      <c r="F41" s="20">
        <v>2</v>
      </c>
      <c r="G41" s="8" t="s">
        <v>54</v>
      </c>
      <c r="H41" s="20">
        <v>2</v>
      </c>
      <c r="I41" s="8" t="s">
        <v>100</v>
      </c>
      <c r="J41" s="19">
        <v>0</v>
      </c>
      <c r="K41" s="8" t="s">
        <v>183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54905</v>
      </c>
      <c r="C42" s="19">
        <v>0</v>
      </c>
      <c r="D42" s="8" t="s">
        <v>101</v>
      </c>
      <c r="E42" s="20">
        <v>0</v>
      </c>
      <c r="F42" s="20">
        <v>0</v>
      </c>
      <c r="G42" s="8" t="s">
        <v>54</v>
      </c>
      <c r="H42" s="20">
        <v>0</v>
      </c>
      <c r="I42" s="8" t="s">
        <v>102</v>
      </c>
      <c r="J42" s="19">
        <v>0</v>
      </c>
      <c r="K42" s="8" t="s">
        <v>101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69</v>
      </c>
      <c r="B43" s="18">
        <v>54906</v>
      </c>
      <c r="C43" s="19">
        <v>0</v>
      </c>
      <c r="D43" s="8" t="s">
        <v>103</v>
      </c>
      <c r="E43" s="20">
        <v>0</v>
      </c>
      <c r="F43" s="20">
        <v>8</v>
      </c>
      <c r="G43" s="8" t="s">
        <v>54</v>
      </c>
      <c r="H43" s="20">
        <v>8</v>
      </c>
      <c r="I43" s="8" t="s">
        <v>104</v>
      </c>
      <c r="J43" s="19">
        <v>0</v>
      </c>
      <c r="K43" s="8" t="s">
        <v>184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105</v>
      </c>
      <c r="B44" s="18">
        <v>54907</v>
      </c>
      <c r="C44" s="19">
        <v>0</v>
      </c>
      <c r="D44" s="8" t="s">
        <v>106</v>
      </c>
      <c r="E44" s="20">
        <v>0</v>
      </c>
      <c r="F44" s="20">
        <v>2</v>
      </c>
      <c r="G44" s="8" t="s">
        <v>54</v>
      </c>
      <c r="H44" s="20">
        <v>2</v>
      </c>
      <c r="I44" s="8" t="s">
        <v>107</v>
      </c>
      <c r="J44" s="19">
        <v>0</v>
      </c>
      <c r="K44" s="8" t="s">
        <v>108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69</v>
      </c>
      <c r="B45" s="18">
        <v>54908</v>
      </c>
      <c r="C45" s="19">
        <v>0</v>
      </c>
      <c r="D45" s="8" t="s">
        <v>60</v>
      </c>
      <c r="E45" s="20">
        <v>0</v>
      </c>
      <c r="F45" s="20">
        <v>2</v>
      </c>
      <c r="G45" s="8" t="s">
        <v>54</v>
      </c>
      <c r="H45" s="20">
        <v>2</v>
      </c>
      <c r="I45" s="8" t="s">
        <v>61</v>
      </c>
      <c r="J45" s="19">
        <v>0</v>
      </c>
      <c r="K45" s="8" t="s">
        <v>185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69</v>
      </c>
      <c r="B46" s="18">
        <v>54909</v>
      </c>
      <c r="C46" s="19">
        <v>0</v>
      </c>
      <c r="D46" s="8" t="s">
        <v>109</v>
      </c>
      <c r="E46" s="20">
        <v>0</v>
      </c>
      <c r="F46" s="20">
        <v>12</v>
      </c>
      <c r="G46" s="8" t="s">
        <v>54</v>
      </c>
      <c r="H46" s="20">
        <v>12</v>
      </c>
      <c r="I46" s="8" t="s">
        <v>110</v>
      </c>
      <c r="J46" s="19">
        <v>0</v>
      </c>
      <c r="K46" s="8" t="s">
        <v>186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69</v>
      </c>
      <c r="B47" s="18">
        <v>54910</v>
      </c>
      <c r="C47" s="19">
        <v>0</v>
      </c>
      <c r="D47" s="8" t="s">
        <v>111</v>
      </c>
      <c r="E47" s="20">
        <v>0</v>
      </c>
      <c r="F47" s="20">
        <v>10</v>
      </c>
      <c r="G47" s="8" t="s">
        <v>54</v>
      </c>
      <c r="H47" s="20">
        <v>10</v>
      </c>
      <c r="I47" s="8" t="s">
        <v>112</v>
      </c>
      <c r="J47" s="19">
        <v>0</v>
      </c>
      <c r="K47" s="8" t="s">
        <v>187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69</v>
      </c>
      <c r="B48" s="18">
        <v>54911</v>
      </c>
      <c r="C48" s="19">
        <v>0</v>
      </c>
      <c r="D48" s="8" t="s">
        <v>113</v>
      </c>
      <c r="E48" s="20">
        <v>0</v>
      </c>
      <c r="F48" s="20">
        <v>22</v>
      </c>
      <c r="G48" s="8" t="s">
        <v>54</v>
      </c>
      <c r="H48" s="20">
        <v>22</v>
      </c>
      <c r="I48" s="8" t="s">
        <v>114</v>
      </c>
      <c r="J48" s="19">
        <v>0</v>
      </c>
      <c r="K48" s="8" t="s">
        <v>188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69</v>
      </c>
      <c r="B49" s="18">
        <v>54912</v>
      </c>
      <c r="C49" s="19">
        <v>0</v>
      </c>
      <c r="D49" s="8" t="s">
        <v>159</v>
      </c>
      <c r="E49" s="20">
        <v>0</v>
      </c>
      <c r="F49" s="20">
        <v>16</v>
      </c>
      <c r="G49" s="8" t="s">
        <v>54</v>
      </c>
      <c r="H49" s="20">
        <v>16</v>
      </c>
      <c r="I49" s="8" t="s">
        <v>160</v>
      </c>
      <c r="J49" s="19">
        <v>0</v>
      </c>
      <c r="K49" s="8" t="s">
        <v>189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69</v>
      </c>
      <c r="B50" s="18">
        <v>54913</v>
      </c>
      <c r="C50" s="19">
        <v>0</v>
      </c>
      <c r="D50" s="8" t="s">
        <v>152</v>
      </c>
      <c r="E50" s="20">
        <v>0</v>
      </c>
      <c r="F50" s="20">
        <v>2</v>
      </c>
      <c r="G50" s="8" t="s">
        <v>54</v>
      </c>
      <c r="H50" s="20">
        <v>2</v>
      </c>
      <c r="I50" s="8" t="s">
        <v>153</v>
      </c>
      <c r="J50" s="19">
        <v>0</v>
      </c>
      <c r="K50" s="8" t="s">
        <v>190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62</v>
      </c>
      <c r="B51" s="18">
        <v>54914</v>
      </c>
      <c r="C51" s="19">
        <v>0</v>
      </c>
      <c r="D51" s="8" t="s">
        <v>115</v>
      </c>
      <c r="E51" s="20">
        <v>0</v>
      </c>
      <c r="F51" s="20">
        <v>1</v>
      </c>
      <c r="G51" s="8" t="s">
        <v>54</v>
      </c>
      <c r="H51" s="20">
        <v>1</v>
      </c>
      <c r="I51" s="8" t="s">
        <v>116</v>
      </c>
      <c r="J51" s="19">
        <v>0</v>
      </c>
      <c r="K51" s="8" t="s">
        <v>117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69</v>
      </c>
      <c r="B52" s="18">
        <v>54915</v>
      </c>
      <c r="C52" s="19">
        <v>0</v>
      </c>
      <c r="D52" s="8" t="s">
        <v>118</v>
      </c>
      <c r="E52" s="20">
        <v>0</v>
      </c>
      <c r="F52" s="20">
        <v>1</v>
      </c>
      <c r="G52" s="8" t="s">
        <v>54</v>
      </c>
      <c r="H52" s="20">
        <v>1</v>
      </c>
      <c r="I52" s="8" t="s">
        <v>119</v>
      </c>
      <c r="J52" s="19">
        <v>0</v>
      </c>
      <c r="K52" s="8" t="s">
        <v>120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53</v>
      </c>
      <c r="B53" s="18">
        <v>54916</v>
      </c>
      <c r="C53" s="19">
        <v>0</v>
      </c>
      <c r="D53" s="8" t="s">
        <v>121</v>
      </c>
      <c r="E53" s="20">
        <v>0</v>
      </c>
      <c r="F53" s="20">
        <v>0</v>
      </c>
      <c r="G53" s="8" t="s">
        <v>54</v>
      </c>
      <c r="H53" s="20">
        <v>0</v>
      </c>
      <c r="I53" s="8" t="s">
        <v>122</v>
      </c>
      <c r="J53" s="19">
        <v>0</v>
      </c>
      <c r="K53" s="8" t="s">
        <v>123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105</v>
      </c>
      <c r="B54" s="18">
        <v>54917</v>
      </c>
      <c r="C54" s="19">
        <v>0</v>
      </c>
      <c r="D54" s="8" t="s">
        <v>124</v>
      </c>
      <c r="E54" s="20">
        <v>0</v>
      </c>
      <c r="F54" s="20">
        <v>2</v>
      </c>
      <c r="G54" s="8" t="s">
        <v>54</v>
      </c>
      <c r="H54" s="20">
        <v>2</v>
      </c>
      <c r="I54" s="8" t="s">
        <v>125</v>
      </c>
      <c r="J54" s="19">
        <v>0</v>
      </c>
      <c r="K54" s="8" t="s">
        <v>126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62</v>
      </c>
      <c r="B55" s="18">
        <v>54918</v>
      </c>
      <c r="C55" s="19">
        <v>0</v>
      </c>
      <c r="D55" s="8" t="s">
        <v>127</v>
      </c>
      <c r="E55" s="20">
        <v>0</v>
      </c>
      <c r="F55" s="20">
        <v>12</v>
      </c>
      <c r="G55" s="8" t="s">
        <v>54</v>
      </c>
      <c r="H55" s="20">
        <v>12</v>
      </c>
      <c r="I55" s="8" t="s">
        <v>128</v>
      </c>
      <c r="J55" s="19">
        <v>0</v>
      </c>
      <c r="K55" s="8" t="s">
        <v>129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54919</v>
      </c>
      <c r="C56" s="19">
        <v>0</v>
      </c>
      <c r="D56" s="8" t="s">
        <v>130</v>
      </c>
      <c r="E56" s="20">
        <v>0</v>
      </c>
      <c r="F56" s="20">
        <v>0</v>
      </c>
      <c r="G56" s="8" t="s">
        <v>54</v>
      </c>
      <c r="H56" s="20">
        <v>0</v>
      </c>
      <c r="I56" s="8" t="s">
        <v>131</v>
      </c>
      <c r="J56" s="19">
        <v>0</v>
      </c>
      <c r="K56" s="8" t="s">
        <v>130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62</v>
      </c>
      <c r="B57" s="18">
        <v>54920</v>
      </c>
      <c r="C57" s="19">
        <v>0</v>
      </c>
      <c r="D57" s="8" t="s">
        <v>132</v>
      </c>
      <c r="E57" s="20">
        <v>0</v>
      </c>
      <c r="F57" s="20">
        <v>30</v>
      </c>
      <c r="G57" s="8" t="s">
        <v>54</v>
      </c>
      <c r="H57" s="20">
        <v>30</v>
      </c>
      <c r="I57" s="8" t="s">
        <v>133</v>
      </c>
      <c r="J57" s="19">
        <v>0</v>
      </c>
      <c r="K57" s="8" t="s">
        <v>191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54921</v>
      </c>
      <c r="C58" s="19">
        <v>0</v>
      </c>
      <c r="D58" s="8" t="s">
        <v>134</v>
      </c>
      <c r="E58" s="20">
        <v>0</v>
      </c>
      <c r="F58" s="20">
        <v>0</v>
      </c>
      <c r="G58" s="8" t="s">
        <v>54</v>
      </c>
      <c r="H58" s="20">
        <v>0</v>
      </c>
      <c r="I58" s="8" t="s">
        <v>135</v>
      </c>
      <c r="J58" s="19">
        <v>0</v>
      </c>
      <c r="K58" s="8" t="s">
        <v>134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62</v>
      </c>
      <c r="B59" s="18">
        <v>54922</v>
      </c>
      <c r="C59" s="19">
        <v>0</v>
      </c>
      <c r="D59" s="8" t="s">
        <v>192</v>
      </c>
      <c r="E59" s="20">
        <v>0</v>
      </c>
      <c r="F59" s="20">
        <v>2</v>
      </c>
      <c r="G59" s="8" t="s">
        <v>54</v>
      </c>
      <c r="H59" s="20">
        <v>2</v>
      </c>
      <c r="I59" s="8" t="s">
        <v>193</v>
      </c>
      <c r="J59" s="19">
        <v>0</v>
      </c>
      <c r="K59" s="8" t="s">
        <v>194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62</v>
      </c>
      <c r="B60" s="18">
        <v>54923</v>
      </c>
      <c r="C60" s="19">
        <v>0</v>
      </c>
      <c r="D60" s="8" t="s">
        <v>195</v>
      </c>
      <c r="E60" s="20">
        <v>0</v>
      </c>
      <c r="F60" s="20">
        <v>1</v>
      </c>
      <c r="G60" s="8" t="s">
        <v>54</v>
      </c>
      <c r="H60" s="20">
        <v>1</v>
      </c>
      <c r="I60" s="8" t="s">
        <v>196</v>
      </c>
      <c r="J60" s="19">
        <v>0</v>
      </c>
      <c r="K60" s="8" t="s">
        <v>197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63</v>
      </c>
      <c r="B61" s="18">
        <v>54924</v>
      </c>
      <c r="C61" s="19">
        <v>0</v>
      </c>
      <c r="D61" s="8" t="s">
        <v>64</v>
      </c>
      <c r="E61" s="20">
        <v>0</v>
      </c>
      <c r="F61" s="20">
        <v>3</v>
      </c>
      <c r="G61" s="8" t="s">
        <v>54</v>
      </c>
      <c r="H61" s="20">
        <v>3</v>
      </c>
      <c r="I61" s="8" t="s">
        <v>65</v>
      </c>
      <c r="J61" s="19">
        <v>0</v>
      </c>
      <c r="K61" s="8" t="s">
        <v>66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/>
    <row r="63" spans="1:14" ht="12.75" customHeight="1" x14ac:dyDescent="0.2">
      <c r="B63" s="8" t="s">
        <v>16</v>
      </c>
      <c r="C63" s="8" t="s">
        <v>161</v>
      </c>
      <c r="E63" s="8" t="s">
        <v>19</v>
      </c>
      <c r="F63" s="8" t="s">
        <v>19</v>
      </c>
      <c r="G63" s="8" t="s">
        <v>21</v>
      </c>
      <c r="H63" s="8" t="s">
        <v>19</v>
      </c>
      <c r="J63" s="8" t="s">
        <v>19</v>
      </c>
    </row>
    <row r="64" spans="1:1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s="8" customFormat="1" ht="12.75" customHeight="1" x14ac:dyDescent="0.2"/>
    <row r="98" s="8" customFormat="1" ht="12.75" customHeight="1" x14ac:dyDescent="0.2"/>
    <row r="99" s="8" customFormat="1" ht="12.75" customHeight="1" x14ac:dyDescent="0.2"/>
    <row r="100" s="8" customFormat="1" ht="12.75" customHeight="1" x14ac:dyDescent="0.2"/>
    <row r="101" s="8" customFormat="1" ht="12.75" customHeight="1" x14ac:dyDescent="0.2"/>
    <row r="102" s="8" customFormat="1" ht="12.75" customHeight="1" x14ac:dyDescent="0.2"/>
    <row r="103" s="8" customFormat="1" ht="12.75" customHeight="1" x14ac:dyDescent="0.2"/>
    <row r="104" s="8" customFormat="1" ht="12.75" customHeight="1" x14ac:dyDescent="0.2"/>
    <row r="105" s="8" customFormat="1" ht="12.75" customHeight="1" x14ac:dyDescent="0.2"/>
    <row r="107" s="8" customFormat="1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68</v>
      </c>
    </row>
    <row r="2" spans="1:9" ht="21.75" customHeight="1" x14ac:dyDescent="0.25">
      <c r="A2" s="29" t="s">
        <v>13</v>
      </c>
      <c r="B2" s="31" t="str">
        <f>'Build Plan w Hours'!C7</f>
        <v>.107</v>
      </c>
      <c r="C2" s="40" t="str">
        <f>'Build Plan w Hours'!D7</f>
        <v>Build Repads for Nozzles, drill and tap holes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67</v>
      </c>
      <c r="B4" s="38">
        <f>'Build Plan w Hours'!E7</f>
        <v>10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68</v>
      </c>
    </row>
    <row r="8" spans="1:9" ht="21.75" customHeight="1" x14ac:dyDescent="0.25">
      <c r="A8" s="29" t="s">
        <v>13</v>
      </c>
      <c r="B8" s="31" t="str">
        <f>'Build Plan w Hours'!C8</f>
        <v>.115</v>
      </c>
      <c r="C8" s="40" t="str">
        <f>'Build Plan w Hours'!D8</f>
        <v>Make manway parts: cut clips, form handles, etc. _x000D_
FOR HATCH X1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67</v>
      </c>
      <c r="B10" s="38">
        <f>'Build Plan w Hours'!E8</f>
        <v>1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68</v>
      </c>
    </row>
    <row r="14" spans="1:9" ht="21.75" customHeight="1" x14ac:dyDescent="0.25">
      <c r="A14" s="29" t="s">
        <v>13</v>
      </c>
      <c r="B14" s="31" t="str">
        <f>'Build Plan w Hours'!C9</f>
        <v>.135</v>
      </c>
      <c r="C14" s="40" t="str">
        <f>'Build Plan w Hours'!D9</f>
        <v>Build davit arm assembly and cover_x000D_
FOR HATCH X1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67</v>
      </c>
      <c r="B16" s="38">
        <f>'Build Plan w Hours'!E9</f>
        <v>1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68</v>
      </c>
    </row>
    <row r="20" spans="1:9" ht="21.75" customHeight="1" x14ac:dyDescent="0.25">
      <c r="A20" s="29" t="s">
        <v>13</v>
      </c>
      <c r="B20" s="31" t="str">
        <f>'Build Plan w Hours'!C10</f>
        <v>.140</v>
      </c>
      <c r="C20" s="40" t="str">
        <f>'Build Plan w Hours'!D10</f>
        <v>Build hatch/door_x000D_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67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68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67</v>
      </c>
      <c r="B28" s="38">
        <f>'Build Plan w Hours'!E11</f>
        <v>20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68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>Clean and prep parts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67</v>
      </c>
      <c r="B34" s="38">
        <f>'Build Plan w Hours'!E12</f>
        <v>9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68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TACK ONLY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67</v>
      </c>
      <c r="B40" s="38">
        <f>'Build Plan w Hours'!E13</f>
        <v>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68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67</v>
      </c>
      <c r="B46" s="38">
        <f>'Build Plan w Hours'!E14</f>
        <v>2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68</v>
      </c>
    </row>
    <row r="50" spans="1:9" ht="21.75" customHeight="1" x14ac:dyDescent="0.25">
      <c r="A50" s="29" t="s">
        <v>13</v>
      </c>
      <c r="B50" s="31" t="str">
        <f>'Build Plan w Hours'!C15</f>
        <v>.205</v>
      </c>
      <c r="C50" s="40" t="str">
        <f>'Build Plan w Hours'!D15</f>
        <v>Roll rim angle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67</v>
      </c>
      <c r="B52" s="38">
        <f>'Build Plan w Hours'!E15</f>
        <v>3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68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67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68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PREP (1) DOUBLE SHELL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67</v>
      </c>
      <c r="B64" s="38">
        <f>'Build Plan w Hours'!E17</f>
        <v>8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68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ROLL (1) DOUBLE SHELL ; WELD L/S W COBOT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67</v>
      </c>
      <c r="B70" s="38">
        <f>'Build Plan w Hours'!E18</f>
        <v>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68</v>
      </c>
    </row>
    <row r="74" spans="1:9" ht="21.75" customHeight="1" x14ac:dyDescent="0.25">
      <c r="A74" s="29" t="s">
        <v>13</v>
      </c>
      <c r="B74" s="31" t="str">
        <f>'Build Plan w Hours'!C19</f>
        <v>.350</v>
      </c>
      <c r="C74" s="40" t="str">
        <f>'Build Plan w Hours'!D19</f>
        <v>Build top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67</v>
      </c>
      <c r="B76" s="38">
        <f>'Build Plan w Hours'!E19</f>
        <v>10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68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67</v>
      </c>
      <c r="B82" s="38">
        <f>'Build Plan w Hours'!E20</f>
        <v>0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68</v>
      </c>
    </row>
    <row r="86" spans="1:9" ht="21.75" customHeight="1" x14ac:dyDescent="0.25">
      <c r="A86" s="29" t="s">
        <v>13</v>
      </c>
      <c r="B86" s="31" t="str">
        <f>'Build Plan w Hours'!C21</f>
        <v>.355</v>
      </c>
      <c r="C86" s="40" t="str">
        <f>'Build Plan w Hours'!D21</f>
        <v>Lay out top head, burn and clean holes_x000D_
ON BURN TABLE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67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68</v>
      </c>
    </row>
    <row r="92" spans="1:9" ht="21.75" customHeight="1" x14ac:dyDescent="0.25">
      <c r="A92" s="29" t="s">
        <v>13</v>
      </c>
      <c r="B92" s="31" t="str">
        <f>'Build Plan w Hours'!C22</f>
        <v>.365</v>
      </c>
      <c r="C92" s="40" t="str">
        <f>'Build Plan w Hours'!D22</f>
        <v>Set  nozzles, lift lugs, etc. in top head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67</v>
      </c>
      <c r="B94" s="38">
        <f>'Build Plan w Hours'!E22</f>
        <v>8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68</v>
      </c>
    </row>
    <row r="98" spans="1:9" ht="21.75" customHeight="1" x14ac:dyDescent="0.25">
      <c r="A98" s="29" t="s">
        <v>13</v>
      </c>
      <c r="B98" s="31" t="str">
        <f>'Build Plan w Hours'!C23</f>
        <v>.366</v>
      </c>
      <c r="C98" s="40" t="str">
        <f>'Build Plan w Hours'!D23</f>
        <v>Weld out top head nozzles,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67</v>
      </c>
      <c r="B100" s="38">
        <f>'Build Plan w Hours'!E23</f>
        <v>14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68</v>
      </c>
    </row>
    <row r="104" spans="1:9" ht="21.75" customHeight="1" x14ac:dyDescent="0.25">
      <c r="A104" s="29" t="s">
        <v>13</v>
      </c>
      <c r="B104" s="31" t="str">
        <f>'Build Plan w Hours'!C24</f>
        <v>.370</v>
      </c>
      <c r="C104" s="40" t="str">
        <f>'Build Plan w Hours'!D24</f>
        <v>Install and weld out repads - top head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67</v>
      </c>
      <c r="B106" s="38">
        <f>'Build Plan w Hours'!E24</f>
        <v>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68</v>
      </c>
    </row>
    <row r="110" spans="1:9" ht="21.75" customHeight="1" x14ac:dyDescent="0.25">
      <c r="A110" s="29" t="s">
        <v>13</v>
      </c>
      <c r="B110" s="31" t="str">
        <f>'Build Plan w Hours'!C25</f>
        <v>.450</v>
      </c>
      <c r="C110" s="40" t="str">
        <f>'Build Plan w Hours'!D25</f>
        <v>Build bottom head/cone_x000D_
FOR FLAT BOTTOM &amp; SLOPED BOTTOM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67</v>
      </c>
      <c r="B112" s="38">
        <f>'Build Plan w Hours'!E25</f>
        <v>20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68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67</v>
      </c>
      <c r="B118" s="38">
        <f>'Build Plan w Hours'!E26</f>
        <v>0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68</v>
      </c>
    </row>
    <row r="122" spans="1:9" ht="21.75" customHeight="1" x14ac:dyDescent="0.25">
      <c r="A122" s="29" t="s">
        <v>13</v>
      </c>
      <c r="B122" s="31" t="str">
        <f>'Build Plan w Hours'!C27</f>
        <v>.475</v>
      </c>
      <c r="C122" s="40" t="str">
        <f>'Build Plan w Hours'!D27</f>
        <v>Install bottom stiffeners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67</v>
      </c>
      <c r="B124" s="38">
        <f>'Build Plan w Hours'!E27</f>
        <v>12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68</v>
      </c>
    </row>
    <row r="128" spans="1:9" ht="21.75" customHeight="1" x14ac:dyDescent="0.25">
      <c r="A128" s="29" t="s">
        <v>13</v>
      </c>
      <c r="B128" s="31" t="str">
        <f>'Build Plan w Hours'!C28</f>
        <v>.600</v>
      </c>
      <c r="C128" s="40" t="str">
        <f>'Build Plan w Hours'!D28</f>
        <v>Fit bottom head to shell_x000D_
FOR FLAT &amp; SLOPED BOTTOM; WELD COMPLETE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67</v>
      </c>
      <c r="B130" s="38">
        <f>'Build Plan w Hours'!E28</f>
        <v>25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68</v>
      </c>
    </row>
    <row r="134" spans="1:9" ht="21.75" customHeight="1" x14ac:dyDescent="0.25">
      <c r="A134" s="29" t="s">
        <v>13</v>
      </c>
      <c r="B134" s="31" t="str">
        <f>'Build Plan w Hours'!C29</f>
        <v>.615</v>
      </c>
      <c r="C134" s="40" t="str">
        <f>'Build Plan w Hours'!D29</f>
        <v>Install rim angle - tack only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67</v>
      </c>
      <c r="B136" s="38">
        <f>'Build Plan w Hours'!E29</f>
        <v>4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68</v>
      </c>
    </row>
    <row r="140" spans="1:9" ht="21.75" customHeight="1" x14ac:dyDescent="0.25">
      <c r="A140" s="29" t="s">
        <v>13</v>
      </c>
      <c r="B140" s="31" t="str">
        <f>'Build Plan w Hours'!C30</f>
        <v>.616</v>
      </c>
      <c r="C140" s="40" t="str">
        <f>'Build Plan w Hours'!D30</f>
        <v>Weld rim angle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67</v>
      </c>
      <c r="B142" s="38">
        <f>'Build Plan w Hours'!E30</f>
        <v>5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68</v>
      </c>
    </row>
    <row r="146" spans="1:9" ht="21.75" customHeight="1" x14ac:dyDescent="0.25">
      <c r="A146" s="29" t="s">
        <v>13</v>
      </c>
      <c r="B146" s="31" t="str">
        <f>'Build Plan w Hours'!C31</f>
        <v>.620</v>
      </c>
      <c r="C146" s="40" t="str">
        <f>'Build Plan w Hours'!D31</f>
        <v>Lay out shell, burn and clean holes_x000D_
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67</v>
      </c>
      <c r="B148" s="38">
        <f>'Build Plan w Hours'!E31</f>
        <v>2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68</v>
      </c>
    </row>
    <row r="152" spans="1:9" ht="21.75" customHeight="1" x14ac:dyDescent="0.25">
      <c r="A152" s="29" t="s">
        <v>13</v>
      </c>
      <c r="B152" s="31" t="str">
        <f>'Build Plan w Hours'!C32</f>
        <v>.QC5</v>
      </c>
      <c r="C152" s="40" t="str">
        <f>'Build Plan w Hours'!D32</f>
        <v>QC Inspection - Internal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67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68</v>
      </c>
    </row>
    <row r="158" spans="1:9" ht="21.75" customHeight="1" x14ac:dyDescent="0.25">
      <c r="A158" s="29" t="s">
        <v>13</v>
      </c>
      <c r="B158" s="31" t="str">
        <f>'Build Plan w Hours'!C33</f>
        <v>.640</v>
      </c>
      <c r="C158" s="40" t="str">
        <f>'Build Plan w Hours'!D33</f>
        <v>Fit top head to shell - tack_x000D_
AND WELD TO RIM ANGLE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67</v>
      </c>
      <c r="B160" s="38">
        <f>'Build Plan w Hours'!E33</f>
        <v>8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68</v>
      </c>
    </row>
    <row r="164" spans="1:9" ht="21.75" customHeight="1" x14ac:dyDescent="0.25">
      <c r="A164" s="29" t="s">
        <v>13</v>
      </c>
      <c r="B164" s="31" t="str">
        <f>'Build Plan w Hours'!C34</f>
        <v>.800</v>
      </c>
      <c r="C164" s="40" t="str">
        <f>'Build Plan w Hours'!D34</f>
        <v>Move tank to detail rolls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67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68</v>
      </c>
    </row>
    <row r="170" spans="1:9" ht="21.75" customHeight="1" x14ac:dyDescent="0.25">
      <c r="A170" s="29" t="s">
        <v>13</v>
      </c>
      <c r="B170" s="31" t="str">
        <f>'Build Plan w Hours'!C35</f>
        <v>.717</v>
      </c>
      <c r="C170" s="40" t="str">
        <f>'Build Plan w Hours'!D35</f>
        <v>Install lift lugs on shell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67</v>
      </c>
      <c r="B172" s="38">
        <f>'Build Plan w Hours'!E35</f>
        <v>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68</v>
      </c>
    </row>
    <row r="176" spans="1:9" ht="21.75" customHeight="1" x14ac:dyDescent="0.25">
      <c r="A176" s="29" t="s">
        <v>13</v>
      </c>
      <c r="B176" s="31" t="str">
        <f>'Build Plan w Hours'!C36</f>
        <v>.720</v>
      </c>
      <c r="C176" s="40" t="str">
        <f>'Build Plan w Hours'!D36</f>
        <v>Install supports - legs, lugs, anchors, saddles, skirt_x000D_
AND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67</v>
      </c>
      <c r="B178" s="38">
        <f>'Build Plan w Hours'!E36</f>
        <v>12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68</v>
      </c>
    </row>
    <row r="182" spans="1:9" ht="21.75" customHeight="1" x14ac:dyDescent="0.25">
      <c r="A182" s="29" t="s">
        <v>13</v>
      </c>
      <c r="B182" s="31" t="str">
        <f>'Build Plan w Hours'!C37</f>
        <v>.725</v>
      </c>
      <c r="C182" s="40" t="str">
        <f>'Build Plan w Hours'!D37</f>
        <v>Set nozzles in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67</v>
      </c>
      <c r="B184" s="38">
        <f>'Build Plan w Hours'!E37</f>
        <v>10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68</v>
      </c>
    </row>
    <row r="188" spans="1:9" ht="21.75" customHeight="1" x14ac:dyDescent="0.25">
      <c r="A188" s="29" t="s">
        <v>13</v>
      </c>
      <c r="B188" s="31" t="str">
        <f>'Build Plan w Hours'!C38</f>
        <v>.726</v>
      </c>
      <c r="C188" s="40" t="str">
        <f>'Build Plan w Hours'!D38</f>
        <v>Weld shell nozzles, manways, etc._x000D_
***SEE SAMMY BEFORE WELDING MANWAY***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67</v>
      </c>
      <c r="B190" s="38">
        <f>'Build Plan w Hours'!E38</f>
        <v>22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68</v>
      </c>
    </row>
    <row r="194" spans="1:9" ht="21.75" customHeight="1" x14ac:dyDescent="0.25">
      <c r="A194" s="29" t="s">
        <v>13</v>
      </c>
      <c r="B194" s="31" t="str">
        <f>'Build Plan w Hours'!C39</f>
        <v>.730</v>
      </c>
      <c r="C194" s="40" t="str">
        <f>'Build Plan w Hours'!D39</f>
        <v>Add repads and weld_x000D_
FOR MANWAY AND MIXER STIFFENERS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67</v>
      </c>
      <c r="B196" s="38">
        <f>'Build Plan w Hours'!E39</f>
        <v>16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68</v>
      </c>
    </row>
    <row r="200" spans="1:9" ht="21.75" customHeight="1" x14ac:dyDescent="0.25">
      <c r="A200" s="29" t="s">
        <v>13</v>
      </c>
      <c r="B200" s="31" t="str">
        <f>'Build Plan w Hours'!C40</f>
        <v>.735</v>
      </c>
      <c r="C200" s="40" t="str">
        <f>'Build Plan w Hours'!D40</f>
        <v>Install dip pipe supports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67</v>
      </c>
      <c r="B202" s="38">
        <f>'Build Plan w Hours'!E40</f>
        <v>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68</v>
      </c>
    </row>
    <row r="206" spans="1:9" ht="21.75" customHeight="1" x14ac:dyDescent="0.25">
      <c r="A206" s="29" t="s">
        <v>13</v>
      </c>
      <c r="B206" s="31" t="str">
        <f>'Build Plan w Hours'!C41</f>
        <v>.765</v>
      </c>
      <c r="C206" s="40" t="str">
        <f>'Build Plan w Hours'!D41</f>
        <v>Install name tag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67</v>
      </c>
      <c r="B208" s="38">
        <f>'Build Plan w Hours'!E41</f>
        <v>1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68</v>
      </c>
    </row>
    <row r="212" spans="1:9" ht="21.75" customHeight="1" x14ac:dyDescent="0.25">
      <c r="A212" s="29" t="s">
        <v>13</v>
      </c>
      <c r="B212" s="31" t="str">
        <f>'Build Plan w Hours'!C42</f>
        <v>.770</v>
      </c>
      <c r="C212" s="40" t="str">
        <f>'Build Plan w Hours'!D42</f>
        <v>Inspect tank, make repairs, get QC inspector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67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68</v>
      </c>
    </row>
    <row r="218" spans="1:9" ht="21.75" customHeight="1" x14ac:dyDescent="0.25">
      <c r="A218" s="29" t="s">
        <v>13</v>
      </c>
      <c r="B218" s="31" t="str">
        <f>'Build Plan w Hours'!C43</f>
        <v>.QC6</v>
      </c>
      <c r="C218" s="40" t="str">
        <f>'Build Plan w Hours'!D43</f>
        <v>QC Inspection - Fabrication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67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68</v>
      </c>
    </row>
    <row r="224" spans="1:9" ht="21.75" customHeight="1" x14ac:dyDescent="0.25">
      <c r="A224" s="29" t="s">
        <v>13</v>
      </c>
      <c r="B224" s="31" t="str">
        <f>'Build Plan w Hours'!C44</f>
        <v>.801</v>
      </c>
      <c r="C224" s="40" t="str">
        <f>'Build Plan w Hours'!D44</f>
        <v>Move to shop test area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67</v>
      </c>
      <c r="B226" s="38">
        <f>'Build Plan w Hours'!E44</f>
        <v>2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68</v>
      </c>
    </row>
    <row r="230" spans="1:9" ht="21.75" customHeight="1" x14ac:dyDescent="0.25">
      <c r="A230" s="29" t="s">
        <v>13</v>
      </c>
      <c r="B230" s="31" t="str">
        <f>'Build Plan w Hours'!C45</f>
        <v>.910</v>
      </c>
      <c r="C230" s="40" t="str">
        <f>'Build Plan w Hours'!D45</f>
        <v>Test tank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67</v>
      </c>
      <c r="B232" s="38">
        <f>'Build Plan w Hours'!E45</f>
        <v>12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68</v>
      </c>
    </row>
    <row r="236" spans="1:9" ht="21.75" customHeight="1" x14ac:dyDescent="0.25">
      <c r="A236" s="29" t="s">
        <v>13</v>
      </c>
      <c r="B236" s="31" t="str">
        <f>'Build Plan w Hours'!C46</f>
        <v>.QC7</v>
      </c>
      <c r="C236" s="40" t="str">
        <f>'Build Plan w Hours'!D46</f>
        <v>QC Inspection - Test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67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68</v>
      </c>
    </row>
    <row r="242" spans="1:9" ht="21.75" customHeight="1" x14ac:dyDescent="0.25">
      <c r="A242" s="29" t="s">
        <v>13</v>
      </c>
      <c r="B242" s="31" t="str">
        <f>'Build Plan w Hours'!C47</f>
        <v>.920</v>
      </c>
      <c r="C242" s="40" t="str">
        <f>'Build Plan w Hours'!D47</f>
        <v>Clean tank complete_x000D_
CLEAN INTERIOR TO HIGH STANDARD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67</v>
      </c>
      <c r="B244" s="38">
        <f>'Build Plan w Hours'!E47</f>
        <v>30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68</v>
      </c>
    </row>
    <row r="248" spans="1:9" ht="21.75" customHeight="1" x14ac:dyDescent="0.25">
      <c r="A248" s="29" t="s">
        <v>13</v>
      </c>
      <c r="B248" s="31" t="str">
        <f>'Build Plan w Hours'!C48</f>
        <v>.QC8</v>
      </c>
      <c r="C248" s="40" t="str">
        <f>'Build Plan w Hours'!D48</f>
        <v>QC Inspection - Clean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67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68</v>
      </c>
    </row>
    <row r="254" spans="1:9" ht="21.75" customHeight="1" x14ac:dyDescent="0.25">
      <c r="A254" s="29" t="s">
        <v>13</v>
      </c>
      <c r="B254" s="31" t="str">
        <f>'Build Plan w Hours'!C49</f>
        <v>.940</v>
      </c>
      <c r="C254" s="40" t="str">
        <f>'Build Plan w Hours'!D49</f>
        <v>Prepare tank for shipment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67</v>
      </c>
      <c r="B256" s="38">
        <f>'Build Plan w Hours'!E49</f>
        <v>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68</v>
      </c>
    </row>
    <row r="260" spans="1:9" ht="21.75" customHeight="1" x14ac:dyDescent="0.25">
      <c r="A260" s="29" t="s">
        <v>13</v>
      </c>
      <c r="B260" s="31" t="str">
        <f>'Build Plan w Hours'!C50</f>
        <v>.950</v>
      </c>
      <c r="C260" s="40" t="str">
        <f>'Build Plan w Hours'!D50</f>
        <v>Check bill of materials and pack loose parts_x000D_
(4) SHIM PLATES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67</v>
      </c>
      <c r="B262" s="38">
        <f>'Build Plan w Hours'!E50</f>
        <v>1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68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67</v>
      </c>
      <c r="B268" s="38">
        <f>'Build Plan w Hours'!E51</f>
        <v>3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68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67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68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67</v>
      </c>
      <c r="B280" s="38" t="str">
        <f>'Build Plan w Hours'!E53</f>
        <v/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68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67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68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67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68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67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68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67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68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67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68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67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68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67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68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67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68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67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68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67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68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67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68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67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68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67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68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67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68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67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68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67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68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67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68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67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68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67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68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67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68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67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68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67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68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67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68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67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68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67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68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67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68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67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68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67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68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67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68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67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68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67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68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67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68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67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011-25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68</v>
      </c>
    </row>
    <row r="2" spans="1:9" ht="21.75" customHeight="1" x14ac:dyDescent="0.25">
      <c r="A2" s="29" t="s">
        <v>13</v>
      </c>
      <c r="B2" s="31" t="str">
        <f>'Build Plan w Hours'!C7</f>
        <v>.107</v>
      </c>
      <c r="C2" s="40" t="str">
        <f>'Build Plan w Hours'!D7</f>
        <v>Build Repads for Nozzles, drill and tap holes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011-25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68</v>
      </c>
    </row>
    <row r="8" spans="1:9" ht="21.75" customHeight="1" x14ac:dyDescent="0.25">
      <c r="A8" s="29" t="s">
        <v>13</v>
      </c>
      <c r="B8" s="31" t="str">
        <f>'Build Plan w Hours'!C8</f>
        <v>.115</v>
      </c>
      <c r="C8" s="40" t="str">
        <f>'Build Plan w Hours'!D8</f>
        <v>Make manway parts: cut clips, form handles, etc. _x000D_
FOR HATCH X1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011-25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68</v>
      </c>
    </row>
    <row r="14" spans="1:9" ht="21.75" customHeight="1" x14ac:dyDescent="0.25">
      <c r="A14" s="29" t="s">
        <v>13</v>
      </c>
      <c r="B14" s="31" t="str">
        <f>'Build Plan w Hours'!C9</f>
        <v>.135</v>
      </c>
      <c r="C14" s="40" t="str">
        <f>'Build Plan w Hours'!D9</f>
        <v>Build davit arm assembly and cover_x000D_
FOR HATCH X1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011-25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68</v>
      </c>
    </row>
    <row r="20" spans="1:9" ht="21.75" customHeight="1" x14ac:dyDescent="0.25">
      <c r="A20" s="29" t="s">
        <v>13</v>
      </c>
      <c r="B20" s="31" t="str">
        <f>'Build Plan w Hours'!C10</f>
        <v>.140</v>
      </c>
      <c r="C20" s="40" t="str">
        <f>'Build Plan w Hours'!D10</f>
        <v>Build hatch/door_x000D_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011-25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68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011-25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68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>Clean and prep parts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011-25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68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saddles_x000D_
TACK ONLY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011-25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68</v>
      </c>
    </row>
    <row r="44" spans="1:9" ht="21.75" customHeight="1" x14ac:dyDescent="0.25">
      <c r="A44" s="29" t="s">
        <v>13</v>
      </c>
      <c r="B44" s="31" t="str">
        <f>'Build Plan w Hours'!C14</f>
        <v>.200</v>
      </c>
      <c r="C44" s="40" t="str">
        <f>'Build Plan w Hours'!D14</f>
        <v>Make lift lugs, ground lugs, etc.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011-25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68</v>
      </c>
    </row>
    <row r="50" spans="1:9" ht="21.75" customHeight="1" x14ac:dyDescent="0.25">
      <c r="A50" s="29" t="s">
        <v>13</v>
      </c>
      <c r="B50" s="31" t="str">
        <f>'Build Plan w Hours'!C15</f>
        <v>.205</v>
      </c>
      <c r="C50" s="40" t="str">
        <f>'Build Plan w Hours'!D15</f>
        <v>Roll rim angle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011-25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68</v>
      </c>
    </row>
    <row r="56" spans="1:9" ht="21.75" customHeight="1" x14ac:dyDescent="0.25">
      <c r="A56" s="29" t="s">
        <v>13</v>
      </c>
      <c r="B56" s="31" t="str">
        <f>'Build Plan w Hours'!C16</f>
        <v>.QC3</v>
      </c>
      <c r="C56" s="40" t="str">
        <f>'Build Plan w Hours'!D16</f>
        <v>UT Shells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011-25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68</v>
      </c>
    </row>
    <row r="62" spans="1:9" ht="21.75" customHeight="1" x14ac:dyDescent="0.25">
      <c r="A62" s="29" t="s">
        <v>13</v>
      </c>
      <c r="B62" s="31" t="str">
        <f>'Build Plan w Hours'!C17</f>
        <v>.305</v>
      </c>
      <c r="C62" s="40" t="str">
        <f>'Build Plan w Hours'!D17</f>
        <v>Shells: bring in plate, square, trim and clean_x000D_
PREP (1) DOUBLE SHELL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011-25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68</v>
      </c>
    </row>
    <row r="68" spans="1:9" ht="21.75" customHeight="1" x14ac:dyDescent="0.25">
      <c r="A68" s="29" t="s">
        <v>13</v>
      </c>
      <c r="B68" s="31" t="str">
        <f>'Build Plan w Hours'!C18</f>
        <v>.315</v>
      </c>
      <c r="C68" s="40" t="str">
        <f>'Build Plan w Hours'!D18</f>
        <v>Roll shells, tack and weld inside seams_x000D_
ROLL (1) DOUBLE SHELL ; WELD L/S W COBOT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011-25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68</v>
      </c>
    </row>
    <row r="74" spans="1:9" ht="21.75" customHeight="1" x14ac:dyDescent="0.25">
      <c r="A74" s="29" t="s">
        <v>13</v>
      </c>
      <c r="B74" s="31" t="str">
        <f>'Build Plan w Hours'!C19</f>
        <v>.350</v>
      </c>
      <c r="C74" s="40" t="str">
        <f>'Build Plan w Hours'!D19</f>
        <v>Build top head/cone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011-25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68</v>
      </c>
    </row>
    <row r="80" spans="1:9" ht="21.75" customHeight="1" x14ac:dyDescent="0.25">
      <c r="A80" s="29" t="s">
        <v>13</v>
      </c>
      <c r="B80" s="31" t="str">
        <f>'Build Plan w Hours'!C20</f>
        <v>.QC4</v>
      </c>
      <c r="C80" s="40" t="str">
        <f>'Build Plan w Hours'!D20</f>
        <v>QC Inspection - Top/Bottom/Cones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011-25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68</v>
      </c>
    </row>
    <row r="86" spans="1:9" ht="21.75" customHeight="1" x14ac:dyDescent="0.25">
      <c r="A86" s="29" t="s">
        <v>13</v>
      </c>
      <c r="B86" s="31" t="str">
        <f>'Build Plan w Hours'!C21</f>
        <v>.355</v>
      </c>
      <c r="C86" s="40" t="str">
        <f>'Build Plan w Hours'!D21</f>
        <v>Lay out top head, burn and clean holes_x000D_
ON BURN TABLE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011-25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68</v>
      </c>
    </row>
    <row r="92" spans="1:9" ht="21.75" customHeight="1" x14ac:dyDescent="0.25">
      <c r="A92" s="29" t="s">
        <v>13</v>
      </c>
      <c r="B92" s="31" t="str">
        <f>'Build Plan w Hours'!C22</f>
        <v>.365</v>
      </c>
      <c r="C92" s="40" t="str">
        <f>'Build Plan w Hours'!D22</f>
        <v>Set  nozzles, lift lugs, etc. in top head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011-25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68</v>
      </c>
    </row>
    <row r="98" spans="1:9" ht="21.75" customHeight="1" x14ac:dyDescent="0.25">
      <c r="A98" s="29" t="s">
        <v>13</v>
      </c>
      <c r="B98" s="31" t="str">
        <f>'Build Plan w Hours'!C23</f>
        <v>.366</v>
      </c>
      <c r="C98" s="40" t="str">
        <f>'Build Plan w Hours'!D23</f>
        <v>Weld out top head nozzles,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011-25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68</v>
      </c>
    </row>
    <row r="104" spans="1:9" ht="21.75" customHeight="1" x14ac:dyDescent="0.25">
      <c r="A104" s="29" t="s">
        <v>13</v>
      </c>
      <c r="B104" s="31" t="str">
        <f>'Build Plan w Hours'!C24</f>
        <v>.370</v>
      </c>
      <c r="C104" s="40" t="str">
        <f>'Build Plan w Hours'!D24</f>
        <v>Install and weld out repads - top head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011-25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68</v>
      </c>
    </row>
    <row r="110" spans="1:9" ht="21.75" customHeight="1" x14ac:dyDescent="0.25">
      <c r="A110" s="29" t="s">
        <v>13</v>
      </c>
      <c r="B110" s="31" t="str">
        <f>'Build Plan w Hours'!C25</f>
        <v>.450</v>
      </c>
      <c r="C110" s="40" t="str">
        <f>'Build Plan w Hours'!D25</f>
        <v>Build bottom head/cone_x000D_
FOR FLAT BOTTOM &amp; SLOPED BOTTOM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011-25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68</v>
      </c>
    </row>
    <row r="116" spans="1:9" ht="21.75" customHeight="1" x14ac:dyDescent="0.25">
      <c r="A116" s="29" t="s">
        <v>13</v>
      </c>
      <c r="B116" s="31" t="str">
        <f>'Build Plan w Hours'!C26</f>
        <v>.QC4</v>
      </c>
      <c r="C116" s="40" t="str">
        <f>'Build Plan w Hours'!D26</f>
        <v>QC Inspection - Top/Bottom/Cones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011-25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68</v>
      </c>
    </row>
    <row r="122" spans="1:9" ht="21.75" customHeight="1" x14ac:dyDescent="0.25">
      <c r="A122" s="29" t="s">
        <v>13</v>
      </c>
      <c r="B122" s="31" t="str">
        <f>'Build Plan w Hours'!C27</f>
        <v>.475</v>
      </c>
      <c r="C122" s="40" t="str">
        <f>'Build Plan w Hours'!D27</f>
        <v>Install bottom stiffeners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011-25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68</v>
      </c>
    </row>
    <row r="128" spans="1:9" ht="21.75" customHeight="1" x14ac:dyDescent="0.25">
      <c r="A128" s="29" t="s">
        <v>13</v>
      </c>
      <c r="B128" s="31" t="str">
        <f>'Build Plan w Hours'!C28</f>
        <v>.600</v>
      </c>
      <c r="C128" s="40" t="str">
        <f>'Build Plan w Hours'!D28</f>
        <v>Fit bottom head to shell_x000D_
FOR FLAT &amp; SLOPED BOTTOM; WELD COMPLETE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011-25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68</v>
      </c>
    </row>
    <row r="134" spans="1:9" ht="21.75" customHeight="1" x14ac:dyDescent="0.25">
      <c r="A134" s="29" t="s">
        <v>13</v>
      </c>
      <c r="B134" s="31" t="str">
        <f>'Build Plan w Hours'!C29</f>
        <v>.615</v>
      </c>
      <c r="C134" s="40" t="str">
        <f>'Build Plan w Hours'!D29</f>
        <v>Install rim angle - tack only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011-25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68</v>
      </c>
    </row>
    <row r="140" spans="1:9" ht="21.75" customHeight="1" x14ac:dyDescent="0.25">
      <c r="A140" s="29" t="s">
        <v>13</v>
      </c>
      <c r="B140" s="31" t="str">
        <f>'Build Plan w Hours'!C30</f>
        <v>.616</v>
      </c>
      <c r="C140" s="40" t="str">
        <f>'Build Plan w Hours'!D30</f>
        <v>Weld rim angle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011-25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68</v>
      </c>
    </row>
    <row r="146" spans="1:9" ht="21.75" customHeight="1" x14ac:dyDescent="0.25">
      <c r="A146" s="29" t="s">
        <v>13</v>
      </c>
      <c r="B146" s="31" t="str">
        <f>'Build Plan w Hours'!C31</f>
        <v>.620</v>
      </c>
      <c r="C146" s="40" t="str">
        <f>'Build Plan w Hours'!D31</f>
        <v>Lay out shell, burn and clean holes_x000D_
ON BURN TABLE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011-25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68</v>
      </c>
    </row>
    <row r="152" spans="1:9" ht="21.75" customHeight="1" x14ac:dyDescent="0.25">
      <c r="A152" s="29" t="s">
        <v>13</v>
      </c>
      <c r="B152" s="31" t="str">
        <f>'Build Plan w Hours'!C32</f>
        <v>.QC5</v>
      </c>
      <c r="C152" s="40" t="str">
        <f>'Build Plan w Hours'!D32</f>
        <v>QC Inspection - Internal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011-25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68</v>
      </c>
    </row>
    <row r="158" spans="1:9" ht="21.75" customHeight="1" x14ac:dyDescent="0.25">
      <c r="A158" s="29" t="s">
        <v>13</v>
      </c>
      <c r="B158" s="31" t="str">
        <f>'Build Plan w Hours'!C33</f>
        <v>.640</v>
      </c>
      <c r="C158" s="40" t="str">
        <f>'Build Plan w Hours'!D33</f>
        <v>Fit top head to shell - tack_x000D_
AND WELD TO RIM ANGLE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011-25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68</v>
      </c>
    </row>
    <row r="164" spans="1:9" ht="21.75" customHeight="1" x14ac:dyDescent="0.25">
      <c r="A164" s="29" t="s">
        <v>13</v>
      </c>
      <c r="B164" s="31" t="str">
        <f>'Build Plan w Hours'!C34</f>
        <v>.800</v>
      </c>
      <c r="C164" s="40" t="str">
        <f>'Build Plan w Hours'!D34</f>
        <v>Move tank to detail rolls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011-25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68</v>
      </c>
    </row>
    <row r="170" spans="1:9" ht="21.75" customHeight="1" x14ac:dyDescent="0.25">
      <c r="A170" s="29" t="s">
        <v>13</v>
      </c>
      <c r="B170" s="31" t="str">
        <f>'Build Plan w Hours'!C35</f>
        <v>.717</v>
      </c>
      <c r="C170" s="40" t="str">
        <f>'Build Plan w Hours'!D35</f>
        <v>Install lift lugs on shell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011-25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68</v>
      </c>
    </row>
    <row r="176" spans="1:9" ht="21.75" customHeight="1" x14ac:dyDescent="0.25">
      <c r="A176" s="29" t="s">
        <v>13</v>
      </c>
      <c r="B176" s="31" t="str">
        <f>'Build Plan w Hours'!C36</f>
        <v>.720</v>
      </c>
      <c r="C176" s="40" t="str">
        <f>'Build Plan w Hours'!D36</f>
        <v>Install supports - legs, lugs, anchors, saddles, skirt_x000D_
AND WELD COMPLETE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011-25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68</v>
      </c>
    </row>
    <row r="182" spans="1:9" ht="21.75" customHeight="1" x14ac:dyDescent="0.25">
      <c r="A182" s="29" t="s">
        <v>13</v>
      </c>
      <c r="B182" s="31" t="str">
        <f>'Build Plan w Hours'!C37</f>
        <v>.725</v>
      </c>
      <c r="C182" s="40" t="str">
        <f>'Build Plan w Hours'!D37</f>
        <v>Set nozzles in shell - tack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011-25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68</v>
      </c>
    </row>
    <row r="188" spans="1:9" ht="21.75" customHeight="1" x14ac:dyDescent="0.25">
      <c r="A188" s="29" t="s">
        <v>13</v>
      </c>
      <c r="B188" s="31" t="str">
        <f>'Build Plan w Hours'!C38</f>
        <v>.726</v>
      </c>
      <c r="C188" s="40" t="str">
        <f>'Build Plan w Hours'!D38</f>
        <v>Weld shell nozzles, manways, etc._x000D_
***SEE SAMMY BEFORE WELDING MANWAY***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011-25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68</v>
      </c>
    </row>
    <row r="194" spans="1:9" ht="21.75" customHeight="1" x14ac:dyDescent="0.25">
      <c r="A194" s="29" t="s">
        <v>13</v>
      </c>
      <c r="B194" s="31" t="str">
        <f>'Build Plan w Hours'!C39</f>
        <v>.730</v>
      </c>
      <c r="C194" s="40" t="str">
        <f>'Build Plan w Hours'!D39</f>
        <v>Add repads and weld_x000D_
FOR MANWAY AND MIXER STIFFENERS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011-25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68</v>
      </c>
    </row>
    <row r="200" spans="1:9" ht="21.75" customHeight="1" x14ac:dyDescent="0.25">
      <c r="A200" s="29" t="s">
        <v>13</v>
      </c>
      <c r="B200" s="31" t="str">
        <f>'Build Plan w Hours'!C40</f>
        <v>.735</v>
      </c>
      <c r="C200" s="40" t="str">
        <f>'Build Plan w Hours'!D40</f>
        <v>Install dip pipe supports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011-25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68</v>
      </c>
    </row>
    <row r="206" spans="1:9" ht="21.75" customHeight="1" x14ac:dyDescent="0.25">
      <c r="A206" s="29" t="s">
        <v>13</v>
      </c>
      <c r="B206" s="31" t="str">
        <f>'Build Plan w Hours'!C41</f>
        <v>.765</v>
      </c>
      <c r="C206" s="40" t="str">
        <f>'Build Plan w Hours'!D41</f>
        <v>Install name tag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011-25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68</v>
      </c>
    </row>
    <row r="212" spans="1:9" ht="21.75" customHeight="1" x14ac:dyDescent="0.25">
      <c r="A212" s="29" t="s">
        <v>13</v>
      </c>
      <c r="B212" s="31" t="str">
        <f>'Build Plan w Hours'!C42</f>
        <v>.770</v>
      </c>
      <c r="C212" s="40" t="str">
        <f>'Build Plan w Hours'!D42</f>
        <v>Inspect tank, make repairs, get QC inspector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011-25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68</v>
      </c>
    </row>
    <row r="218" spans="1:9" ht="21.75" customHeight="1" x14ac:dyDescent="0.25">
      <c r="A218" s="29" t="s">
        <v>13</v>
      </c>
      <c r="B218" s="31" t="str">
        <f>'Build Plan w Hours'!C43</f>
        <v>.QC6</v>
      </c>
      <c r="C218" s="40" t="str">
        <f>'Build Plan w Hours'!D43</f>
        <v>QC Inspection - Fabrication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011-25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68</v>
      </c>
    </row>
    <row r="224" spans="1:9" ht="21.75" customHeight="1" x14ac:dyDescent="0.25">
      <c r="A224" s="29" t="s">
        <v>13</v>
      </c>
      <c r="B224" s="31" t="str">
        <f>'Build Plan w Hours'!C44</f>
        <v>.801</v>
      </c>
      <c r="C224" s="40" t="str">
        <f>'Build Plan w Hours'!D44</f>
        <v>Move to shop test area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011-25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68</v>
      </c>
    </row>
    <row r="230" spans="1:9" ht="21.75" customHeight="1" x14ac:dyDescent="0.25">
      <c r="A230" s="29" t="s">
        <v>13</v>
      </c>
      <c r="B230" s="31" t="str">
        <f>'Build Plan w Hours'!C45</f>
        <v>.910</v>
      </c>
      <c r="C230" s="40" t="str">
        <f>'Build Plan w Hours'!D45</f>
        <v>Test tank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011-25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68</v>
      </c>
    </row>
    <row r="236" spans="1:9" ht="21.75" customHeight="1" x14ac:dyDescent="0.25">
      <c r="A236" s="29" t="s">
        <v>13</v>
      </c>
      <c r="B236" s="31" t="str">
        <f>'Build Plan w Hours'!C46</f>
        <v>.QC7</v>
      </c>
      <c r="C236" s="40" t="str">
        <f>'Build Plan w Hours'!D46</f>
        <v>QC Inspection - Test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011-25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68</v>
      </c>
    </row>
    <row r="242" spans="1:9" ht="21.75" customHeight="1" x14ac:dyDescent="0.25">
      <c r="A242" s="29" t="s">
        <v>13</v>
      </c>
      <c r="B242" s="31" t="str">
        <f>'Build Plan w Hours'!C47</f>
        <v>.920</v>
      </c>
      <c r="C242" s="40" t="str">
        <f>'Build Plan w Hours'!D47</f>
        <v>Clean tank complete_x000D_
CLEAN INTERIOR TO HIGH STANDARD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011-25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68</v>
      </c>
    </row>
    <row r="248" spans="1:9" ht="21.75" customHeight="1" x14ac:dyDescent="0.25">
      <c r="A248" s="29" t="s">
        <v>13</v>
      </c>
      <c r="B248" s="31" t="str">
        <f>'Build Plan w Hours'!C48</f>
        <v>.QC8</v>
      </c>
      <c r="C248" s="40" t="str">
        <f>'Build Plan w Hours'!D48</f>
        <v>QC Inspection - Clean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011-25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68</v>
      </c>
    </row>
    <row r="254" spans="1:9" ht="21.75" customHeight="1" x14ac:dyDescent="0.25">
      <c r="A254" s="29" t="s">
        <v>13</v>
      </c>
      <c r="B254" s="31" t="str">
        <f>'Build Plan w Hours'!C49</f>
        <v>.940</v>
      </c>
      <c r="C254" s="40" t="str">
        <f>'Build Plan w Hours'!D49</f>
        <v>Prepare tank for shipment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011-25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68</v>
      </c>
    </row>
    <row r="260" spans="1:9" ht="21.75" customHeight="1" x14ac:dyDescent="0.25">
      <c r="A260" s="29" t="s">
        <v>13</v>
      </c>
      <c r="B260" s="31" t="str">
        <f>'Build Plan w Hours'!C50</f>
        <v>.950</v>
      </c>
      <c r="C260" s="40" t="str">
        <f>'Build Plan w Hours'!D50</f>
        <v>Check bill of materials and pack loose parts_x000D_
(4) SHIM PLATES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011-25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68</v>
      </c>
    </row>
    <row r="266" spans="1:9" ht="21.75" customHeight="1" x14ac:dyDescent="0.25">
      <c r="A266" s="29" t="s">
        <v>13</v>
      </c>
      <c r="B266" s="31" t="str">
        <f>'Build Plan w Hours'!C51</f>
        <v>.960</v>
      </c>
      <c r="C266" s="40" t="str">
        <f>'Build Plan w Hours'!D51</f>
        <v>Load on truck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011-25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68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011-25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68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011-25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68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011-25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68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011-25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68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011-25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68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011-25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68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011-25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68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011-25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68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011-25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68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011-25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68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011-25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68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011-25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68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011-25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68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011-25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68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011-25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68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011-25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68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011-25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68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011-25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68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011-25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68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011-25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68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011-25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68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011-25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68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011-25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68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011-25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68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011-25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68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011-25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68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011-25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68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011-25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68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011-25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68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011-25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68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011-25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68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011-25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68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011-25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68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011-25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68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011-25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68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011-25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68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2025-11-03T21:35:05Z</cp:lastPrinted>
  <dcterms:created xsi:type="dcterms:W3CDTF">2016-06-28T20:53:17Z</dcterms:created>
  <dcterms:modified xsi:type="dcterms:W3CDTF">2025-11-03T21:44:29Z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