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6-25 - Irving Tissue - Glue Containment Droplet Seal Pot\"/>
    </mc:Choice>
  </mc:AlternateContent>
  <xr:revisionPtr revIDLastSave="0" documentId="8_{71124611-6553-444E-A4DE-AAE8D75029D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<sst xmlns="http://schemas.openxmlformats.org/spreadsheetml/2006/main" count="1586" uniqueCount="164">
  <si>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</si>
  <si>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</si>
  <si>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</si>
  <si>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</si>
  <si>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</si>
  <si>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</si>
  <si>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</si>
  <si>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</si>
  <si>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</si>
  <si>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</si>
  <si>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</si>
  <si>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</si>
  <si>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</si>
  <si>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</si>
  <si>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</si>
  <si>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</si>
  <si>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</si>
  <si>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</si>
  <si>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</si>
  <si>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</si>
  <si>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</si>
  <si>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</si>
  <si>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</si>
  <si>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</si>
  <si>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</si>
  <si>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</si>
  <si>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</si>
  <si>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</si>
  <si>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</si>
  <si>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</si>
  <si>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</si>
  <si>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</si>
  <si>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</si>
  <si>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</si>
  <si>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</si>
  <si>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</si>
  <si>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</si>
  <si>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</si>
  <si>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</si>
  <si>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</si>
  <si>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</si>
  <si>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</si>
  <si>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</si>
  <si>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</si>
  <si>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</si>
  <si>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</si>
  <si>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</si>
  <si>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</si>
  <si>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</si>
  <si>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</si>
  <si>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</si>
  <si>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</si>
  <si>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</si>
  <si>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</si>
  <si>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</si>
  <si>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</si>
  <si>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</si>
  <si>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</si>
  <si>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</si>
  <si>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</si>
  <si>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</si>
  <si>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</si>
  <si>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</si>
  <si>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</si>
  <si>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</si>
  <si>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</si>
  <si>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</si>
  <si>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</si>
  <si>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</si>
  <si>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</si>
  <si>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</si>
  <si>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</si>
  <si>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</si>
  <si>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</si>
  <si>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</si>
  <si>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</si>
  <si>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</si>
  <si>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</si>
  <si>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</si>
  <si>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</si>
  <si>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</si>
  <si>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</si>
  <si>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</si>
  <si>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</si>
  <si>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</si>
  <si>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</si>
  <si>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</si>
  <si>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</si>
  <si>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</si>
  <si>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</si>
  <si>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</si>
  <si>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</si>
  <si>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</si>
  <si>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</si>
  <si>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</si>
  <si>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</si>
  <si>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</si>
  <si>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</si>
  <si>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</si>
  <si>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</si>
  <si>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</si>
  <si>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</si>
  <si>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</si>
  <si>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</si>
  <si>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</si>
  <si>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</si>
  <si>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</si>
  <si>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</si>
  <si>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</si>
  <si>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</si>
  <si>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</si>
  <si>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</si>
  <si>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</si>
  <si>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</si>
  <si>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</si>
  <si>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</si>
  <si>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</si>
  <si>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</si>
  <si>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</si>
  <si>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</si>
  <si>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</si>
  <si>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</si>
  <si>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</si>
  <si>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20615990 OP</t>
  </si>
  <si>
    <t>Cut Parts on Burn Table</t>
  </si>
  <si>
    <t>Clean &amp; Prep Parts</t>
  </si>
  <si>
    <t>.156</t>
  </si>
  <si>
    <t>Misc Fabrication</t>
  </si>
  <si>
    <t>.261</t>
  </si>
  <si>
    <t>Weld all Outside Seams</t>
  </si>
  <si>
    <t>.645</t>
  </si>
  <si>
    <t>Install supports - legs, lugs, anchors, saddles, skirt</t>
  </si>
  <si>
    <t>GLUE CONTAINMENT DROPLET SEAL POT</t>
  </si>
  <si>
    <t>9260</t>
  </si>
  <si>
    <t>15</t>
  </si>
  <si>
    <t>Build nozzles and weld</t>
  </si>
  <si>
    <t>Build supports: legs, lugs, saddles_x000D_
CUT ANGLE MUNTING SUPPORTS &amp; DRILL HOLES</t>
  </si>
  <si>
    <t>Make lift lugs, ground lugs, etc.</t>
  </si>
  <si>
    <t>Miscellaneous Fabrication - Braces, Mounting Plates, Cone Outlet Necks_x000D_
MAKE TOP LID WITH HANDLE</t>
  </si>
  <si>
    <t>ASME Hold Point</t>
  </si>
  <si>
    <t>.OI1</t>
  </si>
  <si>
    <t>Tack shell courses together_x000D_
FIT SHELL SIDES AND BOTTOM TOGETHER</t>
  </si>
  <si>
    <t>Weld inside round seams_x000D_
WELD INSIDE CORNERS AND BOTTOM TO SHELL</t>
  </si>
  <si>
    <t>Lay out shell, burn and clean holes_x000D_
CLEAN UP HOLES CUT ON BURN TABLE</t>
  </si>
  <si>
    <t>Weld all outside seams_x000D_
WELD OUTSIDE CORNER SEAMS AND BOTTOM</t>
  </si>
  <si>
    <t>Install lift lugs on shell</t>
  </si>
  <si>
    <t>Set nozzles in shell - tack</t>
  </si>
  <si>
    <t>Weld shell nozzles, manways, etc.</t>
  </si>
  <si>
    <t>UT Components</t>
  </si>
  <si>
    <t>.QC51</t>
  </si>
  <si>
    <t>Customer Inspection</t>
  </si>
  <si>
    <t>.OI4</t>
  </si>
  <si>
    <t>ASME Inspection Internal</t>
  </si>
  <si>
    <t>.OI2</t>
  </si>
  <si>
    <t>ASME Inspection Test</t>
  </si>
  <si>
    <t>.OI3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</si>
  <si>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</si>
  <si>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</si>
  <si>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</si>
  <si>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</si>
  <si>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</si>
  <si>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</si>
  <si>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</si>
  <si>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076-25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</si>
</sst>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GLUE CONTAINMENT DROPLET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CUT ANGLE MUNTING SUPPORTS &amp; DRILL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.261</v>
      </c>
      <c r="D13" s="22" t="str">
        <f>'Sheet2-PASTE HERE!'!K23</f>
        <v>Miscellaneous Fabrication - Braces, Mounting Plates, Cone Outlet Necks_x000D_
MAKE TOP LID WITH HANDLE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.OI1</v>
      </c>
      <c r="D14" s="22" t="str">
        <f>'Sheet2-PASTE HERE!'!K24</f>
        <v>ASME Hold Point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1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.605</v>
      </c>
      <c r="D15" s="22" t="str">
        <f>'Sheet2-PASTE HERE!'!K25</f>
        <v>Tack shell courses together_x000D_
FIT SHELL SIDES AND BOTTOM TOGETHER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.610</v>
      </c>
      <c r="D16" s="22" t="str">
        <f>'Sheet2-PASTE HERE!'!K26</f>
        <v>Weld inside round seams_x000D_
WELD INSIDE CORNERS AND BOTTOM TO SHELL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.620</v>
      </c>
      <c r="D17" s="22" t="str">
        <f>'Sheet2-PASTE HERE!'!K27</f>
        <v>Lay out shell, burn and clean holes_x000D_
CLEAN UP HOLES CUT ON BURN TABLE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.QC5</v>
      </c>
      <c r="D18" s="22" t="str">
        <f>'Sheet2-PASTE HERE!'!K28</f>
        <v>QC Inspection - Internal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OUTSIDE CORNER SEAMS AND BOTTOM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.717</v>
      </c>
      <c r="D20" s="22" t="str">
        <f>'Sheet2-PASTE HERE!'!K30</f>
        <v>Install lift lugs on shell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.QC51</v>
      </c>
      <c r="D24" s="22" t="str">
        <f>'Sheet2-PASTE HERE!'!K34</f>
        <v>UT Components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.OI2</v>
      </c>
      <c r="D29" s="22" t="str">
        <f>'Sheet2-PASTE HERE!'!K39</f>
        <v>ASME Inspection Internal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MOVE TANK</v>
      </c>
      <c r="B30" s="11"/>
      <c r="C30" s="17" t="str">
        <f>'Sheet2-PASTE HERE!'!I40</f>
        <v>.801</v>
      </c>
      <c r="D30" s="22" t="str">
        <f>'Sheet2-PASTE HERE!'!K40</f>
        <v>Move to shop test area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.910</v>
      </c>
      <c r="D31" s="22" t="str">
        <f>'Sheet2-PASTE HERE!'!K41</f>
        <v>Test tank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.QC7</v>
      </c>
      <c r="D32" s="22" t="str">
        <f>'Sheet2-PASTE HERE!'!K42</f>
        <v>QC Inspection -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.OI3</v>
      </c>
      <c r="D33" s="22" t="str">
        <f>'Sheet2-PASTE HERE!'!K43</f>
        <v>ASME Inspection Test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.920</v>
      </c>
      <c r="D34" s="22" t="str">
        <f>'Sheet2-PASTE HERE!'!K44</f>
        <v>Clean tank complete</v>
      </c>
      <c r="E34" s="13">
        <f>'Sheet2-PASTE HERE!'!F44</f>
        <v>5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.QC8</v>
      </c>
      <c r="D35" s="22" t="str">
        <f>'Sheet2-PASTE HERE!'!K45</f>
        <v>QC Inspection - Clean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.QC9</v>
      </c>
      <c r="D36" s="22" t="str">
        <f>'Sheet2-PASTE HERE!'!K46</f>
        <v>QC Inspection - Sandblast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.QC90</v>
      </c>
      <c r="D37" s="22" t="str">
        <f>'Sheet2-PASTE HERE!'!K47</f>
        <v>QC Inspection - Paint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.940</v>
      </c>
      <c r="D38" s="22" t="str">
        <f>'Sheet2-PASTE HERE!'!K48</f>
        <v>Prepare tank for shipment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.QC95</v>
      </c>
      <c r="D39" s="22" t="str">
        <f>'Sheet2-PASTE HERE!'!K49</f>
        <v>QC Inspection - Final &amp; Loose Items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SHIPPING</v>
      </c>
      <c r="B40" s="11"/>
      <c r="C40" s="17" t="str">
        <f>'Sheet2-PASTE HERE!'!I50</f>
        <v>.960</v>
      </c>
      <c r="D40" s="22" t="str">
        <f>'Sheet2-PASTE HERE!'!K50</f>
        <v>Load on truck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GLUE CONTAINMENT DROPLET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CUT ANGLE MUNTING SUPPORTS &amp; DRILL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.261</v>
      </c>
      <c r="D13" s="22" t="str">
        <f>'Sheet2-PASTE HERE!'!K23</f>
        <v>Miscellaneous Fabrication - Braces, Mounting Plates, Cone Outlet Necks_x000D_
MAKE TOP LID WITH HANDLE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.OI1</v>
      </c>
      <c r="D14" s="22" t="str">
        <f>'Sheet2-PASTE HERE!'!K24</f>
        <v>ASME Hold Point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1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.605</v>
      </c>
      <c r="D15" s="22" t="str">
        <f>'Sheet2-PASTE HERE!'!K25</f>
        <v>Tack shell courses together_x000D_
FIT SHELL SIDES AND BOTTOM TOGETHER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.610</v>
      </c>
      <c r="D16" s="22" t="str">
        <f>'Sheet2-PASTE HERE!'!K26</f>
        <v>Weld inside round seams_x000D_
WELD INSIDE CORNERS AND BOTTOM TO SHELL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.620</v>
      </c>
      <c r="D17" s="22" t="str">
        <f>'Sheet2-PASTE HERE!'!K27</f>
        <v>Lay out shell, burn and clean holes_x000D_
CLEAN UP HOLES CUT ON BURN TABLE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.QC5</v>
      </c>
      <c r="D18" s="22" t="str">
        <f>'Sheet2-PASTE HERE!'!K28</f>
        <v>QC Inspection - Internal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OUTSIDE CORNER SEAMS AND BOTTOM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.717</v>
      </c>
      <c r="D20" s="22" t="str">
        <f>'Sheet2-PASTE HERE!'!K30</f>
        <v>Install lift lugs on shell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.QC51</v>
      </c>
      <c r="D24" s="22" t="str">
        <f>'Sheet2-PASTE HERE!'!K34</f>
        <v>UT Components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.OI2</v>
      </c>
      <c r="D29" s="22" t="str">
        <f>'Sheet2-PASTE HERE!'!K39</f>
        <v>ASME Inspection Internal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MOVE TANK</v>
      </c>
      <c r="B30" s="11"/>
      <c r="C30" s="17" t="str">
        <f>'Sheet2-PASTE HERE!'!I40</f>
        <v>.801</v>
      </c>
      <c r="D30" s="22" t="str">
        <f>'Sheet2-PASTE HERE!'!K40</f>
        <v>Move to shop test area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.910</v>
      </c>
      <c r="D31" s="22" t="str">
        <f>'Sheet2-PASTE HERE!'!K41</f>
        <v>Test tank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.QC7</v>
      </c>
      <c r="D32" s="22" t="str">
        <f>'Sheet2-PASTE HERE!'!K42</f>
        <v>QC Inspection -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.OI3</v>
      </c>
      <c r="D33" s="22" t="str">
        <f>'Sheet2-PASTE HERE!'!K43</f>
        <v>ASME Inspection Test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.920</v>
      </c>
      <c r="D34" s="22" t="str">
        <f>'Sheet2-PASTE HERE!'!K44</f>
        <v>Clean tank complete</v>
      </c>
      <c r="E34" s="13">
        <f>'Sheet2-PASTE HERE!'!F44</f>
        <v>5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.QC8</v>
      </c>
      <c r="D35" s="22" t="str">
        <f>'Sheet2-PASTE HERE!'!K45</f>
        <v>QC Inspection - Clean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.QC9</v>
      </c>
      <c r="D36" s="22" t="str">
        <f>'Sheet2-PASTE HERE!'!K46</f>
        <v>QC Inspection - Sandblast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.QC90</v>
      </c>
      <c r="D37" s="22" t="str">
        <f>'Sheet2-PASTE HERE!'!K47</f>
        <v>QC Inspection - Paint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.940</v>
      </c>
      <c r="D38" s="22" t="str">
        <f>'Sheet2-PASTE HERE!'!K48</f>
        <v>Prepare tank for shipment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.QC95</v>
      </c>
      <c r="D39" s="22" t="str">
        <f>'Sheet2-PASTE HERE!'!K49</f>
        <v>QC Inspection - Final &amp; Loose Items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SHIPPING</v>
      </c>
      <c r="B40" s="11"/>
      <c r="C40" s="17" t="str">
        <f>'Sheet2-PASTE HERE!'!I50</f>
        <v>.960</v>
      </c>
      <c r="D40" s="22" t="str">
        <f>'Sheet2-PASTE HERE!'!K50</f>
        <v>Load on truck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132</v>
      </c>
      <c r="C1" s="8" t="s">
        <v>17</v>
      </c>
      <c r="D1" s="8" t="s">
        <v>123</v>
      </c>
      <c r="E1" s="8" t="s">
        <v>18</v>
      </c>
      <c r="F1" s="8" t="s">
        <v>133</v>
      </c>
      <c r="G1" s="8" t="s">
        <v>132</v>
      </c>
      <c r="H1" s="8" t="s">
        <v>20</v>
      </c>
      <c r="I1" s="8" t="s">
        <v>134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38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53885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53886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53887</v>
      </c>
      <c r="C17" s="19">
        <v>0</v>
      </c>
      <c r="D17" s="8" t="s">
        <v>57</v>
      </c>
      <c r="E17" s="20">
        <v>0</v>
      </c>
      <c r="F17" s="20">
        <v>1</v>
      </c>
      <c r="G17" s="8" t="s">
        <v>54</v>
      </c>
      <c r="H17" s="20">
        <v>1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53888</v>
      </c>
      <c r="C18" s="19">
        <v>0</v>
      </c>
      <c r="D18" s="8" t="s">
        <v>81</v>
      </c>
      <c r="E18" s="20">
        <v>0</v>
      </c>
      <c r="F18" s="20">
        <v>2</v>
      </c>
      <c r="G18" s="8" t="s">
        <v>54</v>
      </c>
      <c r="H18" s="20">
        <v>2</v>
      </c>
      <c r="I18" s="8" t="s">
        <v>82</v>
      </c>
      <c r="J18" s="19">
        <v>0</v>
      </c>
      <c r="K18" s="8" t="s">
        <v>135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53889</v>
      </c>
      <c r="C19" s="19">
        <v>0</v>
      </c>
      <c r="D19" s="8" t="s">
        <v>124</v>
      </c>
      <c r="E19" s="20">
        <v>0</v>
      </c>
      <c r="F19" s="20">
        <v>2</v>
      </c>
      <c r="G19" s="8" t="s">
        <v>54</v>
      </c>
      <c r="H19" s="20">
        <v>2</v>
      </c>
      <c r="I19" s="8" t="s">
        <v>59</v>
      </c>
      <c r="J19" s="19">
        <v>0</v>
      </c>
      <c r="K19" s="8" t="s">
        <v>83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53890</v>
      </c>
      <c r="C20" s="19">
        <v>0</v>
      </c>
      <c r="D20" s="8" t="s">
        <v>125</v>
      </c>
      <c r="E20" s="20">
        <v>0</v>
      </c>
      <c r="F20" s="20">
        <v>1</v>
      </c>
      <c r="G20" s="8" t="s">
        <v>54</v>
      </c>
      <c r="H20" s="20">
        <v>1</v>
      </c>
      <c r="I20" s="8" t="s">
        <v>126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53891</v>
      </c>
      <c r="C21" s="19">
        <v>0</v>
      </c>
      <c r="D21" s="8" t="s">
        <v>60</v>
      </c>
      <c r="E21" s="20">
        <v>0</v>
      </c>
      <c r="F21" s="20">
        <v>2</v>
      </c>
      <c r="G21" s="8" t="s">
        <v>54</v>
      </c>
      <c r="H21" s="20">
        <v>2</v>
      </c>
      <c r="I21" s="8" t="s">
        <v>61</v>
      </c>
      <c r="J21" s="19">
        <v>0</v>
      </c>
      <c r="K21" s="8" t="s">
        <v>136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53892</v>
      </c>
      <c r="C22" s="19">
        <v>0</v>
      </c>
      <c r="D22" s="8" t="s">
        <v>84</v>
      </c>
      <c r="E22" s="20">
        <v>0</v>
      </c>
      <c r="F22" s="20">
        <v>1</v>
      </c>
      <c r="G22" s="8" t="s">
        <v>54</v>
      </c>
      <c r="H22" s="20">
        <v>1</v>
      </c>
      <c r="I22" s="8" t="s">
        <v>85</v>
      </c>
      <c r="J22" s="19">
        <v>0</v>
      </c>
      <c r="K22" s="8" t="s">
        <v>137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53893</v>
      </c>
      <c r="C23" s="19">
        <v>0</v>
      </c>
      <c r="D23" s="8" t="s">
        <v>127</v>
      </c>
      <c r="E23" s="20">
        <v>0</v>
      </c>
      <c r="F23" s="20">
        <v>2</v>
      </c>
      <c r="G23" s="8" t="s">
        <v>54</v>
      </c>
      <c r="H23" s="20">
        <v>2</v>
      </c>
      <c r="I23" s="8" t="s">
        <v>128</v>
      </c>
      <c r="J23" s="19">
        <v>0</v>
      </c>
      <c r="K23" s="8" t="s">
        <v>138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53894</v>
      </c>
      <c r="C24" s="19">
        <v>0</v>
      </c>
      <c r="D24" s="8" t="s">
        <v>139</v>
      </c>
      <c r="E24" s="20">
        <v>0</v>
      </c>
      <c r="F24" s="20">
        <v>0</v>
      </c>
      <c r="G24" s="8" t="s">
        <v>54</v>
      </c>
      <c r="H24" s="20">
        <v>0</v>
      </c>
      <c r="I24" s="8" t="s">
        <v>140</v>
      </c>
      <c r="J24" s="19">
        <v>0</v>
      </c>
      <c r="K24" s="8" t="s">
        <v>139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74</v>
      </c>
      <c r="B25" s="18">
        <v>53895</v>
      </c>
      <c r="C25" s="19">
        <v>0</v>
      </c>
      <c r="D25" s="8" t="s">
        <v>86</v>
      </c>
      <c r="E25" s="20">
        <v>0</v>
      </c>
      <c r="F25" s="20">
        <v>3</v>
      </c>
      <c r="G25" s="8" t="s">
        <v>54</v>
      </c>
      <c r="H25" s="20">
        <v>3</v>
      </c>
      <c r="I25" s="8" t="s">
        <v>87</v>
      </c>
      <c r="J25" s="19">
        <v>0</v>
      </c>
      <c r="K25" s="8" t="s">
        <v>141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74</v>
      </c>
      <c r="B26" s="18">
        <v>53896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142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74</v>
      </c>
      <c r="B27" s="18">
        <v>53897</v>
      </c>
      <c r="C27" s="19">
        <v>0</v>
      </c>
      <c r="D27" s="8" t="s">
        <v>90</v>
      </c>
      <c r="E27" s="20">
        <v>0</v>
      </c>
      <c r="F27" s="20">
        <v>1</v>
      </c>
      <c r="G27" s="8" t="s">
        <v>54</v>
      </c>
      <c r="H27" s="20">
        <v>1</v>
      </c>
      <c r="I27" s="8" t="s">
        <v>91</v>
      </c>
      <c r="J27" s="19">
        <v>0</v>
      </c>
      <c r="K27" s="8" t="s">
        <v>143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53898</v>
      </c>
      <c r="C28" s="19">
        <v>0</v>
      </c>
      <c r="D28" s="8" t="s">
        <v>92</v>
      </c>
      <c r="E28" s="20">
        <v>0</v>
      </c>
      <c r="F28" s="20">
        <v>0</v>
      </c>
      <c r="G28" s="8" t="s">
        <v>54</v>
      </c>
      <c r="H28" s="20">
        <v>0</v>
      </c>
      <c r="I28" s="8" t="s">
        <v>93</v>
      </c>
      <c r="J28" s="19">
        <v>0</v>
      </c>
      <c r="K28" s="8" t="s">
        <v>92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74</v>
      </c>
      <c r="B29" s="18">
        <v>53899</v>
      </c>
      <c r="C29" s="19">
        <v>0</v>
      </c>
      <c r="D29" s="8" t="s">
        <v>129</v>
      </c>
      <c r="E29" s="20">
        <v>0</v>
      </c>
      <c r="F29" s="20">
        <v>2</v>
      </c>
      <c r="G29" s="8" t="s">
        <v>54</v>
      </c>
      <c r="H29" s="20">
        <v>2</v>
      </c>
      <c r="I29" s="8" t="s">
        <v>130</v>
      </c>
      <c r="J29" s="19">
        <v>0</v>
      </c>
      <c r="K29" s="8" t="s">
        <v>144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74</v>
      </c>
      <c r="B30" s="18">
        <v>53900</v>
      </c>
      <c r="C30" s="19">
        <v>0</v>
      </c>
      <c r="D30" s="8" t="s">
        <v>62</v>
      </c>
      <c r="E30" s="20">
        <v>0</v>
      </c>
      <c r="F30" s="20">
        <v>1</v>
      </c>
      <c r="G30" s="8" t="s">
        <v>54</v>
      </c>
      <c r="H30" s="20">
        <v>1</v>
      </c>
      <c r="I30" s="8" t="s">
        <v>63</v>
      </c>
      <c r="J30" s="19">
        <v>0</v>
      </c>
      <c r="K30" s="8" t="s">
        <v>145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74</v>
      </c>
      <c r="B31" s="18">
        <v>53901</v>
      </c>
      <c r="C31" s="19">
        <v>0</v>
      </c>
      <c r="D31" s="8" t="s">
        <v>95</v>
      </c>
      <c r="E31" s="20">
        <v>0</v>
      </c>
      <c r="F31" s="20">
        <v>1</v>
      </c>
      <c r="G31" s="8" t="s">
        <v>54</v>
      </c>
      <c r="H31" s="20">
        <v>1</v>
      </c>
      <c r="I31" s="8" t="s">
        <v>96</v>
      </c>
      <c r="J31" s="19">
        <v>0</v>
      </c>
      <c r="K31" s="8" t="s">
        <v>131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74</v>
      </c>
      <c r="B32" s="18">
        <v>53902</v>
      </c>
      <c r="C32" s="19">
        <v>0</v>
      </c>
      <c r="D32" s="8" t="s">
        <v>97</v>
      </c>
      <c r="E32" s="20">
        <v>0</v>
      </c>
      <c r="F32" s="20">
        <v>2</v>
      </c>
      <c r="G32" s="8" t="s">
        <v>54</v>
      </c>
      <c r="H32" s="20">
        <v>2</v>
      </c>
      <c r="I32" s="8" t="s">
        <v>98</v>
      </c>
      <c r="J32" s="19">
        <v>0</v>
      </c>
      <c r="K32" s="8" t="s">
        <v>146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74</v>
      </c>
      <c r="B33" s="18">
        <v>53903</v>
      </c>
      <c r="C33" s="19">
        <v>0</v>
      </c>
      <c r="D33" s="8" t="s">
        <v>99</v>
      </c>
      <c r="E33" s="20">
        <v>0</v>
      </c>
      <c r="F33" s="20">
        <v>3</v>
      </c>
      <c r="G33" s="8" t="s">
        <v>54</v>
      </c>
      <c r="H33" s="20">
        <v>3</v>
      </c>
      <c r="I33" s="8" t="s">
        <v>100</v>
      </c>
      <c r="J33" s="19">
        <v>0</v>
      </c>
      <c r="K33" s="8" t="s">
        <v>147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53904</v>
      </c>
      <c r="C34" s="19">
        <v>0</v>
      </c>
      <c r="D34" s="8" t="s">
        <v>148</v>
      </c>
      <c r="E34" s="20">
        <v>0</v>
      </c>
      <c r="F34" s="20">
        <v>0</v>
      </c>
      <c r="G34" s="8" t="s">
        <v>54</v>
      </c>
      <c r="H34" s="20">
        <v>0</v>
      </c>
      <c r="I34" s="8" t="s">
        <v>149</v>
      </c>
      <c r="J34" s="19">
        <v>0</v>
      </c>
      <c r="K34" s="8" t="s">
        <v>148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64</v>
      </c>
      <c r="B35" s="18">
        <v>53905</v>
      </c>
      <c r="C35" s="19">
        <v>0</v>
      </c>
      <c r="D35" s="8" t="s">
        <v>101</v>
      </c>
      <c r="E35" s="20">
        <v>0</v>
      </c>
      <c r="F35" s="20">
        <v>1</v>
      </c>
      <c r="G35" s="8" t="s">
        <v>54</v>
      </c>
      <c r="H35" s="20">
        <v>1</v>
      </c>
      <c r="I35" s="8" t="s">
        <v>102</v>
      </c>
      <c r="J35" s="19">
        <v>0</v>
      </c>
      <c r="K35" s="8" t="s">
        <v>103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74</v>
      </c>
      <c r="B36" s="18">
        <v>53906</v>
      </c>
      <c r="C36" s="19">
        <v>0</v>
      </c>
      <c r="D36" s="8" t="s">
        <v>104</v>
      </c>
      <c r="E36" s="20">
        <v>0</v>
      </c>
      <c r="F36" s="20">
        <v>1</v>
      </c>
      <c r="G36" s="8" t="s">
        <v>54</v>
      </c>
      <c r="H36" s="20">
        <v>1</v>
      </c>
      <c r="I36" s="8" t="s">
        <v>105</v>
      </c>
      <c r="J36" s="19">
        <v>0</v>
      </c>
      <c r="K36" s="8" t="s">
        <v>106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53907</v>
      </c>
      <c r="C37" s="19">
        <v>0</v>
      </c>
      <c r="D37" s="8" t="s">
        <v>107</v>
      </c>
      <c r="E37" s="20">
        <v>0</v>
      </c>
      <c r="F37" s="20">
        <v>0</v>
      </c>
      <c r="G37" s="8" t="s">
        <v>54</v>
      </c>
      <c r="H37" s="20">
        <v>0</v>
      </c>
      <c r="I37" s="8" t="s">
        <v>108</v>
      </c>
      <c r="J37" s="19">
        <v>0</v>
      </c>
      <c r="K37" s="8" t="s">
        <v>109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53908</v>
      </c>
      <c r="C38" s="19">
        <v>0</v>
      </c>
      <c r="D38" s="8" t="s">
        <v>150</v>
      </c>
      <c r="E38" s="20">
        <v>0</v>
      </c>
      <c r="F38" s="20">
        <v>0</v>
      </c>
      <c r="G38" s="8" t="s">
        <v>54</v>
      </c>
      <c r="H38" s="20">
        <v>0</v>
      </c>
      <c r="I38" s="8" t="s">
        <v>151</v>
      </c>
      <c r="J38" s="19">
        <v>0</v>
      </c>
      <c r="K38" s="8" t="s">
        <v>150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53909</v>
      </c>
      <c r="C39" s="19">
        <v>0</v>
      </c>
      <c r="D39" s="8" t="s">
        <v>152</v>
      </c>
      <c r="E39" s="20">
        <v>0</v>
      </c>
      <c r="F39" s="20">
        <v>0</v>
      </c>
      <c r="G39" s="8" t="s">
        <v>54</v>
      </c>
      <c r="H39" s="20">
        <v>0</v>
      </c>
      <c r="I39" s="8" t="s">
        <v>153</v>
      </c>
      <c r="J39" s="19">
        <v>0</v>
      </c>
      <c r="K39" s="8" t="s">
        <v>152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94</v>
      </c>
      <c r="B40" s="18">
        <v>53910</v>
      </c>
      <c r="C40" s="19">
        <v>0</v>
      </c>
      <c r="D40" s="8" t="s">
        <v>110</v>
      </c>
      <c r="E40" s="20">
        <v>0</v>
      </c>
      <c r="F40" s="20">
        <v>1</v>
      </c>
      <c r="G40" s="8" t="s">
        <v>54</v>
      </c>
      <c r="H40" s="20">
        <v>1</v>
      </c>
      <c r="I40" s="8" t="s">
        <v>111</v>
      </c>
      <c r="J40" s="19">
        <v>0</v>
      </c>
      <c r="K40" s="8" t="s">
        <v>112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64</v>
      </c>
      <c r="B41" s="18">
        <v>53911</v>
      </c>
      <c r="C41" s="19">
        <v>0</v>
      </c>
      <c r="D41" s="8" t="s">
        <v>113</v>
      </c>
      <c r="E41" s="20">
        <v>0</v>
      </c>
      <c r="F41" s="20">
        <v>2</v>
      </c>
      <c r="G41" s="8" t="s">
        <v>54</v>
      </c>
      <c r="H41" s="20">
        <v>2</v>
      </c>
      <c r="I41" s="8" t="s">
        <v>114</v>
      </c>
      <c r="J41" s="19">
        <v>0</v>
      </c>
      <c r="K41" s="8" t="s">
        <v>115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53912</v>
      </c>
      <c r="C42" s="19">
        <v>0</v>
      </c>
      <c r="D42" s="8" t="s">
        <v>116</v>
      </c>
      <c r="E42" s="20">
        <v>0</v>
      </c>
      <c r="F42" s="20">
        <v>0</v>
      </c>
      <c r="G42" s="8" t="s">
        <v>54</v>
      </c>
      <c r="H42" s="20">
        <v>0</v>
      </c>
      <c r="I42" s="8" t="s">
        <v>117</v>
      </c>
      <c r="J42" s="19">
        <v>0</v>
      </c>
      <c r="K42" s="8" t="s">
        <v>116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53913</v>
      </c>
      <c r="C43" s="19">
        <v>0</v>
      </c>
      <c r="D43" s="8" t="s">
        <v>154</v>
      </c>
      <c r="E43" s="20">
        <v>0</v>
      </c>
      <c r="F43" s="20">
        <v>0</v>
      </c>
      <c r="G43" s="8" t="s">
        <v>54</v>
      </c>
      <c r="H43" s="20">
        <v>0</v>
      </c>
      <c r="I43" s="8" t="s">
        <v>155</v>
      </c>
      <c r="J43" s="19">
        <v>0</v>
      </c>
      <c r="K43" s="8" t="s">
        <v>154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64</v>
      </c>
      <c r="B44" s="18">
        <v>53914</v>
      </c>
      <c r="C44" s="19">
        <v>0</v>
      </c>
      <c r="D44" s="8" t="s">
        <v>118</v>
      </c>
      <c r="E44" s="20">
        <v>0</v>
      </c>
      <c r="F44" s="20">
        <v>5</v>
      </c>
      <c r="G44" s="8" t="s">
        <v>54</v>
      </c>
      <c r="H44" s="20">
        <v>5</v>
      </c>
      <c r="I44" s="8" t="s">
        <v>119</v>
      </c>
      <c r="J44" s="19">
        <v>0</v>
      </c>
      <c r="K44" s="8" t="s">
        <v>120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53915</v>
      </c>
      <c r="C45" s="19">
        <v>0</v>
      </c>
      <c r="D45" s="8" t="s">
        <v>121</v>
      </c>
      <c r="E45" s="20">
        <v>0</v>
      </c>
      <c r="F45" s="20">
        <v>0</v>
      </c>
      <c r="G45" s="8" t="s">
        <v>54</v>
      </c>
      <c r="H45" s="20">
        <v>0</v>
      </c>
      <c r="I45" s="8" t="s">
        <v>122</v>
      </c>
      <c r="J45" s="19">
        <v>0</v>
      </c>
      <c r="K45" s="8" t="s">
        <v>121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53916</v>
      </c>
      <c r="C46" s="19">
        <v>0</v>
      </c>
      <c r="D46" s="8" t="s">
        <v>156</v>
      </c>
      <c r="E46" s="20">
        <v>0</v>
      </c>
      <c r="F46" s="20">
        <v>0</v>
      </c>
      <c r="G46" s="8" t="s">
        <v>54</v>
      </c>
      <c r="H46" s="20">
        <v>0</v>
      </c>
      <c r="I46" s="8" t="s">
        <v>157</v>
      </c>
      <c r="J46" s="19">
        <v>0</v>
      </c>
      <c r="K46" s="8" t="s">
        <v>156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53917</v>
      </c>
      <c r="C47" s="19">
        <v>0</v>
      </c>
      <c r="D47" s="8" t="s">
        <v>158</v>
      </c>
      <c r="E47" s="20">
        <v>0</v>
      </c>
      <c r="F47" s="20">
        <v>0</v>
      </c>
      <c r="G47" s="8" t="s">
        <v>54</v>
      </c>
      <c r="H47" s="20">
        <v>0</v>
      </c>
      <c r="I47" s="8" t="s">
        <v>159</v>
      </c>
      <c r="J47" s="19">
        <v>0</v>
      </c>
      <c r="K47" s="8" t="s">
        <v>158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64</v>
      </c>
      <c r="B48" s="18">
        <v>53918</v>
      </c>
      <c r="C48" s="19">
        <v>0</v>
      </c>
      <c r="D48" s="8" t="s">
        <v>160</v>
      </c>
      <c r="E48" s="20">
        <v>0</v>
      </c>
      <c r="F48" s="20">
        <v>1</v>
      </c>
      <c r="G48" s="8" t="s">
        <v>54</v>
      </c>
      <c r="H48" s="20">
        <v>1</v>
      </c>
      <c r="I48" s="8" t="s">
        <v>161</v>
      </c>
      <c r="J48" s="19">
        <v>0</v>
      </c>
      <c r="K48" s="8" t="s">
        <v>162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53919</v>
      </c>
      <c r="C49" s="19">
        <v>0</v>
      </c>
      <c r="D49" s="8" t="s">
        <v>65</v>
      </c>
      <c r="E49" s="20">
        <v>0</v>
      </c>
      <c r="F49" s="20">
        <v>0</v>
      </c>
      <c r="G49" s="8" t="s">
        <v>54</v>
      </c>
      <c r="H49" s="20">
        <v>0</v>
      </c>
      <c r="I49" s="8" t="s">
        <v>66</v>
      </c>
      <c r="J49" s="19">
        <v>0</v>
      </c>
      <c r="K49" s="8" t="s">
        <v>67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68</v>
      </c>
      <c r="B50" s="18">
        <v>53920</v>
      </c>
      <c r="C50" s="19">
        <v>0</v>
      </c>
      <c r="D50" s="8" t="s">
        <v>69</v>
      </c>
      <c r="E50" s="20">
        <v>0</v>
      </c>
      <c r="F50" s="20">
        <v>1</v>
      </c>
      <c r="G50" s="8" t="s">
        <v>54</v>
      </c>
      <c r="H50" s="20">
        <v>1</v>
      </c>
      <c r="I50" s="8" t="s">
        <v>70</v>
      </c>
      <c r="J50" s="19">
        <v>0</v>
      </c>
      <c r="K50" s="8" t="s">
        <v>71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/>
    <row r="52" spans="1:14" ht="12.75" customHeight="1" x14ac:dyDescent="0.2">
      <c r="B52" s="8" t="s">
        <v>16</v>
      </c>
      <c r="C52" s="8" t="s">
        <v>132</v>
      </c>
      <c r="E52" s="8" t="s">
        <v>19</v>
      </c>
      <c r="F52" s="8" t="s">
        <v>19</v>
      </c>
      <c r="G52" s="8" t="s">
        <v>21</v>
      </c>
      <c r="H52" s="8" t="s">
        <v>19</v>
      </c>
      <c r="J52" s="8" t="s">
        <v>19</v>
      </c>
    </row>
    <row r="53" spans="1:14" ht="12.75" customHeight="1" x14ac:dyDescent="0.2"/>
    <row r="54" spans="1:14" ht="12.75" customHeight="1" x14ac:dyDescent="0.2"/>
    <row r="55" spans="1:14" ht="12.75" customHeight="1" x14ac:dyDescent="0.2"/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1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CUT ANGLE MUNTING SUPPORTS &amp; DRILL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.261</v>
      </c>
      <c r="C38" s="40" t="str">
        <f>'Build Plan w Hours'!D13</f>
        <v>Miscellaneous Fabrication - Braces, Mounting Plates, Cone Outlet Necks_x000D_
MAKE TOP LID WITH HANDLE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.OI1</v>
      </c>
      <c r="C44" s="40" t="str">
        <f>'Build Plan w Hours'!D14</f>
        <v>ASME Hold Point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.605</v>
      </c>
      <c r="C50" s="40" t="str">
        <f>'Build Plan w Hours'!D15</f>
        <v>Tack shell courses together_x000D_
FIT SHELL SIDES AND BOTTOM TOGETHER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.610</v>
      </c>
      <c r="C56" s="40" t="str">
        <f>'Build Plan w Hours'!D16</f>
        <v>Weld inside round seams_x000D_
WELD INSIDE CORNERS AND BOTTOM TO SHELL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.620</v>
      </c>
      <c r="C62" s="40" t="str">
        <f>'Build Plan w Hours'!D17</f>
        <v>Lay out shell, burn and clean holes_x000D_
CLEAN UP HOLES CUT ON BURN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.QC5</v>
      </c>
      <c r="C68" s="40" t="str">
        <f>'Build Plan w Hours'!D18</f>
        <v>QC Inspection - Internal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OUTSIDE CORNER SEAMS AND BOTTOM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.717</v>
      </c>
      <c r="C80" s="40" t="str">
        <f>'Build Plan w Hours'!D20</f>
        <v>Install lift lugs on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.QC51</v>
      </c>
      <c r="C104" s="40" t="str">
        <f>'Build Plan w Hours'!D24</f>
        <v>UT Components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.OI2</v>
      </c>
      <c r="C134" s="40" t="str">
        <f>'Build Plan w Hours'!D29</f>
        <v>ASME Inspection Internal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.801</v>
      </c>
      <c r="C140" s="40" t="str">
        <f>'Build Plan w Hours'!D30</f>
        <v>Move to shop test area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.910</v>
      </c>
      <c r="C146" s="40" t="str">
        <f>'Build Plan w Hours'!D31</f>
        <v>Test tank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.QC7</v>
      </c>
      <c r="C152" s="40" t="str">
        <f>'Build Plan w Hours'!D32</f>
        <v>QC Inspection -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.OI3</v>
      </c>
      <c r="C158" s="40" t="str">
        <f>'Build Plan w Hours'!D33</f>
        <v>ASME Inspection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.920</v>
      </c>
      <c r="C164" s="40" t="str">
        <f>'Build Plan w Hours'!D34</f>
        <v>Clean tank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5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.QC8</v>
      </c>
      <c r="C170" s="40" t="str">
        <f>'Build Plan w Hours'!D35</f>
        <v>QC Inspection -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.QC9</v>
      </c>
      <c r="C176" s="40" t="str">
        <f>'Build Plan w Hours'!D36</f>
        <v>QC Inspection - Sandblast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.QC90</v>
      </c>
      <c r="C182" s="40" t="str">
        <f>'Build Plan w Hours'!D37</f>
        <v>QC Inspection - Paint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.940</v>
      </c>
      <c r="C188" s="40" t="str">
        <f>'Build Plan w Hours'!D38</f>
        <v>Prepare tank for shipment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.QC95</v>
      </c>
      <c r="C194" s="40" t="str">
        <f>'Build Plan w Hours'!D39</f>
        <v>QC Inspection - Final &amp; Loose Items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.960</v>
      </c>
      <c r="C200" s="40" t="str">
        <f>'Build Plan w Hours'!D40</f>
        <v>Load on truck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 t="str">
        <f>'Build Plan w Hours'!E42</f>
        <v/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CUT ANGLE MUNTING SUPPORTS &amp; DRILL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.261</v>
      </c>
      <c r="C38" s="40" t="str">
        <f>'Build Plan w Hours'!D13</f>
        <v>Miscellaneous Fabrication - Braces, Mounting Plates, Cone Outlet Necks_x000D_
MAKE TOP LID WITH HANDLE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.OI1</v>
      </c>
      <c r="C44" s="40" t="str">
        <f>'Build Plan w Hours'!D14</f>
        <v>ASME Hold Point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.605</v>
      </c>
      <c r="C50" s="40" t="str">
        <f>'Build Plan w Hours'!D15</f>
        <v>Tack shell courses together_x000D_
FIT SHELL SIDES AND BOTTOM TOGETHER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.610</v>
      </c>
      <c r="C56" s="40" t="str">
        <f>'Build Plan w Hours'!D16</f>
        <v>Weld inside round seams_x000D_
WELD INSIDE CORNERS AND BOTTOM TO SHELL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.620</v>
      </c>
      <c r="C62" s="40" t="str">
        <f>'Build Plan w Hours'!D17</f>
        <v>Lay out shell, burn and clean holes_x000D_
CLEAN UP HOLES CUT ON BURN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.QC5</v>
      </c>
      <c r="C68" s="40" t="str">
        <f>'Build Plan w Hours'!D18</f>
        <v>QC Inspection - Internal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OUTSIDE CORNER SEAMS AND BOTTOM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.717</v>
      </c>
      <c r="C80" s="40" t="str">
        <f>'Build Plan w Hours'!D20</f>
        <v>Install lift lugs on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.QC51</v>
      </c>
      <c r="C104" s="40" t="str">
        <f>'Build Plan w Hours'!D24</f>
        <v>UT Components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.OI2</v>
      </c>
      <c r="C134" s="40" t="str">
        <f>'Build Plan w Hours'!D29</f>
        <v>ASME Inspection Internal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.801</v>
      </c>
      <c r="C140" s="40" t="str">
        <f>'Build Plan w Hours'!D30</f>
        <v>Move to shop test area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.910</v>
      </c>
      <c r="C146" s="40" t="str">
        <f>'Build Plan w Hours'!D31</f>
        <v>Test tank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.QC7</v>
      </c>
      <c r="C152" s="40" t="str">
        <f>'Build Plan w Hours'!D32</f>
        <v>QC Inspection -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.OI3</v>
      </c>
      <c r="C158" s="40" t="str">
        <f>'Build Plan w Hours'!D33</f>
        <v>ASME Inspection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.920</v>
      </c>
      <c r="C164" s="40" t="str">
        <f>'Build Plan w Hours'!D34</f>
        <v>Clean tank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.QC8</v>
      </c>
      <c r="C170" s="40" t="str">
        <f>'Build Plan w Hours'!D35</f>
        <v>QC Inspection -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.QC9</v>
      </c>
      <c r="C176" s="40" t="str">
        <f>'Build Plan w Hours'!D36</f>
        <v>QC Inspection - Sandblast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.QC90</v>
      </c>
      <c r="C182" s="40" t="str">
        <f>'Build Plan w Hours'!D37</f>
        <v>QC Inspection - Paint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.940</v>
      </c>
      <c r="C188" s="40" t="str">
        <f>'Build Plan w Hours'!D38</f>
        <v>Prepare tank for shipment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.QC95</v>
      </c>
      <c r="C194" s="40" t="str">
        <f>'Build Plan w Hours'!D39</f>
        <v>QC Inspection - Final &amp; Loose Items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.960</v>
      </c>
      <c r="C200" s="40" t="str">
        <f>'Build Plan w Hours'!D40</f>
        <v>Load on truck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2025-08-25T20:22:12Z</cp:lastPrinted>
  <dcterms:created xsi:type="dcterms:W3CDTF">2016-06-28T20:53:17Z</dcterms:created>
  <dcterms:modified xsi:type="dcterms:W3CDTF">2025-08-25T20:22:45Z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