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99-25 - Burke Industrial - Cone Bottom with Internal Coil\"/>
    </mc:Choice>
  </mc:AlternateContent>
  <xr:revisionPtr revIDLastSave="0" documentId="8_{50F38500-7C10-4172-A0E6-1DD7C97D69D3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Hours'!$A$1:$H$36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<sst xmlns="http://schemas.openxmlformats.org/spreadsheetml/2006/main" count="1554" uniqueCount="157">
  <si>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</si>
  <si>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</si>
  <si>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</si>
  <si>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</si>
  <si>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</si>
  <si>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</si>
  <si>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</si>
  <si>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</si>
  <si>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</si>
  <si>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</si>
  <si>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</si>
  <si>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</si>
  <si>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</si>
  <si>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</si>
  <si>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</si>
  <si>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</si>
  <si>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</si>
  <si>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</si>
  <si>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</si>
  <si>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</si>
  <si>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</si>
  <si>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</si>
  <si>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</si>
  <si>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</si>
  <si>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</si>
  <si>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</si>
  <si>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</si>
  <si>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</si>
  <si>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</si>
  <si>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</si>
  <si>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</si>
  <si>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</si>
  <si>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</si>
  <si>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</si>
  <si>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</si>
  <si>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</si>
  <si>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</si>
  <si>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</si>
  <si>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</si>
  <si>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</si>
  <si>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</si>
  <si>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</si>
  <si>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</si>
  <si>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</si>
  <si>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</si>
  <si>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</si>
  <si>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</si>
  <si>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</si>
  <si>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</si>
  <si>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</si>
  <si>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</si>
  <si>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</si>
  <si>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</si>
  <si>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</si>
  <si>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</si>
  <si>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</si>
  <si>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</si>
  <si>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</si>
  <si>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</si>
  <si>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</si>
  <si>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</si>
  <si>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</si>
  <si>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</si>
  <si>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</si>
  <si>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</si>
  <si>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</si>
  <si>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</si>
  <si>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</si>
  <si>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</si>
  <si>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</si>
  <si>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</si>
  <si>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</si>
  <si>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</si>
  <si>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</si>
  <si>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</si>
  <si>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</si>
  <si>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</si>
  <si>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</si>
  <si>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</si>
  <si>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Burn and clean parts:  lugs, supports, repads, base ring, etc. (CHECK!)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</si>
  <si>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</si>
  <si>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</si>
  <si>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</si>
  <si>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</si>
  <si>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</si>
  <si>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</si>
  <si>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</si>
  <si>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</si>
  <si>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</si>
  <si>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QC Inspection - Internal</t>
  </si>
  <si>
    <t>.QC5</t>
  </si>
  <si>
    <t>MOVE TANK</t>
  </si>
  <si>
    <t>Move Tank to Detail Rolls</t>
  </si>
  <si>
    <t>.800</t>
  </si>
  <si>
    <t>Move tank to detail rolls</t>
  </si>
  <si>
    <t>Set Nozzles in Shell</t>
  </si>
  <si>
    <t>.725</t>
  </si>
  <si>
    <t>Weld Shell Nozz &amp; M/Ws</t>
  </si>
  <si>
    <t>.726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</si>
  <si>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</si>
  <si>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</si>
  <si>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</si>
  <si>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</si>
  <si>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</si>
  <si>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</si>
  <si>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</si>
  <si>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</si>
  <si>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</si>
  <si>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</si>
  <si>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</si>
  <si>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</si>
  <si>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</si>
  <si>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Build Bottom Head/Cone</t>
  </si>
  <si>
    <t>.450</t>
  </si>
  <si>
    <t>Cut Parts on Burn Table</t>
  </si>
  <si>
    <t>Clean &amp; Prep Parts</t>
  </si>
  <si>
    <t>.156</t>
  </si>
  <si>
    <t>Misc Fabrication</t>
  </si>
  <si>
    <t>.261</t>
  </si>
  <si>
    <t>Dye Pen Test</t>
  </si>
  <si>
    <t>.900</t>
  </si>
  <si>
    <t>Dye pen test</t>
  </si>
  <si>
    <t>CONE BOTOOM W/COIL</t>
  </si>
  <si>
    <t>BUR100225.1</t>
  </si>
  <si>
    <t>9354</t>
  </si>
  <si>
    <t>CONE BOTTOM W/COIL</t>
  </si>
  <si>
    <t>Build nozzles and weld</t>
  </si>
  <si>
    <t>Roll Pipe-Internal Coil</t>
  </si>
  <si>
    <t>.250</t>
  </si>
  <si>
    <t>Roll pipe - internal coil_x000D_
ROLL &amp; WELD PIPE FOR INTERNAL COIL</t>
  </si>
  <si>
    <t>Miscellaneous Fabrication - Braces, Mounting Plates, Cone Outlet Necks_x000D_
FORM (4) LOWER CONE SECTION</t>
  </si>
  <si>
    <t>Shells: bring in plate, square, trim and clean_x000D_
PREP UPPER CONE SECTION</t>
  </si>
  <si>
    <t>Roll shells, tack and weld inside seams_x000D_
SLIP ROLL UPPER CONE SECTION &amp; WELD INSIDE SEAMS</t>
  </si>
  <si>
    <t>Build bottom head/cone_x000D_
ASSEMBLE CONE SECTIONS &amp; WELD COMPLETE</t>
  </si>
  <si>
    <t>Set Nozzles - Bottom Head</t>
  </si>
  <si>
    <t>.465</t>
  </si>
  <si>
    <t>Set  nozzles in bottom head - tack_x000D_
N9</t>
  </si>
  <si>
    <t>Weld Nozzles - Bot. Head</t>
  </si>
  <si>
    <t>.466</t>
  </si>
  <si>
    <t>Weld nozzles in bottom head; weld complete_x000D_
N9</t>
  </si>
  <si>
    <t>Fab Internal Coil Support</t>
  </si>
  <si>
    <t>.580</t>
  </si>
  <si>
    <t>Fabricate internal coil supports</t>
  </si>
  <si>
    <t>Fab Internal Coil</t>
  </si>
  <si>
    <t>.590</t>
  </si>
  <si>
    <t>Fabricate internal coil</t>
  </si>
  <si>
    <t>Install Internal Coil/Spt</t>
  </si>
  <si>
    <t>.635</t>
  </si>
  <si>
    <t>Install internal coil and supports_x000D_
INCL WELD SUPPORTS TO CONE</t>
  </si>
  <si>
    <t>Set nozzles in shell - tack_x000D_
N10 &amp; N11</t>
  </si>
  <si>
    <t>Weld shell nozzles, manways, etc._x000D_
N10 &amp; N11</t>
  </si>
  <si>
    <t>ASME Inspection Test</t>
  </si>
  <si>
    <t>.OI3</t>
  </si>
  <si>
    <t>Prepare Tank for Shipment</t>
  </si>
  <si>
    <t>.940</t>
  </si>
  <si>
    <t>Prepare tank for shipment</t>
  </si>
  <si>
    <t>099-25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</si>
</sst>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36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156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CONE BOTOOM W/COIL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1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2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.155</v>
      </c>
      <c r="D9" s="22" t="str">
        <f>'Sheet2-PASTE HERE!'!K19</f>
        <v>Burn and clean parts:  lugs, supports, repads, base ring, etc. (CHECK!)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.156</v>
      </c>
      <c r="D10" s="22">
        <f>'Sheet2-PASTE HERE!'!K20</f>
        <v>0</v>
      </c>
      <c r="E10" s="13">
        <f>'Sheet2-PASTE HERE!'!F20</f>
        <v>2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.250</v>
      </c>
      <c r="D11" s="22" t="str">
        <f>'Sheet2-PASTE HERE!'!K21</f>
        <v>Roll pipe - internal coil_x000D_
ROLL &amp; WELD PIPE FOR INTERNAL COIL</v>
      </c>
      <c r="E11" s="13">
        <f>'Sheet2-PASTE HERE!'!F21</f>
        <v>12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.261</v>
      </c>
      <c r="D12" s="22" t="str">
        <f>'Sheet2-PASTE HERE!'!K22</f>
        <v>Miscellaneous Fabrication - Braces, Mounting Plates, Cone Outlet Necks_x000D_
FORM (4) LOWER CONE SECTION</v>
      </c>
      <c r="E12" s="13">
        <f>'Sheet2-PASTE HERE!'!F22</f>
        <v>8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INSPECTION</v>
      </c>
      <c r="B13" s="11"/>
      <c r="C13" s="17" t="str">
        <f>'Sheet2-PASTE HERE!'!I23</f>
        <v>.QC3</v>
      </c>
      <c r="D13" s="22" t="str">
        <f>'Sheet2-PASTE HERE!'!K23</f>
        <v>UT Shells</v>
      </c>
      <c r="E13" s="13">
        <f>'Sheet2-PASTE HERE!'!F23</f>
        <v>0</v>
      </c>
      <c r="F13" s="12"/>
      <c r="G13" s="12"/>
      <c r="H13" s="12"/>
      <c r="K13">
        <f t="shared" si="0"/>
        <v>1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.305</v>
      </c>
      <c r="D14" s="22" t="str">
        <f>'Sheet2-PASTE HERE!'!K24</f>
        <v>Shells: bring in plate, square, trim and clean_x000D_
PREP UPPER CONE SECTION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.315</v>
      </c>
      <c r="D15" s="22" t="str">
        <f>'Sheet2-PASTE HERE!'!K25</f>
        <v>Roll shells, tack and weld inside seams_x000D_
SLIP ROLL UPPER CONE SECTION &amp; WELD INSIDE SEAMS</v>
      </c>
      <c r="E15" s="13">
        <f>'Sheet2-PASTE HERE!'!F25</f>
        <v>6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.450</v>
      </c>
      <c r="D16" s="22" t="str">
        <f>'Sheet2-PASTE HERE!'!K26</f>
        <v>Build bottom head/cone_x000D_
ASSEMBLE CONE SECTIONS &amp; WELD COMPLETE</v>
      </c>
      <c r="E16" s="13">
        <f>'Sheet2-PASTE HERE!'!F26</f>
        <v>40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INSPECTION</v>
      </c>
      <c r="B17" s="11"/>
      <c r="C17" s="17" t="str">
        <f>'Sheet2-PASTE HERE!'!I27</f>
        <v>.QC4</v>
      </c>
      <c r="D17" s="22" t="str">
        <f>'Sheet2-PASTE HERE!'!K27</f>
        <v>QC Inspection - Top/Bottom/Cones</v>
      </c>
      <c r="E17" s="13">
        <f>'Sheet2-PASTE HERE!'!F27</f>
        <v>0</v>
      </c>
      <c r="F17" s="12"/>
      <c r="G17" s="12"/>
      <c r="H17" s="12"/>
      <c r="K17">
        <f t="shared" ref="K17:K80" si="2">IF(A17="INSPECTION",1,0)</f>
        <v>1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.465</v>
      </c>
      <c r="D18" s="22" t="str">
        <f>'Sheet2-PASTE HERE!'!K28</f>
        <v>Set  nozzles in bottom head - tack_x000D_
N9</v>
      </c>
      <c r="E18" s="13">
        <f>'Sheet2-PASTE HERE!'!F28</f>
        <v>1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.466</v>
      </c>
      <c r="D19" s="22" t="str">
        <f>'Sheet2-PASTE HERE!'!K29</f>
        <v>Weld nozzles in bottom head; weld complete_x000D_
N9</v>
      </c>
      <c r="E19" s="13">
        <f>'Sheet2-PASTE HERE!'!F29</f>
        <v>2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.580</v>
      </c>
      <c r="D20" s="22" t="str">
        <f>'Sheet2-PASTE HERE!'!K30</f>
        <v>Fabricate internal coil supports</v>
      </c>
      <c r="E20" s="13">
        <f>'Sheet2-PASTE HERE!'!F30</f>
        <v>5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.590</v>
      </c>
      <c r="D21" s="22" t="str">
        <f>'Sheet2-PASTE HERE!'!K31</f>
        <v>Fabricate internal coil</v>
      </c>
      <c r="E21" s="13">
        <f>'Sheet2-PASTE HERE!'!F31</f>
        <v>10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FIT</v>
      </c>
      <c r="B22" s="11"/>
      <c r="C22" s="17" t="str">
        <f>'Sheet2-PASTE HERE!'!I32</f>
        <v>.635</v>
      </c>
      <c r="D22" s="22" t="str">
        <f>'Sheet2-PASTE HERE!'!K32</f>
        <v>Install internal coil and supports_x000D_
INCL WELD SUPPORTS TO CONE</v>
      </c>
      <c r="E22" s="13">
        <f>'Sheet2-PASTE HERE!'!F32</f>
        <v>15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INSPECTION</v>
      </c>
      <c r="B23" s="11"/>
      <c r="C23" s="17" t="str">
        <f>'Sheet2-PASTE HERE!'!I33</f>
        <v>.QC5</v>
      </c>
      <c r="D23" s="22" t="str">
        <f>'Sheet2-PASTE HERE!'!K33</f>
        <v>QC Inspection - Internal</v>
      </c>
      <c r="E23" s="13">
        <f>'Sheet2-PASTE HERE!'!F33</f>
        <v>0</v>
      </c>
      <c r="F23" s="12"/>
      <c r="G23" s="12"/>
      <c r="H23" s="12"/>
      <c r="K23">
        <f t="shared" si="2"/>
        <v>1</v>
      </c>
      <c r="L23">
        <f t="shared" si="1"/>
        <v>0</v>
      </c>
    </row>
    <row r="24" spans="1:12" ht="26.25" customHeight="1" x14ac:dyDescent="0.2">
      <c r="A24" s="10" t="str">
        <f>'Sheet2-PASTE HERE!'!A34</f>
        <v>MOVE TANK</v>
      </c>
      <c r="B24" s="11"/>
      <c r="C24" s="17" t="str">
        <f>'Sheet2-PASTE HERE!'!I34</f>
        <v>.800</v>
      </c>
      <c r="D24" s="22" t="str">
        <f>'Sheet2-PASTE HERE!'!K34</f>
        <v>Move tank to detail rolls</v>
      </c>
      <c r="E24" s="13">
        <f>'Sheet2-PASTE HERE!'!F34</f>
        <v>2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FIT</v>
      </c>
      <c r="B25" s="11"/>
      <c r="C25" s="17" t="str">
        <f>'Sheet2-PASTE HERE!'!I35</f>
        <v>.725</v>
      </c>
      <c r="D25" s="22" t="str">
        <f>'Sheet2-PASTE HERE!'!K35</f>
        <v>Set nozzles in shell - tack_x000D_
N10 &amp; N11</v>
      </c>
      <c r="E25" s="13">
        <f>'Sheet2-PASTE HERE!'!F35</f>
        <v>3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FIT</v>
      </c>
      <c r="B26" s="11"/>
      <c r="C26" s="17" t="str">
        <f>'Sheet2-PASTE HERE!'!I36</f>
        <v>.726</v>
      </c>
      <c r="D26" s="22" t="str">
        <f>'Sheet2-PASTE HERE!'!K36</f>
        <v>Weld shell nozzles, manways, etc._x000D_
N10 &amp; N11</v>
      </c>
      <c r="E26" s="13">
        <f>'Sheet2-PASTE HERE!'!F36</f>
        <v>4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FINISHING</v>
      </c>
      <c r="B27" s="11"/>
      <c r="C27" s="17" t="str">
        <f>'Sheet2-PASTE HERE!'!I37</f>
        <v>.900</v>
      </c>
      <c r="D27" s="22" t="str">
        <f>'Sheet2-PASTE HERE!'!K37</f>
        <v>Dye pen test</v>
      </c>
      <c r="E27" s="13">
        <f>'Sheet2-PASTE HERE!'!F37</f>
        <v>5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INSPECTION</v>
      </c>
      <c r="B28" s="11"/>
      <c r="C28" s="17" t="str">
        <f>'Sheet2-PASTE HERE!'!I38</f>
        <v>.QC6</v>
      </c>
      <c r="D28" s="22" t="str">
        <f>'Sheet2-PASTE HERE!'!K38</f>
        <v>QC Inspection - Fabrication</v>
      </c>
      <c r="E28" s="13">
        <f>'Sheet2-PASTE HERE!'!F38</f>
        <v>0</v>
      </c>
      <c r="F28" s="12"/>
      <c r="G28" s="12"/>
      <c r="H28" s="12"/>
      <c r="K28">
        <f t="shared" si="2"/>
        <v>1</v>
      </c>
      <c r="L28">
        <f t="shared" si="1"/>
        <v>0</v>
      </c>
    </row>
    <row r="29" spans="1:12" ht="26.25" customHeight="1" x14ac:dyDescent="0.2">
      <c r="A29" s="10" t="str">
        <f>'Sheet2-PASTE HERE!'!A39</f>
        <v>MOVE TANK</v>
      </c>
      <c r="B29" s="11"/>
      <c r="C29" s="17" t="str">
        <f>'Sheet2-PASTE HERE!'!I39</f>
        <v>.801</v>
      </c>
      <c r="D29" s="22" t="str">
        <f>'Sheet2-PASTE HERE!'!K39</f>
        <v>Move to shop test area</v>
      </c>
      <c r="E29" s="13">
        <f>'Sheet2-PASTE HERE!'!F39</f>
        <v>2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INSPECTION</v>
      </c>
      <c r="B30" s="11"/>
      <c r="C30" s="17" t="str">
        <f>'Sheet2-PASTE HERE!'!I40</f>
        <v>.QC7</v>
      </c>
      <c r="D30" s="22" t="str">
        <f>'Sheet2-PASTE HERE!'!K40</f>
        <v>QC Inspection - Test</v>
      </c>
      <c r="E30" s="13">
        <f>'Sheet2-PASTE HERE!'!F40</f>
        <v>0</v>
      </c>
      <c r="F30" s="12"/>
      <c r="G30" s="12"/>
      <c r="H30" s="12"/>
      <c r="K30">
        <f t="shared" si="2"/>
        <v>1</v>
      </c>
      <c r="L30">
        <f t="shared" si="1"/>
        <v>0</v>
      </c>
    </row>
    <row r="31" spans="1:12" ht="26.25" customHeight="1" x14ac:dyDescent="0.2">
      <c r="A31" s="10" t="str">
        <f>'Sheet2-PASTE HERE!'!A41</f>
        <v>INSPECTION</v>
      </c>
      <c r="B31" s="11"/>
      <c r="C31" s="17" t="str">
        <f>'Sheet2-PASTE HERE!'!I41</f>
        <v>.OI3</v>
      </c>
      <c r="D31" s="22" t="str">
        <f>'Sheet2-PASTE HERE!'!K41</f>
        <v>ASME Inspection Test</v>
      </c>
      <c r="E31" s="13">
        <f>'Sheet2-PASTE HERE!'!F41</f>
        <v>0</v>
      </c>
      <c r="F31" s="12"/>
      <c r="G31" s="12"/>
      <c r="H31" s="12"/>
      <c r="K31">
        <f t="shared" si="2"/>
        <v>1</v>
      </c>
      <c r="L31">
        <f t="shared" si="1"/>
        <v>1</v>
      </c>
    </row>
    <row r="32" spans="1:12" ht="26.25" customHeight="1" x14ac:dyDescent="0.2">
      <c r="A32" s="10" t="str">
        <f>'Sheet2-PASTE HERE!'!A42</f>
        <v>FINISHING</v>
      </c>
      <c r="B32" s="11"/>
      <c r="C32" s="17" t="str">
        <f>'Sheet2-PASTE HERE!'!I42</f>
        <v>.920</v>
      </c>
      <c r="D32" s="22" t="str">
        <f>'Sheet2-PASTE HERE!'!K42</f>
        <v>Clean tank complete</v>
      </c>
      <c r="E32" s="13">
        <f>'Sheet2-PASTE HERE!'!F42</f>
        <v>8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.QC8</v>
      </c>
      <c r="D33" s="22" t="str">
        <f>'Sheet2-PASTE HERE!'!K43</f>
        <v>QC Inspection - Clean</v>
      </c>
      <c r="E33" s="13">
        <f>'Sheet2-PASTE HERE!'!F43</f>
        <v>0</v>
      </c>
      <c r="F33" s="12"/>
      <c r="G33" s="12"/>
      <c r="H33" s="12"/>
      <c r="K33">
        <f t="shared" si="2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FINISHING</v>
      </c>
      <c r="B34" s="11"/>
      <c r="C34" s="17" t="str">
        <f>'Sheet2-PASTE HERE!'!I44</f>
        <v>.940</v>
      </c>
      <c r="D34" s="22" t="str">
        <f>'Sheet2-PASTE HERE!'!K44</f>
        <v>Prepare tank for shipment</v>
      </c>
      <c r="E34" s="13">
        <f>'Sheet2-PASTE HERE!'!F44</f>
        <v>1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.QC95</v>
      </c>
      <c r="D35" s="22" t="str">
        <f>'Sheet2-PASTE HERE!'!K45</f>
        <v>QC Inspection - Final &amp; Loose Items</v>
      </c>
      <c r="E35" s="13">
        <f>'Sheet2-PASTE HERE!'!F45</f>
        <v>0</v>
      </c>
      <c r="F35" s="12"/>
      <c r="G35" s="12"/>
      <c r="H35" s="12"/>
      <c r="K35">
        <f t="shared" si="2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SHIPPING</v>
      </c>
      <c r="B36" s="11"/>
      <c r="C36" s="17" t="str">
        <f>'Sheet2-PASTE HERE!'!I46</f>
        <v>.960</v>
      </c>
      <c r="D36" s="22" t="str">
        <f>'Sheet2-PASTE HERE!'!K46</f>
        <v>Load on truck</v>
      </c>
      <c r="E36" s="13">
        <f>'Sheet2-PASTE HERE!'!F46</f>
        <v>3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>
        <f>'Sheet2-PASTE HERE!'!A47</f>
        <v>0</v>
      </c>
      <c r="B37" s="11"/>
      <c r="C37" s="17">
        <f>'Sheet2-PASTE HERE!'!I47</f>
        <v>0</v>
      </c>
      <c r="D37" s="22">
        <f>'Sheet2-PASTE HERE!'!K47</f>
        <v>0</v>
      </c>
      <c r="E37" s="13">
        <f>'Sheet2-PASTE HERE!'!F47</f>
        <v>0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>
        <f>'Sheet2-PASTE HERE!'!A48</f>
        <v>0</v>
      </c>
      <c r="B38" s="11"/>
      <c r="C38" s="17">
        <f>'Sheet2-PASTE HERE!'!I48</f>
        <v>0</v>
      </c>
      <c r="D38" s="22">
        <f>'Sheet2-PASTE HERE!'!K48</f>
        <v>0</v>
      </c>
      <c r="E38" s="13" t="str">
        <f>'Sheet2-PASTE HERE!'!F48</f>
        <v/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>
        <f>'Sheet2-PASTE HERE!'!A49</f>
        <v>0</v>
      </c>
      <c r="B39" s="11"/>
      <c r="C39" s="17">
        <f>'Sheet2-PASTE HERE!'!I49</f>
        <v>0</v>
      </c>
      <c r="D39" s="22">
        <f>'Sheet2-PASTE HERE!'!K49</f>
        <v>0</v>
      </c>
      <c r="E39" s="13">
        <f>'Sheet2-PASTE HERE!'!F49</f>
        <v>0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>
        <f>'Sheet2-PASTE HERE!'!A50</f>
        <v>0</v>
      </c>
      <c r="B40" s="11"/>
      <c r="C40" s="17">
        <f>'Sheet2-PASTE HERE!'!I50</f>
        <v>0</v>
      </c>
      <c r="D40" s="22">
        <f>'Sheet2-PASTE HERE!'!K50</f>
        <v>0</v>
      </c>
      <c r="E40" s="13">
        <f>'Sheet2-PASTE HERE!'!F50</f>
        <v>0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>
        <f>'Sheet2-PASTE HERE!'!A51</f>
        <v>0</v>
      </c>
      <c r="B41" s="11"/>
      <c r="C41" s="17">
        <f>'Sheet2-PASTE HERE!'!I51</f>
        <v>0</v>
      </c>
      <c r="D41" s="22">
        <f>'Sheet2-PASTE HERE!'!K51</f>
        <v>0</v>
      </c>
      <c r="E41" s="13">
        <f>'Sheet2-PASTE HERE!'!F51</f>
        <v>0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>
        <f>'Sheet2-PASTE HERE!'!A52</f>
        <v>0</v>
      </c>
      <c r="B42" s="11"/>
      <c r="C42" s="17">
        <f>'Sheet2-PASTE HERE!'!I52</f>
        <v>0</v>
      </c>
      <c r="D42" s="22">
        <f>'Sheet2-PASTE HERE!'!K52</f>
        <v>0</v>
      </c>
      <c r="E42" s="13">
        <f>'Sheet2-PASTE HERE!'!F52</f>
        <v>0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>
        <f>'Sheet2-PASTE HERE!'!A53</f>
        <v>0</v>
      </c>
      <c r="B43" s="11"/>
      <c r="C43" s="17">
        <f>'Sheet2-PASTE HERE!'!I53</f>
        <v>0</v>
      </c>
      <c r="D43" s="22">
        <f>'Sheet2-PASTE HERE!'!K53</f>
        <v>0</v>
      </c>
      <c r="E43" s="13">
        <f>'Sheet2-PASTE HERE!'!F53</f>
        <v>0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>
        <f>'Sheet2-PASTE HERE!'!I54</f>
        <v>0</v>
      </c>
      <c r="D44" s="22">
        <f>'Sheet2-PASTE HERE!'!K54</f>
        <v>0</v>
      </c>
      <c r="E44" s="13">
        <f>'Sheet2-PASTE HERE!'!F54</f>
        <v>0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>
        <f>'Sheet2-PASTE HERE!'!F55</f>
        <v>0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C1" sqref="C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156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CONE BOTOOM W/COIL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1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2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.155</v>
      </c>
      <c r="D9" s="22" t="str">
        <f>'Sheet2-PASTE HERE!'!K19</f>
        <v>Burn and clean parts:  lugs, supports, repads, base ring, etc. (CHECK!)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.156</v>
      </c>
      <c r="D10" s="22">
        <f>'Sheet2-PASTE HERE!'!K20</f>
        <v>0</v>
      </c>
      <c r="E10" s="13">
        <f>'Sheet2-PASTE HERE!'!F20</f>
        <v>2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.250</v>
      </c>
      <c r="D11" s="22" t="str">
        <f>'Sheet2-PASTE HERE!'!K21</f>
        <v>Roll pipe - internal coil_x000D_
ROLL &amp; WELD PIPE FOR INTERNAL COIL</v>
      </c>
      <c r="E11" s="13">
        <f>'Sheet2-PASTE HERE!'!F21</f>
        <v>12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.261</v>
      </c>
      <c r="D12" s="22" t="str">
        <f>'Sheet2-PASTE HERE!'!K22</f>
        <v>Miscellaneous Fabrication - Braces, Mounting Plates, Cone Outlet Necks_x000D_
FORM (4) LOWER CONE SECTION</v>
      </c>
      <c r="E12" s="13">
        <f>'Sheet2-PASTE HERE!'!F22</f>
        <v>8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INSPECTION</v>
      </c>
      <c r="B13" s="11"/>
      <c r="C13" s="17" t="str">
        <f>'Sheet2-PASTE HERE!'!I23</f>
        <v>.QC3</v>
      </c>
      <c r="D13" s="22" t="str">
        <f>'Sheet2-PASTE HERE!'!K23</f>
        <v>UT Shells</v>
      </c>
      <c r="E13" s="13">
        <f>'Sheet2-PASTE HERE!'!F23</f>
        <v>0</v>
      </c>
      <c r="F13" s="12"/>
      <c r="G13" s="12"/>
      <c r="H13" s="12"/>
      <c r="K13">
        <f t="shared" si="0"/>
        <v>1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.305</v>
      </c>
      <c r="D14" s="22" t="str">
        <f>'Sheet2-PASTE HERE!'!K24</f>
        <v>Shells: bring in plate, square, trim and clean_x000D_
PREP UPPER CONE SECTION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.315</v>
      </c>
      <c r="D15" s="22" t="str">
        <f>'Sheet2-PASTE HERE!'!K25</f>
        <v>Roll shells, tack and weld inside seams_x000D_
SLIP ROLL UPPER CONE SECTION &amp; WELD INSIDE SEAMS</v>
      </c>
      <c r="E15" s="13">
        <f>'Sheet2-PASTE HERE!'!F25</f>
        <v>6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.450</v>
      </c>
      <c r="D16" s="22" t="str">
        <f>'Sheet2-PASTE HERE!'!K26</f>
        <v>Build bottom head/cone_x000D_
ASSEMBLE CONE SECTIONS &amp; WELD COMPLETE</v>
      </c>
      <c r="E16" s="13">
        <f>'Sheet2-PASTE HERE!'!F26</f>
        <v>40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INSPECTION</v>
      </c>
      <c r="B17" s="11"/>
      <c r="C17" s="17" t="str">
        <f>'Sheet2-PASTE HERE!'!I27</f>
        <v>.QC4</v>
      </c>
      <c r="D17" s="22" t="str">
        <f>'Sheet2-PASTE HERE!'!K27</f>
        <v>QC Inspection - Top/Bottom/Cones</v>
      </c>
      <c r="E17" s="13">
        <f>'Sheet2-PASTE HERE!'!F27</f>
        <v>0</v>
      </c>
      <c r="F17" s="12"/>
      <c r="G17" s="12"/>
      <c r="H17" s="12"/>
      <c r="K17">
        <f t="shared" si="0"/>
        <v>1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.465</v>
      </c>
      <c r="D18" s="22" t="str">
        <f>'Sheet2-PASTE HERE!'!K28</f>
        <v>Set  nozzles in bottom head - tack_x000D_
N9</v>
      </c>
      <c r="E18" s="13">
        <f>'Sheet2-PASTE HERE!'!F28</f>
        <v>1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.466</v>
      </c>
      <c r="D19" s="22" t="str">
        <f>'Sheet2-PASTE HERE!'!K29</f>
        <v>Weld nozzles in bottom head; weld complete_x000D_
N9</v>
      </c>
      <c r="E19" s="13">
        <f>'Sheet2-PASTE HERE!'!F29</f>
        <v>2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.580</v>
      </c>
      <c r="D20" s="22" t="str">
        <f>'Sheet2-PASTE HERE!'!K30</f>
        <v>Fabricate internal coil supports</v>
      </c>
      <c r="E20" s="13">
        <f>'Sheet2-PASTE HERE!'!F30</f>
        <v>5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.590</v>
      </c>
      <c r="D21" s="22" t="str">
        <f>'Sheet2-PASTE HERE!'!K31</f>
        <v>Fabricate internal coil</v>
      </c>
      <c r="E21" s="13">
        <f>'Sheet2-PASTE HERE!'!F31</f>
        <v>10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FIT</v>
      </c>
      <c r="B22" s="11"/>
      <c r="C22" s="17" t="str">
        <f>'Sheet2-PASTE HERE!'!I32</f>
        <v>.635</v>
      </c>
      <c r="D22" s="22" t="str">
        <f>'Sheet2-PASTE HERE!'!K32</f>
        <v>Install internal coil and supports_x000D_
INCL WELD SUPPORTS TO CONE</v>
      </c>
      <c r="E22" s="13">
        <f>'Sheet2-PASTE HERE!'!F32</f>
        <v>15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INSPECTION</v>
      </c>
      <c r="B23" s="11"/>
      <c r="C23" s="17" t="str">
        <f>'Sheet2-PASTE HERE!'!I33</f>
        <v>.QC5</v>
      </c>
      <c r="D23" s="22" t="str">
        <f>'Sheet2-PASTE HERE!'!K33</f>
        <v>QC Inspection - Internal</v>
      </c>
      <c r="E23" s="13">
        <f>'Sheet2-PASTE HERE!'!F33</f>
        <v>0</v>
      </c>
      <c r="F23" s="12"/>
      <c r="G23" s="12"/>
      <c r="H23" s="12"/>
      <c r="K23">
        <f t="shared" si="0"/>
        <v>1</v>
      </c>
      <c r="L23">
        <f t="shared" si="1"/>
        <v>0</v>
      </c>
    </row>
    <row r="24" spans="1:12" ht="26.25" customHeight="1" x14ac:dyDescent="0.2">
      <c r="A24" s="10" t="str">
        <f>'Sheet2-PASTE HERE!'!A34</f>
        <v>MOVE TANK</v>
      </c>
      <c r="B24" s="11"/>
      <c r="C24" s="17" t="str">
        <f>'Sheet2-PASTE HERE!'!I34</f>
        <v>.800</v>
      </c>
      <c r="D24" s="22" t="str">
        <f>'Sheet2-PASTE HERE!'!K34</f>
        <v>Move tank to detail rolls</v>
      </c>
      <c r="E24" s="13">
        <f>'Sheet2-PASTE HERE!'!F34</f>
        <v>2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FIT</v>
      </c>
      <c r="B25" s="11"/>
      <c r="C25" s="17" t="str">
        <f>'Sheet2-PASTE HERE!'!I35</f>
        <v>.725</v>
      </c>
      <c r="D25" s="22" t="str">
        <f>'Sheet2-PASTE HERE!'!K35</f>
        <v>Set nozzles in shell - tack_x000D_
N10 &amp; N11</v>
      </c>
      <c r="E25" s="13">
        <f>'Sheet2-PASTE HERE!'!F35</f>
        <v>3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FIT</v>
      </c>
      <c r="B26" s="11"/>
      <c r="C26" s="17" t="str">
        <f>'Sheet2-PASTE HERE!'!I36</f>
        <v>.726</v>
      </c>
      <c r="D26" s="22" t="str">
        <f>'Sheet2-PASTE HERE!'!K36</f>
        <v>Weld shell nozzles, manways, etc._x000D_
N10 &amp; N11</v>
      </c>
      <c r="E26" s="13">
        <f>'Sheet2-PASTE HERE!'!F36</f>
        <v>4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FINISHING</v>
      </c>
      <c r="B27" s="11"/>
      <c r="C27" s="17" t="str">
        <f>'Sheet2-PASTE HERE!'!I37</f>
        <v>.900</v>
      </c>
      <c r="D27" s="22" t="str">
        <f>'Sheet2-PASTE HERE!'!K37</f>
        <v>Dye pen test</v>
      </c>
      <c r="E27" s="13">
        <f>'Sheet2-PASTE HERE!'!F37</f>
        <v>5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INSPECTION</v>
      </c>
      <c r="B28" s="11"/>
      <c r="C28" s="17" t="str">
        <f>'Sheet2-PASTE HERE!'!I38</f>
        <v>.QC6</v>
      </c>
      <c r="D28" s="22" t="str">
        <f>'Sheet2-PASTE HERE!'!K38</f>
        <v>QC Inspection - Fabrication</v>
      </c>
      <c r="E28" s="13">
        <f>'Sheet2-PASTE HERE!'!F38</f>
        <v>0</v>
      </c>
      <c r="F28" s="12"/>
      <c r="G28" s="12"/>
      <c r="H28" s="12"/>
      <c r="K28">
        <f t="shared" si="0"/>
        <v>1</v>
      </c>
      <c r="L28">
        <f t="shared" si="1"/>
        <v>0</v>
      </c>
    </row>
    <row r="29" spans="1:12" ht="26.25" customHeight="1" x14ac:dyDescent="0.2">
      <c r="A29" s="10" t="str">
        <f>'Sheet2-PASTE HERE!'!A39</f>
        <v>MOVE TANK</v>
      </c>
      <c r="B29" s="11"/>
      <c r="C29" s="17" t="str">
        <f>'Sheet2-PASTE HERE!'!I39</f>
        <v>.801</v>
      </c>
      <c r="D29" s="22" t="str">
        <f>'Sheet2-PASTE HERE!'!K39</f>
        <v>Move to shop test area</v>
      </c>
      <c r="E29" s="13">
        <f>'Sheet2-PASTE HERE!'!F39</f>
        <v>2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INSPECTION</v>
      </c>
      <c r="B30" s="11"/>
      <c r="C30" s="17" t="str">
        <f>'Sheet2-PASTE HERE!'!I40</f>
        <v>.QC7</v>
      </c>
      <c r="D30" s="22" t="str">
        <f>'Sheet2-PASTE HERE!'!K40</f>
        <v>QC Inspection - Test</v>
      </c>
      <c r="E30" s="13">
        <f>'Sheet2-PASTE HERE!'!F40</f>
        <v>0</v>
      </c>
      <c r="F30" s="12"/>
      <c r="G30" s="12"/>
      <c r="H30" s="12"/>
      <c r="K30">
        <f t="shared" si="0"/>
        <v>1</v>
      </c>
      <c r="L30">
        <f t="shared" si="1"/>
        <v>0</v>
      </c>
    </row>
    <row r="31" spans="1:12" ht="26.25" customHeight="1" x14ac:dyDescent="0.2">
      <c r="A31" s="10" t="str">
        <f>'Sheet2-PASTE HERE!'!A41</f>
        <v>INSPECTION</v>
      </c>
      <c r="B31" s="11"/>
      <c r="C31" s="17" t="str">
        <f>'Sheet2-PASTE HERE!'!I41</f>
        <v>.OI3</v>
      </c>
      <c r="D31" s="22" t="str">
        <f>'Sheet2-PASTE HERE!'!K41</f>
        <v>ASME Inspection Test</v>
      </c>
      <c r="E31" s="13">
        <f>'Sheet2-PASTE HERE!'!F41</f>
        <v>0</v>
      </c>
      <c r="F31" s="12"/>
      <c r="G31" s="12"/>
      <c r="H31" s="12"/>
      <c r="K31">
        <f t="shared" si="0"/>
        <v>1</v>
      </c>
      <c r="L31">
        <f t="shared" si="1"/>
        <v>1</v>
      </c>
    </row>
    <row r="32" spans="1:12" ht="26.25" customHeight="1" x14ac:dyDescent="0.2">
      <c r="A32" s="10" t="str">
        <f>'Sheet2-PASTE HERE!'!A42</f>
        <v>FINISHING</v>
      </c>
      <c r="B32" s="11"/>
      <c r="C32" s="17" t="str">
        <f>'Sheet2-PASTE HERE!'!I42</f>
        <v>.920</v>
      </c>
      <c r="D32" s="22" t="str">
        <f>'Sheet2-PASTE HERE!'!K42</f>
        <v>Clean tank complete</v>
      </c>
      <c r="E32" s="13">
        <f>'Sheet2-PASTE HERE!'!F42</f>
        <v>8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.QC8</v>
      </c>
      <c r="D33" s="22" t="str">
        <f>'Sheet2-PASTE HERE!'!K43</f>
        <v>QC Inspection - Clean</v>
      </c>
      <c r="E33" s="13">
        <f>'Sheet2-PASTE HERE!'!F43</f>
        <v>0</v>
      </c>
      <c r="F33" s="12"/>
      <c r="G33" s="12"/>
      <c r="H33" s="12"/>
      <c r="K33">
        <f t="shared" si="0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FINISHING</v>
      </c>
      <c r="B34" s="11"/>
      <c r="C34" s="17" t="str">
        <f>'Sheet2-PASTE HERE!'!I44</f>
        <v>.940</v>
      </c>
      <c r="D34" s="22" t="str">
        <f>'Sheet2-PASTE HERE!'!K44</f>
        <v>Prepare tank for shipment</v>
      </c>
      <c r="E34" s="13">
        <f>'Sheet2-PASTE HERE!'!F44</f>
        <v>1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.QC95</v>
      </c>
      <c r="D35" s="22" t="str">
        <f>'Sheet2-PASTE HERE!'!K45</f>
        <v>QC Inspection - Final &amp; Loose Items</v>
      </c>
      <c r="E35" s="13">
        <f>'Sheet2-PASTE HERE!'!F45</f>
        <v>0</v>
      </c>
      <c r="F35" s="12"/>
      <c r="G35" s="12"/>
      <c r="H35" s="12"/>
      <c r="K35">
        <f t="shared" si="0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SHIPPING</v>
      </c>
      <c r="B36" s="11"/>
      <c r="C36" s="17" t="str">
        <f>'Sheet2-PASTE HERE!'!I46</f>
        <v>.960</v>
      </c>
      <c r="D36" s="22" t="str">
        <f>'Sheet2-PASTE HERE!'!K46</f>
        <v>Load on truck</v>
      </c>
      <c r="E36" s="13">
        <f>'Sheet2-PASTE HERE!'!F46</f>
        <v>3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>
        <f>'Sheet2-PASTE HERE!'!A47</f>
        <v>0</v>
      </c>
      <c r="B37" s="11"/>
      <c r="C37" s="17">
        <f>'Sheet2-PASTE HERE!'!I47</f>
        <v>0</v>
      </c>
      <c r="D37" s="22">
        <f>'Sheet2-PASTE HERE!'!K47</f>
        <v>0</v>
      </c>
      <c r="E37" s="13">
        <f>'Sheet2-PASTE HERE!'!F47</f>
        <v>0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>
        <f>'Sheet2-PASTE HERE!'!A48</f>
        <v>0</v>
      </c>
      <c r="B38" s="11"/>
      <c r="C38" s="17">
        <f>'Sheet2-PASTE HERE!'!I48</f>
        <v>0</v>
      </c>
      <c r="D38" s="22">
        <f>'Sheet2-PASTE HERE!'!K48</f>
        <v>0</v>
      </c>
      <c r="E38" s="13" t="str">
        <f>'Sheet2-PASTE HERE!'!F48</f>
        <v/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>
        <f>'Sheet2-PASTE HERE!'!A49</f>
        <v>0</v>
      </c>
      <c r="B39" s="11"/>
      <c r="C39" s="17">
        <f>'Sheet2-PASTE HERE!'!I49</f>
        <v>0</v>
      </c>
      <c r="D39" s="22">
        <f>'Sheet2-PASTE HERE!'!K49</f>
        <v>0</v>
      </c>
      <c r="E39" s="13">
        <f>'Sheet2-PASTE HERE!'!F49</f>
        <v>0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>
        <f>'Sheet2-PASTE HERE!'!A50</f>
        <v>0</v>
      </c>
      <c r="B40" s="11"/>
      <c r="C40" s="17">
        <f>'Sheet2-PASTE HERE!'!I50</f>
        <v>0</v>
      </c>
      <c r="D40" s="22">
        <f>'Sheet2-PASTE HERE!'!K50</f>
        <v>0</v>
      </c>
      <c r="E40" s="13">
        <f>'Sheet2-PASTE HERE!'!F50</f>
        <v>0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>
        <f>'Sheet2-PASTE HERE!'!A51</f>
        <v>0</v>
      </c>
      <c r="B41" s="11"/>
      <c r="C41" s="17">
        <f>'Sheet2-PASTE HERE!'!I51</f>
        <v>0</v>
      </c>
      <c r="D41" s="22">
        <f>'Sheet2-PASTE HERE!'!K51</f>
        <v>0</v>
      </c>
      <c r="E41" s="13">
        <f>'Sheet2-PASTE HERE!'!F51</f>
        <v>0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>
        <f>'Sheet2-PASTE HERE!'!A52</f>
        <v>0</v>
      </c>
      <c r="B42" s="11"/>
      <c r="C42" s="17">
        <f>'Sheet2-PASTE HERE!'!I52</f>
        <v>0</v>
      </c>
      <c r="D42" s="22">
        <f>'Sheet2-PASTE HERE!'!K52</f>
        <v>0</v>
      </c>
      <c r="E42" s="13">
        <f>'Sheet2-PASTE HERE!'!F52</f>
        <v>0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>
        <f>'Sheet2-PASTE HERE!'!A53</f>
        <v>0</v>
      </c>
      <c r="B43" s="11"/>
      <c r="C43" s="17">
        <f>'Sheet2-PASTE HERE!'!I53</f>
        <v>0</v>
      </c>
      <c r="D43" s="22">
        <f>'Sheet2-PASTE HERE!'!K53</f>
        <v>0</v>
      </c>
      <c r="E43" s="13">
        <f>'Sheet2-PASTE HERE!'!F53</f>
        <v>0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>
        <f>'Sheet2-PASTE HERE!'!I54</f>
        <v>0</v>
      </c>
      <c r="D44" s="22">
        <f>'Sheet2-PASTE HERE!'!K54</f>
        <v>0</v>
      </c>
      <c r="E44" s="13">
        <f>'Sheet2-PASTE HERE!'!F54</f>
        <v>0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>
        <f>'Sheet2-PASTE HERE!'!F55</f>
        <v>0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122</v>
      </c>
      <c r="C1" s="8" t="s">
        <v>17</v>
      </c>
      <c r="D1" s="8" t="s">
        <v>123</v>
      </c>
      <c r="E1" s="8" t="s">
        <v>18</v>
      </c>
      <c r="F1" s="8" t="s">
        <v>124</v>
      </c>
      <c r="G1" s="8" t="s">
        <v>125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45932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137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65989</v>
      </c>
      <c r="C15" s="19">
        <v>0</v>
      </c>
      <c r="D15" s="8" t="s">
        <v>71</v>
      </c>
      <c r="E15" s="20">
        <v>0</v>
      </c>
      <c r="F15" s="20">
        <v>0</v>
      </c>
      <c r="G15" s="8" t="s">
        <v>54</v>
      </c>
      <c r="H15" s="20">
        <v>0</v>
      </c>
      <c r="I15" s="8" t="s">
        <v>72</v>
      </c>
      <c r="J15" s="19">
        <v>0</v>
      </c>
      <c r="K15" s="8" t="s">
        <v>71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53</v>
      </c>
      <c r="B16" s="18">
        <v>65990</v>
      </c>
      <c r="C16" s="19">
        <v>0</v>
      </c>
      <c r="D16" s="8" t="s">
        <v>73</v>
      </c>
      <c r="E16" s="20">
        <v>0</v>
      </c>
      <c r="F16" s="20">
        <v>0</v>
      </c>
      <c r="G16" s="8" t="s">
        <v>54</v>
      </c>
      <c r="H16" s="20">
        <v>0</v>
      </c>
      <c r="I16" s="8" t="s">
        <v>74</v>
      </c>
      <c r="J16" s="19">
        <v>0</v>
      </c>
      <c r="K16" s="8" t="s">
        <v>75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65991</v>
      </c>
      <c r="C17" s="19">
        <v>0</v>
      </c>
      <c r="D17" s="8" t="s">
        <v>57</v>
      </c>
      <c r="E17" s="20">
        <v>0</v>
      </c>
      <c r="F17" s="20">
        <v>1</v>
      </c>
      <c r="G17" s="8" t="s">
        <v>54</v>
      </c>
      <c r="H17" s="20">
        <v>1</v>
      </c>
      <c r="I17" s="8" t="s">
        <v>58</v>
      </c>
      <c r="J17" s="19">
        <v>0</v>
      </c>
      <c r="K17" s="8" t="s">
        <v>76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65992</v>
      </c>
      <c r="C18" s="19">
        <v>0</v>
      </c>
      <c r="D18" s="8" t="s">
        <v>77</v>
      </c>
      <c r="E18" s="20">
        <v>0</v>
      </c>
      <c r="F18" s="20">
        <v>2</v>
      </c>
      <c r="G18" s="8" t="s">
        <v>54</v>
      </c>
      <c r="H18" s="20">
        <v>2</v>
      </c>
      <c r="I18" s="8" t="s">
        <v>78</v>
      </c>
      <c r="J18" s="19">
        <v>0</v>
      </c>
      <c r="K18" s="8" t="s">
        <v>126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65993</v>
      </c>
      <c r="C19" s="19">
        <v>0</v>
      </c>
      <c r="D19" s="8" t="s">
        <v>114</v>
      </c>
      <c r="E19" s="20">
        <v>0</v>
      </c>
      <c r="F19" s="20">
        <v>3</v>
      </c>
      <c r="G19" s="8" t="s">
        <v>54</v>
      </c>
      <c r="H19" s="20">
        <v>3</v>
      </c>
      <c r="I19" s="8" t="s">
        <v>59</v>
      </c>
      <c r="J19" s="19">
        <v>0</v>
      </c>
      <c r="K19" s="8" t="s">
        <v>79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65994</v>
      </c>
      <c r="C20" s="19">
        <v>0</v>
      </c>
      <c r="D20" s="8" t="s">
        <v>115</v>
      </c>
      <c r="E20" s="20">
        <v>0</v>
      </c>
      <c r="F20" s="20">
        <v>2</v>
      </c>
      <c r="G20" s="8" t="s">
        <v>54</v>
      </c>
      <c r="H20" s="20">
        <v>2</v>
      </c>
      <c r="I20" s="8" t="s">
        <v>116</v>
      </c>
      <c r="J20" s="19">
        <v>0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65995</v>
      </c>
      <c r="C21" s="19">
        <v>0</v>
      </c>
      <c r="D21" s="8" t="s">
        <v>127</v>
      </c>
      <c r="E21" s="20">
        <v>0</v>
      </c>
      <c r="F21" s="20">
        <v>12</v>
      </c>
      <c r="G21" s="8" t="s">
        <v>54</v>
      </c>
      <c r="H21" s="20">
        <v>12</v>
      </c>
      <c r="I21" s="8" t="s">
        <v>128</v>
      </c>
      <c r="J21" s="19">
        <v>0</v>
      </c>
      <c r="K21" s="8" t="s">
        <v>129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65996</v>
      </c>
      <c r="C22" s="19">
        <v>0</v>
      </c>
      <c r="D22" s="8" t="s">
        <v>117</v>
      </c>
      <c r="E22" s="20">
        <v>0</v>
      </c>
      <c r="F22" s="20">
        <v>8</v>
      </c>
      <c r="G22" s="8" t="s">
        <v>54</v>
      </c>
      <c r="H22" s="20">
        <v>8</v>
      </c>
      <c r="I22" s="8" t="s">
        <v>118</v>
      </c>
      <c r="J22" s="19">
        <v>0</v>
      </c>
      <c r="K22" s="8" t="s">
        <v>130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53</v>
      </c>
      <c r="B23" s="18">
        <v>65997</v>
      </c>
      <c r="C23" s="19">
        <v>0</v>
      </c>
      <c r="D23" s="8" t="s">
        <v>80</v>
      </c>
      <c r="E23" s="20">
        <v>0</v>
      </c>
      <c r="F23" s="20">
        <v>0</v>
      </c>
      <c r="G23" s="8" t="s">
        <v>54</v>
      </c>
      <c r="H23" s="20">
        <v>0</v>
      </c>
      <c r="I23" s="8" t="s">
        <v>81</v>
      </c>
      <c r="J23" s="19">
        <v>0</v>
      </c>
      <c r="K23" s="8" t="s">
        <v>80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65998</v>
      </c>
      <c r="C24" s="19">
        <v>0</v>
      </c>
      <c r="D24" s="8" t="s">
        <v>82</v>
      </c>
      <c r="E24" s="20">
        <v>0</v>
      </c>
      <c r="F24" s="20">
        <v>2</v>
      </c>
      <c r="G24" s="8" t="s">
        <v>54</v>
      </c>
      <c r="H24" s="20">
        <v>2</v>
      </c>
      <c r="I24" s="8" t="s">
        <v>83</v>
      </c>
      <c r="J24" s="19">
        <v>0</v>
      </c>
      <c r="K24" s="8" t="s">
        <v>131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65999</v>
      </c>
      <c r="C25" s="19">
        <v>0</v>
      </c>
      <c r="D25" s="8" t="s">
        <v>84</v>
      </c>
      <c r="E25" s="20">
        <v>0</v>
      </c>
      <c r="F25" s="20">
        <v>6</v>
      </c>
      <c r="G25" s="8" t="s">
        <v>54</v>
      </c>
      <c r="H25" s="20">
        <v>6</v>
      </c>
      <c r="I25" s="8" t="s">
        <v>85</v>
      </c>
      <c r="J25" s="19">
        <v>0</v>
      </c>
      <c r="K25" s="8" t="s">
        <v>132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66000</v>
      </c>
      <c r="C26" s="19">
        <v>0</v>
      </c>
      <c r="D26" s="8" t="s">
        <v>112</v>
      </c>
      <c r="E26" s="20">
        <v>0</v>
      </c>
      <c r="F26" s="20">
        <v>40</v>
      </c>
      <c r="G26" s="8" t="s">
        <v>54</v>
      </c>
      <c r="H26" s="20">
        <v>40</v>
      </c>
      <c r="I26" s="8" t="s">
        <v>113</v>
      </c>
      <c r="J26" s="19">
        <v>0</v>
      </c>
      <c r="K26" s="8" t="s">
        <v>133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53</v>
      </c>
      <c r="B27" s="18">
        <v>66001</v>
      </c>
      <c r="C27" s="19">
        <v>0</v>
      </c>
      <c r="D27" s="8" t="s">
        <v>86</v>
      </c>
      <c r="E27" s="20">
        <v>0</v>
      </c>
      <c r="F27" s="20">
        <v>0</v>
      </c>
      <c r="G27" s="8" t="s">
        <v>54</v>
      </c>
      <c r="H27" s="20">
        <v>0</v>
      </c>
      <c r="I27" s="8" t="s">
        <v>87</v>
      </c>
      <c r="J27" s="19">
        <v>0</v>
      </c>
      <c r="K27" s="8" t="s">
        <v>88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66002</v>
      </c>
      <c r="C28" s="19">
        <v>0</v>
      </c>
      <c r="D28" s="8" t="s">
        <v>134</v>
      </c>
      <c r="E28" s="20">
        <v>0</v>
      </c>
      <c r="F28" s="20">
        <v>1</v>
      </c>
      <c r="G28" s="8" t="s">
        <v>54</v>
      </c>
      <c r="H28" s="20">
        <v>1</v>
      </c>
      <c r="I28" s="8" t="s">
        <v>135</v>
      </c>
      <c r="J28" s="19">
        <v>0</v>
      </c>
      <c r="K28" s="8" t="s">
        <v>136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66003</v>
      </c>
      <c r="C29" s="19">
        <v>0</v>
      </c>
      <c r="D29" s="8" t="s">
        <v>137</v>
      </c>
      <c r="E29" s="20">
        <v>0</v>
      </c>
      <c r="F29" s="20">
        <v>2</v>
      </c>
      <c r="G29" s="8" t="s">
        <v>54</v>
      </c>
      <c r="H29" s="20">
        <v>2</v>
      </c>
      <c r="I29" s="8" t="s">
        <v>138</v>
      </c>
      <c r="J29" s="19">
        <v>0</v>
      </c>
      <c r="K29" s="8" t="s">
        <v>139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66004</v>
      </c>
      <c r="C30" s="19">
        <v>0</v>
      </c>
      <c r="D30" s="8" t="s">
        <v>140</v>
      </c>
      <c r="E30" s="20">
        <v>0</v>
      </c>
      <c r="F30" s="20">
        <v>5</v>
      </c>
      <c r="G30" s="8" t="s">
        <v>54</v>
      </c>
      <c r="H30" s="20">
        <v>5</v>
      </c>
      <c r="I30" s="8" t="s">
        <v>141</v>
      </c>
      <c r="J30" s="19">
        <v>0</v>
      </c>
      <c r="K30" s="8" t="s">
        <v>142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66005</v>
      </c>
      <c r="C31" s="19">
        <v>0</v>
      </c>
      <c r="D31" s="8" t="s">
        <v>143</v>
      </c>
      <c r="E31" s="20">
        <v>0</v>
      </c>
      <c r="F31" s="20">
        <v>10</v>
      </c>
      <c r="G31" s="8" t="s">
        <v>54</v>
      </c>
      <c r="H31" s="20">
        <v>10</v>
      </c>
      <c r="I31" s="8" t="s">
        <v>144</v>
      </c>
      <c r="J31" s="19">
        <v>0</v>
      </c>
      <c r="K31" s="8" t="s">
        <v>145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70</v>
      </c>
      <c r="B32" s="18">
        <v>66006</v>
      </c>
      <c r="C32" s="19">
        <v>0</v>
      </c>
      <c r="D32" s="8" t="s">
        <v>146</v>
      </c>
      <c r="E32" s="20">
        <v>0</v>
      </c>
      <c r="F32" s="20">
        <v>15</v>
      </c>
      <c r="G32" s="8" t="s">
        <v>54</v>
      </c>
      <c r="H32" s="20">
        <v>15</v>
      </c>
      <c r="I32" s="8" t="s">
        <v>147</v>
      </c>
      <c r="J32" s="19">
        <v>0</v>
      </c>
      <c r="K32" s="8" t="s">
        <v>148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53</v>
      </c>
      <c r="B33" s="18">
        <v>66007</v>
      </c>
      <c r="C33" s="19">
        <v>0</v>
      </c>
      <c r="D33" s="8" t="s">
        <v>89</v>
      </c>
      <c r="E33" s="20">
        <v>0</v>
      </c>
      <c r="F33" s="20">
        <v>0</v>
      </c>
      <c r="G33" s="8" t="s">
        <v>54</v>
      </c>
      <c r="H33" s="20">
        <v>0</v>
      </c>
      <c r="I33" s="8" t="s">
        <v>90</v>
      </c>
      <c r="J33" s="19">
        <v>0</v>
      </c>
      <c r="K33" s="8" t="s">
        <v>89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91</v>
      </c>
      <c r="B34" s="18">
        <v>66008</v>
      </c>
      <c r="C34" s="19">
        <v>0</v>
      </c>
      <c r="D34" s="8" t="s">
        <v>92</v>
      </c>
      <c r="E34" s="20">
        <v>0</v>
      </c>
      <c r="F34" s="20">
        <v>2</v>
      </c>
      <c r="G34" s="8" t="s">
        <v>54</v>
      </c>
      <c r="H34" s="20">
        <v>2</v>
      </c>
      <c r="I34" s="8" t="s">
        <v>93</v>
      </c>
      <c r="J34" s="19">
        <v>0</v>
      </c>
      <c r="K34" s="8" t="s">
        <v>94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70</v>
      </c>
      <c r="B35" s="18">
        <v>66009</v>
      </c>
      <c r="C35" s="19">
        <v>0</v>
      </c>
      <c r="D35" s="8" t="s">
        <v>95</v>
      </c>
      <c r="E35" s="20">
        <v>0</v>
      </c>
      <c r="F35" s="20">
        <v>3</v>
      </c>
      <c r="G35" s="8" t="s">
        <v>54</v>
      </c>
      <c r="H35" s="20">
        <v>3</v>
      </c>
      <c r="I35" s="8" t="s">
        <v>96</v>
      </c>
      <c r="J35" s="19">
        <v>0</v>
      </c>
      <c r="K35" s="8" t="s">
        <v>149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70</v>
      </c>
      <c r="B36" s="18">
        <v>66010</v>
      </c>
      <c r="C36" s="19">
        <v>0</v>
      </c>
      <c r="D36" s="8" t="s">
        <v>97</v>
      </c>
      <c r="E36" s="20">
        <v>0</v>
      </c>
      <c r="F36" s="20">
        <v>4</v>
      </c>
      <c r="G36" s="8" t="s">
        <v>54</v>
      </c>
      <c r="H36" s="20">
        <v>4</v>
      </c>
      <c r="I36" s="8" t="s">
        <v>98</v>
      </c>
      <c r="J36" s="19">
        <v>0</v>
      </c>
      <c r="K36" s="8" t="s">
        <v>150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60</v>
      </c>
      <c r="B37" s="18">
        <v>66011</v>
      </c>
      <c r="C37" s="19">
        <v>0</v>
      </c>
      <c r="D37" s="8" t="s">
        <v>119</v>
      </c>
      <c r="E37" s="20">
        <v>0</v>
      </c>
      <c r="F37" s="20">
        <v>5</v>
      </c>
      <c r="G37" s="8" t="s">
        <v>54</v>
      </c>
      <c r="H37" s="20">
        <v>5</v>
      </c>
      <c r="I37" s="8" t="s">
        <v>120</v>
      </c>
      <c r="J37" s="19">
        <v>0</v>
      </c>
      <c r="K37" s="8" t="s">
        <v>121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53</v>
      </c>
      <c r="B38" s="18">
        <v>66012</v>
      </c>
      <c r="C38" s="19">
        <v>0</v>
      </c>
      <c r="D38" s="8" t="s">
        <v>99</v>
      </c>
      <c r="E38" s="20">
        <v>0</v>
      </c>
      <c r="F38" s="20">
        <v>0</v>
      </c>
      <c r="G38" s="8" t="s">
        <v>54</v>
      </c>
      <c r="H38" s="20">
        <v>0</v>
      </c>
      <c r="I38" s="8" t="s">
        <v>100</v>
      </c>
      <c r="J38" s="19">
        <v>0</v>
      </c>
      <c r="K38" s="8" t="s">
        <v>101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91</v>
      </c>
      <c r="B39" s="18">
        <v>66013</v>
      </c>
      <c r="C39" s="19">
        <v>0</v>
      </c>
      <c r="D39" s="8" t="s">
        <v>102</v>
      </c>
      <c r="E39" s="20">
        <v>0</v>
      </c>
      <c r="F39" s="20">
        <v>2</v>
      </c>
      <c r="G39" s="8" t="s">
        <v>54</v>
      </c>
      <c r="H39" s="20">
        <v>2</v>
      </c>
      <c r="I39" s="8" t="s">
        <v>103</v>
      </c>
      <c r="J39" s="19">
        <v>0</v>
      </c>
      <c r="K39" s="8" t="s">
        <v>104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53</v>
      </c>
      <c r="B40" s="18">
        <v>66014</v>
      </c>
      <c r="C40" s="19">
        <v>0</v>
      </c>
      <c r="D40" s="8" t="s">
        <v>105</v>
      </c>
      <c r="E40" s="20">
        <v>0</v>
      </c>
      <c r="F40" s="20">
        <v>0</v>
      </c>
      <c r="G40" s="8" t="s">
        <v>54</v>
      </c>
      <c r="H40" s="20">
        <v>0</v>
      </c>
      <c r="I40" s="8" t="s">
        <v>106</v>
      </c>
      <c r="J40" s="19">
        <v>0</v>
      </c>
      <c r="K40" s="8" t="s">
        <v>105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53</v>
      </c>
      <c r="B41" s="18">
        <v>66015</v>
      </c>
      <c r="C41" s="19">
        <v>0</v>
      </c>
      <c r="D41" s="8" t="s">
        <v>151</v>
      </c>
      <c r="E41" s="20">
        <v>0</v>
      </c>
      <c r="F41" s="20">
        <v>0</v>
      </c>
      <c r="G41" s="8" t="s">
        <v>54</v>
      </c>
      <c r="H41" s="20">
        <v>0</v>
      </c>
      <c r="I41" s="8" t="s">
        <v>152</v>
      </c>
      <c r="J41" s="19">
        <v>0</v>
      </c>
      <c r="K41" s="8" t="s">
        <v>151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60</v>
      </c>
      <c r="B42" s="18">
        <v>66016</v>
      </c>
      <c r="C42" s="19">
        <v>0</v>
      </c>
      <c r="D42" s="8" t="s">
        <v>107</v>
      </c>
      <c r="E42" s="20">
        <v>0</v>
      </c>
      <c r="F42" s="20">
        <v>8</v>
      </c>
      <c r="G42" s="8" t="s">
        <v>54</v>
      </c>
      <c r="H42" s="20">
        <v>8</v>
      </c>
      <c r="I42" s="8" t="s">
        <v>108</v>
      </c>
      <c r="J42" s="19">
        <v>0</v>
      </c>
      <c r="K42" s="8" t="s">
        <v>109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53</v>
      </c>
      <c r="B43" s="18">
        <v>66017</v>
      </c>
      <c r="C43" s="19">
        <v>0</v>
      </c>
      <c r="D43" s="8" t="s">
        <v>110</v>
      </c>
      <c r="E43" s="20">
        <v>0</v>
      </c>
      <c r="F43" s="20">
        <v>0</v>
      </c>
      <c r="G43" s="8" t="s">
        <v>54</v>
      </c>
      <c r="H43" s="20">
        <v>0</v>
      </c>
      <c r="I43" s="8" t="s">
        <v>111</v>
      </c>
      <c r="J43" s="19">
        <v>0</v>
      </c>
      <c r="K43" s="8" t="s">
        <v>110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60</v>
      </c>
      <c r="B44" s="18">
        <v>66018</v>
      </c>
      <c r="C44" s="19">
        <v>0</v>
      </c>
      <c r="D44" s="8" t="s">
        <v>153</v>
      </c>
      <c r="E44" s="20">
        <v>0</v>
      </c>
      <c r="F44" s="20">
        <v>1</v>
      </c>
      <c r="G44" s="8" t="s">
        <v>54</v>
      </c>
      <c r="H44" s="20">
        <v>1</v>
      </c>
      <c r="I44" s="8" t="s">
        <v>154</v>
      </c>
      <c r="J44" s="19">
        <v>0</v>
      </c>
      <c r="K44" s="8" t="s">
        <v>155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53</v>
      </c>
      <c r="B45" s="18">
        <v>66019</v>
      </c>
      <c r="C45" s="19">
        <v>0</v>
      </c>
      <c r="D45" s="8" t="s">
        <v>61</v>
      </c>
      <c r="E45" s="20">
        <v>0</v>
      </c>
      <c r="F45" s="20">
        <v>0</v>
      </c>
      <c r="G45" s="8" t="s">
        <v>54</v>
      </c>
      <c r="H45" s="20">
        <v>0</v>
      </c>
      <c r="I45" s="8" t="s">
        <v>62</v>
      </c>
      <c r="J45" s="19">
        <v>0</v>
      </c>
      <c r="K45" s="8" t="s">
        <v>63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64</v>
      </c>
      <c r="B46" s="18">
        <v>66020</v>
      </c>
      <c r="C46" s="19">
        <v>0</v>
      </c>
      <c r="D46" s="8" t="s">
        <v>65</v>
      </c>
      <c r="E46" s="20">
        <v>0</v>
      </c>
      <c r="F46" s="20">
        <v>3</v>
      </c>
      <c r="G46" s="8" t="s">
        <v>54</v>
      </c>
      <c r="H46" s="20">
        <v>3</v>
      </c>
      <c r="I46" s="8" t="s">
        <v>66</v>
      </c>
      <c r="J46" s="19">
        <v>0</v>
      </c>
      <c r="K46" s="8" t="s">
        <v>67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/>
    <row r="48" spans="1:14" ht="12.75" customHeight="1" x14ac:dyDescent="0.2">
      <c r="B48" s="8" t="s">
        <v>16</v>
      </c>
      <c r="C48" s="8" t="s">
        <v>122</v>
      </c>
      <c r="E48" s="8" t="s">
        <v>19</v>
      </c>
      <c r="F48" s="8" t="s">
        <v>19</v>
      </c>
      <c r="G48" s="8" t="s">
        <v>21</v>
      </c>
      <c r="H48" s="8" t="s">
        <v>19</v>
      </c>
      <c r="J48" s="8" t="s">
        <v>19</v>
      </c>
    </row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099-25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69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68</v>
      </c>
      <c r="B4" s="38">
        <f>'Build Plan w Hours'!E7</f>
        <v>1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099-25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69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68</v>
      </c>
      <c r="B10" s="38">
        <f>'Build Plan w Hours'!E8</f>
        <v>2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099-25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69</v>
      </c>
    </row>
    <row r="14" spans="1:9" ht="21.75" customHeight="1" x14ac:dyDescent="0.25">
      <c r="A14" s="29" t="s">
        <v>13</v>
      </c>
      <c r="B14" s="31" t="str">
        <f>'Build Plan w Hours'!C9</f>
        <v>.155</v>
      </c>
      <c r="C14" s="40" t="str">
        <f>'Build Plan w Hours'!D9</f>
        <v>Burn and clean parts:  lugs, supports, repads, base ring, etc. (CHECK!)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68</v>
      </c>
      <c r="B16" s="38">
        <f>'Build Plan w Hours'!E9</f>
        <v>3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099-25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69</v>
      </c>
    </row>
    <row r="20" spans="1:9" ht="21.75" customHeight="1" x14ac:dyDescent="0.25">
      <c r="A20" s="29" t="s">
        <v>13</v>
      </c>
      <c r="B20" s="31" t="str">
        <f>'Build Plan w Hours'!C10</f>
        <v>.156</v>
      </c>
      <c r="C20" s="40">
        <f>'Build Plan w Hours'!D10</f>
        <v>0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68</v>
      </c>
      <c r="B22" s="38">
        <f>'Build Plan w Hours'!E10</f>
        <v>2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099-25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69</v>
      </c>
    </row>
    <row r="26" spans="1:9" ht="21.75" customHeight="1" x14ac:dyDescent="0.25">
      <c r="A26" s="29" t="s">
        <v>13</v>
      </c>
      <c r="B26" s="31" t="str">
        <f>'Build Plan w Hours'!C11</f>
        <v>.250</v>
      </c>
      <c r="C26" s="40" t="str">
        <f>'Build Plan w Hours'!D11</f>
        <v>Roll pipe - internal coil_x000D_
ROLL &amp; WELD PIPE FOR INTERNAL COIL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68</v>
      </c>
      <c r="B28" s="38">
        <f>'Build Plan w Hours'!E11</f>
        <v>12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099-25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69</v>
      </c>
    </row>
    <row r="32" spans="1:9" ht="21.75" customHeight="1" x14ac:dyDescent="0.25">
      <c r="A32" s="29" t="s">
        <v>13</v>
      </c>
      <c r="B32" s="31" t="str">
        <f>'Build Plan w Hours'!C12</f>
        <v>.261</v>
      </c>
      <c r="C32" s="40" t="str">
        <f>'Build Plan w Hours'!D12</f>
        <v>Miscellaneous Fabrication - Braces, Mounting Plates, Cone Outlet Necks_x000D_
FORM (4) LOWER CONE SECTION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68</v>
      </c>
      <c r="B34" s="38">
        <f>'Build Plan w Hours'!E12</f>
        <v>8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099-25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69</v>
      </c>
    </row>
    <row r="38" spans="1:9" ht="21.75" customHeight="1" x14ac:dyDescent="0.25">
      <c r="A38" s="29" t="s">
        <v>13</v>
      </c>
      <c r="B38" s="31" t="str">
        <f>'Build Plan w Hours'!C13</f>
        <v>.QC3</v>
      </c>
      <c r="C38" s="40" t="str">
        <f>'Build Plan w Hours'!D13</f>
        <v>UT Shells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68</v>
      </c>
      <c r="B40" s="38">
        <f>'Build Plan w Hours'!E13</f>
        <v>0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099-25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69</v>
      </c>
    </row>
    <row r="44" spans="1:9" ht="21.75" customHeight="1" x14ac:dyDescent="0.25">
      <c r="A44" s="29" t="s">
        <v>13</v>
      </c>
      <c r="B44" s="31" t="str">
        <f>'Build Plan w Hours'!C14</f>
        <v>.305</v>
      </c>
      <c r="C44" s="40" t="str">
        <f>'Build Plan w Hours'!D14</f>
        <v>Shells: bring in plate, square, trim and clean_x000D_
PREP UPPER CONE SECTION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68</v>
      </c>
      <c r="B46" s="38">
        <f>'Build Plan w Hours'!E14</f>
        <v>2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099-25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69</v>
      </c>
    </row>
    <row r="50" spans="1:9" ht="21.75" customHeight="1" x14ac:dyDescent="0.25">
      <c r="A50" s="29" t="s">
        <v>13</v>
      </c>
      <c r="B50" s="31" t="str">
        <f>'Build Plan w Hours'!C15</f>
        <v>.315</v>
      </c>
      <c r="C50" s="40" t="str">
        <f>'Build Plan w Hours'!D15</f>
        <v>Roll shells, tack and weld inside seams_x000D_
SLIP ROLL UPPER CONE SECTION &amp; WELD INSIDE SEAMS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68</v>
      </c>
      <c r="B52" s="38">
        <f>'Build Plan w Hours'!E15</f>
        <v>6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099-25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69</v>
      </c>
    </row>
    <row r="56" spans="1:9" ht="21.75" customHeight="1" x14ac:dyDescent="0.25">
      <c r="A56" s="29" t="s">
        <v>13</v>
      </c>
      <c r="B56" s="31" t="str">
        <f>'Build Plan w Hours'!C16</f>
        <v>.450</v>
      </c>
      <c r="C56" s="40" t="str">
        <f>'Build Plan w Hours'!D16</f>
        <v>Build bottom head/cone_x000D_
ASSEMBLE CONE SECTIONS &amp; WELD COMPLETE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68</v>
      </c>
      <c r="B58" s="38">
        <f>'Build Plan w Hours'!E16</f>
        <v>40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099-25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69</v>
      </c>
    </row>
    <row r="62" spans="1:9" ht="21.75" customHeight="1" x14ac:dyDescent="0.25">
      <c r="A62" s="29" t="s">
        <v>13</v>
      </c>
      <c r="B62" s="31" t="str">
        <f>'Build Plan w Hours'!C17</f>
        <v>.QC4</v>
      </c>
      <c r="C62" s="40" t="str">
        <f>'Build Plan w Hours'!D17</f>
        <v>QC Inspection - Top/Bottom/Cones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68</v>
      </c>
      <c r="B64" s="38">
        <f>'Build Plan w Hours'!E17</f>
        <v>0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099-25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69</v>
      </c>
    </row>
    <row r="68" spans="1:9" ht="21.75" customHeight="1" x14ac:dyDescent="0.25">
      <c r="A68" s="29" t="s">
        <v>13</v>
      </c>
      <c r="B68" s="31" t="str">
        <f>'Build Plan w Hours'!C18</f>
        <v>.465</v>
      </c>
      <c r="C68" s="40" t="str">
        <f>'Build Plan w Hours'!D18</f>
        <v>Set  nozzles in bottom head - tack_x000D_
N9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68</v>
      </c>
      <c r="B70" s="38">
        <f>'Build Plan w Hours'!E18</f>
        <v>1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099-25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69</v>
      </c>
    </row>
    <row r="74" spans="1:9" ht="21.75" customHeight="1" x14ac:dyDescent="0.25">
      <c r="A74" s="29" t="s">
        <v>13</v>
      </c>
      <c r="B74" s="31" t="str">
        <f>'Build Plan w Hours'!C19</f>
        <v>.466</v>
      </c>
      <c r="C74" s="40" t="str">
        <f>'Build Plan w Hours'!D19</f>
        <v>Weld nozzles in bottom head; weld complete_x000D_
N9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68</v>
      </c>
      <c r="B76" s="38">
        <f>'Build Plan w Hours'!E19</f>
        <v>2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099-25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69</v>
      </c>
    </row>
    <row r="80" spans="1:9" ht="21.75" customHeight="1" x14ac:dyDescent="0.25">
      <c r="A80" s="29" t="s">
        <v>13</v>
      </c>
      <c r="B80" s="31" t="str">
        <f>'Build Plan w Hours'!C20</f>
        <v>.580</v>
      </c>
      <c r="C80" s="40" t="str">
        <f>'Build Plan w Hours'!D20</f>
        <v>Fabricate internal coil supports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68</v>
      </c>
      <c r="B82" s="38">
        <f>'Build Plan w Hours'!E20</f>
        <v>5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099-25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69</v>
      </c>
    </row>
    <row r="86" spans="1:9" ht="21.75" customHeight="1" x14ac:dyDescent="0.25">
      <c r="A86" s="29" t="s">
        <v>13</v>
      </c>
      <c r="B86" s="31" t="str">
        <f>'Build Plan w Hours'!C21</f>
        <v>.590</v>
      </c>
      <c r="C86" s="40" t="str">
        <f>'Build Plan w Hours'!D21</f>
        <v>Fabricate internal coil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68</v>
      </c>
      <c r="B88" s="38">
        <f>'Build Plan w Hours'!E21</f>
        <v>10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099-25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69</v>
      </c>
    </row>
    <row r="92" spans="1:9" ht="21.75" customHeight="1" x14ac:dyDescent="0.25">
      <c r="A92" s="29" t="s">
        <v>13</v>
      </c>
      <c r="B92" s="31" t="str">
        <f>'Build Plan w Hours'!C22</f>
        <v>.635</v>
      </c>
      <c r="C92" s="40" t="str">
        <f>'Build Plan w Hours'!D22</f>
        <v>Install internal coil and supports_x000D_
INCL WELD SUPPORTS TO CONE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68</v>
      </c>
      <c r="B94" s="38">
        <f>'Build Plan w Hours'!E22</f>
        <v>15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099-25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69</v>
      </c>
    </row>
    <row r="98" spans="1:9" ht="21.75" customHeight="1" x14ac:dyDescent="0.25">
      <c r="A98" s="29" t="s">
        <v>13</v>
      </c>
      <c r="B98" s="31" t="str">
        <f>'Build Plan w Hours'!C23</f>
        <v>.QC5</v>
      </c>
      <c r="C98" s="40" t="str">
        <f>'Build Plan w Hours'!D23</f>
        <v>QC Inspection - Internal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68</v>
      </c>
      <c r="B100" s="38">
        <f>'Build Plan w Hours'!E23</f>
        <v>0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099-25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69</v>
      </c>
    </row>
    <row r="104" spans="1:9" ht="21.75" customHeight="1" x14ac:dyDescent="0.25">
      <c r="A104" s="29" t="s">
        <v>13</v>
      </c>
      <c r="B104" s="31" t="str">
        <f>'Build Plan w Hours'!C24</f>
        <v>.800</v>
      </c>
      <c r="C104" s="40" t="str">
        <f>'Build Plan w Hours'!D24</f>
        <v>Move tank to detail rolls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68</v>
      </c>
      <c r="B106" s="38">
        <f>'Build Plan w Hours'!E24</f>
        <v>2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099-25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69</v>
      </c>
    </row>
    <row r="110" spans="1:9" ht="21.75" customHeight="1" x14ac:dyDescent="0.25">
      <c r="A110" s="29" t="s">
        <v>13</v>
      </c>
      <c r="B110" s="31" t="str">
        <f>'Build Plan w Hours'!C25</f>
        <v>.725</v>
      </c>
      <c r="C110" s="40" t="str">
        <f>'Build Plan w Hours'!D25</f>
        <v>Set nozzles in shell - tack_x000D_
N10 &amp; N11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68</v>
      </c>
      <c r="B112" s="38">
        <f>'Build Plan w Hours'!E25</f>
        <v>3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099-25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69</v>
      </c>
    </row>
    <row r="116" spans="1:9" ht="21.75" customHeight="1" x14ac:dyDescent="0.25">
      <c r="A116" s="29" t="s">
        <v>13</v>
      </c>
      <c r="B116" s="31" t="str">
        <f>'Build Plan w Hours'!C26</f>
        <v>.726</v>
      </c>
      <c r="C116" s="40" t="str">
        <f>'Build Plan w Hours'!D26</f>
        <v>Weld shell nozzles, manways, etc._x000D_
N10 &amp; N11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68</v>
      </c>
      <c r="B118" s="38">
        <f>'Build Plan w Hours'!E26</f>
        <v>4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099-25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69</v>
      </c>
    </row>
    <row r="122" spans="1:9" ht="21.75" customHeight="1" x14ac:dyDescent="0.25">
      <c r="A122" s="29" t="s">
        <v>13</v>
      </c>
      <c r="B122" s="31" t="str">
        <f>'Build Plan w Hours'!C27</f>
        <v>.900</v>
      </c>
      <c r="C122" s="40" t="str">
        <f>'Build Plan w Hours'!D27</f>
        <v>Dye pen test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68</v>
      </c>
      <c r="B124" s="38">
        <f>'Build Plan w Hours'!E27</f>
        <v>5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099-25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69</v>
      </c>
    </row>
    <row r="128" spans="1:9" ht="21.75" customHeight="1" x14ac:dyDescent="0.25">
      <c r="A128" s="29" t="s">
        <v>13</v>
      </c>
      <c r="B128" s="31" t="str">
        <f>'Build Plan w Hours'!C28</f>
        <v>.QC6</v>
      </c>
      <c r="C128" s="40" t="str">
        <f>'Build Plan w Hours'!D28</f>
        <v>QC Inspection - Fabrication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68</v>
      </c>
      <c r="B130" s="38">
        <f>'Build Plan w Hours'!E28</f>
        <v>0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099-25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69</v>
      </c>
    </row>
    <row r="134" spans="1:9" ht="21.75" customHeight="1" x14ac:dyDescent="0.25">
      <c r="A134" s="29" t="s">
        <v>13</v>
      </c>
      <c r="B134" s="31" t="str">
        <f>'Build Plan w Hours'!C29</f>
        <v>.801</v>
      </c>
      <c r="C134" s="40" t="str">
        <f>'Build Plan w Hours'!D29</f>
        <v>Move to shop test area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68</v>
      </c>
      <c r="B136" s="38">
        <f>'Build Plan w Hours'!E29</f>
        <v>2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099-25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69</v>
      </c>
    </row>
    <row r="140" spans="1:9" ht="21.75" customHeight="1" x14ac:dyDescent="0.25">
      <c r="A140" s="29" t="s">
        <v>13</v>
      </c>
      <c r="B140" s="31" t="str">
        <f>'Build Plan w Hours'!C30</f>
        <v>.QC7</v>
      </c>
      <c r="C140" s="40" t="str">
        <f>'Build Plan w Hours'!D30</f>
        <v>QC Inspection - Test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68</v>
      </c>
      <c r="B142" s="38">
        <f>'Build Plan w Hours'!E30</f>
        <v>0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099-25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69</v>
      </c>
    </row>
    <row r="146" spans="1:9" ht="21.75" customHeight="1" x14ac:dyDescent="0.25">
      <c r="A146" s="29" t="s">
        <v>13</v>
      </c>
      <c r="B146" s="31" t="str">
        <f>'Build Plan w Hours'!C31</f>
        <v>.OI3</v>
      </c>
      <c r="C146" s="40" t="str">
        <f>'Build Plan w Hours'!D31</f>
        <v>ASME Inspection Test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68</v>
      </c>
      <c r="B148" s="38">
        <f>'Build Plan w Hours'!E31</f>
        <v>0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099-25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69</v>
      </c>
    </row>
    <row r="152" spans="1:9" ht="21.75" customHeight="1" x14ac:dyDescent="0.25">
      <c r="A152" s="29" t="s">
        <v>13</v>
      </c>
      <c r="B152" s="31" t="str">
        <f>'Build Plan w Hours'!C32</f>
        <v>.920</v>
      </c>
      <c r="C152" s="40" t="str">
        <f>'Build Plan w Hours'!D32</f>
        <v>Clean tank complete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68</v>
      </c>
      <c r="B154" s="38">
        <f>'Build Plan w Hours'!E32</f>
        <v>8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099-25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69</v>
      </c>
    </row>
    <row r="158" spans="1:9" ht="21.75" customHeight="1" x14ac:dyDescent="0.25">
      <c r="A158" s="29" t="s">
        <v>13</v>
      </c>
      <c r="B158" s="31" t="str">
        <f>'Build Plan w Hours'!C33</f>
        <v>.QC8</v>
      </c>
      <c r="C158" s="40" t="str">
        <f>'Build Plan w Hours'!D33</f>
        <v>QC Inspection - Clean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68</v>
      </c>
      <c r="B160" s="38">
        <f>'Build Plan w Hours'!E33</f>
        <v>0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099-25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69</v>
      </c>
    </row>
    <row r="164" spans="1:9" ht="21.75" customHeight="1" x14ac:dyDescent="0.25">
      <c r="A164" s="29" t="s">
        <v>13</v>
      </c>
      <c r="B164" s="31" t="str">
        <f>'Build Plan w Hours'!C34</f>
        <v>.940</v>
      </c>
      <c r="C164" s="40" t="str">
        <f>'Build Plan w Hours'!D34</f>
        <v>Prepare tank for shipment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68</v>
      </c>
      <c r="B166" s="38">
        <f>'Build Plan w Hours'!E34</f>
        <v>1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099-25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69</v>
      </c>
    </row>
    <row r="170" spans="1:9" ht="21.75" customHeight="1" x14ac:dyDescent="0.25">
      <c r="A170" s="29" t="s">
        <v>13</v>
      </c>
      <c r="B170" s="31" t="str">
        <f>'Build Plan w Hours'!C35</f>
        <v>.QC95</v>
      </c>
      <c r="C170" s="40" t="str">
        <f>'Build Plan w Hours'!D35</f>
        <v>QC Inspection - Final &amp; Loose Items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68</v>
      </c>
      <c r="B172" s="38">
        <f>'Build Plan w Hours'!E35</f>
        <v>0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099-25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69</v>
      </c>
    </row>
    <row r="176" spans="1:9" ht="21.75" customHeight="1" x14ac:dyDescent="0.25">
      <c r="A176" s="29" t="s">
        <v>13</v>
      </c>
      <c r="B176" s="31" t="str">
        <f>'Build Plan w Hours'!C36</f>
        <v>.960</v>
      </c>
      <c r="C176" s="40" t="str">
        <f>'Build Plan w Hours'!D36</f>
        <v>Load on truck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68</v>
      </c>
      <c r="B178" s="38">
        <f>'Build Plan w Hours'!E36</f>
        <v>3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099-25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69</v>
      </c>
    </row>
    <row r="182" spans="1:9" ht="21.75" customHeight="1" x14ac:dyDescent="0.25">
      <c r="A182" s="29" t="s">
        <v>13</v>
      </c>
      <c r="B182" s="31">
        <f>'Build Plan w Hours'!C37</f>
        <v>0</v>
      </c>
      <c r="C182" s="40">
        <f>'Build Plan w Hours'!D37</f>
        <v>0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68</v>
      </c>
      <c r="B184" s="38">
        <f>'Build Plan w Hours'!E37</f>
        <v>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099-25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69</v>
      </c>
    </row>
    <row r="188" spans="1:9" ht="21.75" customHeight="1" x14ac:dyDescent="0.25">
      <c r="A188" s="29" t="s">
        <v>13</v>
      </c>
      <c r="B188" s="31">
        <f>'Build Plan w Hours'!C38</f>
        <v>0</v>
      </c>
      <c r="C188" s="40">
        <f>'Build Plan w Hours'!D38</f>
        <v>0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68</v>
      </c>
      <c r="B190" s="38" t="str">
        <f>'Build Plan w Hours'!E38</f>
        <v/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099-25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69</v>
      </c>
    </row>
    <row r="194" spans="1:9" ht="21.75" customHeight="1" x14ac:dyDescent="0.25">
      <c r="A194" s="29" t="s">
        <v>13</v>
      </c>
      <c r="B194" s="31">
        <f>'Build Plan w Hours'!C39</f>
        <v>0</v>
      </c>
      <c r="C194" s="40">
        <f>'Build Plan w Hours'!D39</f>
        <v>0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68</v>
      </c>
      <c r="B196" s="38">
        <f>'Build Plan w Hours'!E39</f>
        <v>0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099-25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69</v>
      </c>
    </row>
    <row r="200" spans="1:9" ht="21.75" customHeight="1" x14ac:dyDescent="0.25">
      <c r="A200" s="29" t="s">
        <v>13</v>
      </c>
      <c r="B200" s="31">
        <f>'Build Plan w Hours'!C40</f>
        <v>0</v>
      </c>
      <c r="C200" s="40">
        <f>'Build Plan w Hours'!D40</f>
        <v>0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68</v>
      </c>
      <c r="B202" s="38">
        <f>'Build Plan w Hours'!E40</f>
        <v>0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099-25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69</v>
      </c>
    </row>
    <row r="206" spans="1:9" ht="21.75" customHeight="1" x14ac:dyDescent="0.25">
      <c r="A206" s="29" t="s">
        <v>13</v>
      </c>
      <c r="B206" s="31">
        <f>'Build Plan w Hours'!C41</f>
        <v>0</v>
      </c>
      <c r="C206" s="40">
        <f>'Build Plan w Hours'!D41</f>
        <v>0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68</v>
      </c>
      <c r="B208" s="38">
        <f>'Build Plan w Hours'!E41</f>
        <v>0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099-25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69</v>
      </c>
    </row>
    <row r="212" spans="1:9" ht="21.75" customHeight="1" x14ac:dyDescent="0.25">
      <c r="A212" s="29" t="s">
        <v>13</v>
      </c>
      <c r="B212" s="31">
        <f>'Build Plan w Hours'!C42</f>
        <v>0</v>
      </c>
      <c r="C212" s="40">
        <f>'Build Plan w Hours'!D42</f>
        <v>0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68</v>
      </c>
      <c r="B214" s="38">
        <f>'Build Plan w Hours'!E42</f>
        <v>0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099-25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69</v>
      </c>
    </row>
    <row r="218" spans="1:9" ht="21.75" customHeight="1" x14ac:dyDescent="0.25">
      <c r="A218" s="29" t="s">
        <v>13</v>
      </c>
      <c r="B218" s="31">
        <f>'Build Plan w Hours'!C43</f>
        <v>0</v>
      </c>
      <c r="C218" s="40">
        <f>'Build Plan w Hours'!D43</f>
        <v>0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68</v>
      </c>
      <c r="B220" s="38">
        <f>'Build Plan w Hours'!E43</f>
        <v>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099-25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69</v>
      </c>
    </row>
    <row r="224" spans="1:9" ht="21.75" customHeight="1" x14ac:dyDescent="0.25">
      <c r="A224" s="29" t="s">
        <v>13</v>
      </c>
      <c r="B224" s="31">
        <f>'Build Plan w Hours'!C44</f>
        <v>0</v>
      </c>
      <c r="C224" s="40">
        <f>'Build Plan w Hours'!D44</f>
        <v>0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68</v>
      </c>
      <c r="B226" s="38">
        <f>'Build Plan w Hours'!E44</f>
        <v>0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099-25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69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68</v>
      </c>
      <c r="B232" s="38">
        <f>'Build Plan w Hours'!E45</f>
        <v>0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099-25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69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68</v>
      </c>
      <c r="B238" s="38">
        <f>'Build Plan w Hours'!E46</f>
        <v>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099-25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69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68</v>
      </c>
      <c r="B244" s="38">
        <f>'Build Plan w Hours'!E47</f>
        <v>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099-25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69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68</v>
      </c>
      <c r="B250" s="38">
        <f>'Build Plan w Hours'!E48</f>
        <v>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099-25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69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68</v>
      </c>
      <c r="B256" s="38">
        <f>'Build Plan w Hours'!E49</f>
        <v>0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099-25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69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68</v>
      </c>
      <c r="B262" s="38">
        <f>'Build Plan w Hours'!E50</f>
        <v>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099-25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69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68</v>
      </c>
      <c r="B268" s="38">
        <f>'Build Plan w Hours'!E51</f>
        <v>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099-25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69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68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099-25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69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68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099-25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69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68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099-25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69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68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099-25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69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68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099-25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69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68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099-25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69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68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099-25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69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68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099-25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69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68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099-25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69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68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099-25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69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68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099-25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69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68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099-25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69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68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099-25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69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68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099-25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69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68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099-25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69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68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099-25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69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68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099-25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69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68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099-25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69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68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099-25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69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68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099-25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69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68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099-25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69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68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099-25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69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68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099-25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69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68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099-25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69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68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099-25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69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68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099-25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69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68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099-25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69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68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099-25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69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68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099-25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69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68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099-25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69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68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099-25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69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68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099-25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69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68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099-25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69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68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099-25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69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68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099-25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69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099-25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69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099-25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69</v>
      </c>
    </row>
    <row r="14" spans="1:9" ht="21.75" customHeight="1" x14ac:dyDescent="0.25">
      <c r="A14" s="29" t="s">
        <v>13</v>
      </c>
      <c r="B14" s="31" t="str">
        <f>'Build Plan w Hours'!C9</f>
        <v>.155</v>
      </c>
      <c r="C14" s="40" t="str">
        <f>'Build Plan w Hours'!D9</f>
        <v>Burn and clean parts:  lugs, supports, repads, base ring, etc. (CHECK!)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099-25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69</v>
      </c>
    </row>
    <row r="20" spans="1:9" ht="21.75" customHeight="1" x14ac:dyDescent="0.25">
      <c r="A20" s="29" t="s">
        <v>13</v>
      </c>
      <c r="B20" s="31" t="str">
        <f>'Build Plan w Hours'!C10</f>
        <v>.156</v>
      </c>
      <c r="C20" s="40">
        <f>'Build Plan w Hours'!D10</f>
        <v>0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099-25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69</v>
      </c>
    </row>
    <row r="26" spans="1:9" ht="21.75" customHeight="1" x14ac:dyDescent="0.25">
      <c r="A26" s="29" t="s">
        <v>13</v>
      </c>
      <c r="B26" s="31" t="str">
        <f>'Build Plan w Hours'!C11</f>
        <v>.250</v>
      </c>
      <c r="C26" s="40" t="str">
        <f>'Build Plan w Hours'!D11</f>
        <v>Roll pipe - internal coil_x000D_
ROLL &amp; WELD PIPE FOR INTERNAL COIL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099-25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69</v>
      </c>
    </row>
    <row r="32" spans="1:9" ht="21.75" customHeight="1" x14ac:dyDescent="0.25">
      <c r="A32" s="29" t="s">
        <v>13</v>
      </c>
      <c r="B32" s="31" t="str">
        <f>'Build Plan w Hours'!C12</f>
        <v>.261</v>
      </c>
      <c r="C32" s="40" t="str">
        <f>'Build Plan w Hours'!D12</f>
        <v>Miscellaneous Fabrication - Braces, Mounting Plates, Cone Outlet Necks_x000D_
FORM (4) LOWER CONE SECTION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099-25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69</v>
      </c>
    </row>
    <row r="38" spans="1:9" ht="21.75" customHeight="1" x14ac:dyDescent="0.25">
      <c r="A38" s="29" t="s">
        <v>13</v>
      </c>
      <c r="B38" s="31" t="str">
        <f>'Build Plan w Hours'!C13</f>
        <v>.QC3</v>
      </c>
      <c r="C38" s="40" t="str">
        <f>'Build Plan w Hours'!D13</f>
        <v>UT Shells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099-25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69</v>
      </c>
    </row>
    <row r="44" spans="1:9" ht="21.75" customHeight="1" x14ac:dyDescent="0.25">
      <c r="A44" s="29" t="s">
        <v>13</v>
      </c>
      <c r="B44" s="31" t="str">
        <f>'Build Plan w Hours'!C14</f>
        <v>.305</v>
      </c>
      <c r="C44" s="40" t="str">
        <f>'Build Plan w Hours'!D14</f>
        <v>Shells: bring in plate, square, trim and clean_x000D_
PREP UPPER CONE SECTION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099-25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69</v>
      </c>
    </row>
    <row r="50" spans="1:9" ht="21.75" customHeight="1" x14ac:dyDescent="0.25">
      <c r="A50" s="29" t="s">
        <v>13</v>
      </c>
      <c r="B50" s="31" t="str">
        <f>'Build Plan w Hours'!C15</f>
        <v>.315</v>
      </c>
      <c r="C50" s="40" t="str">
        <f>'Build Plan w Hours'!D15</f>
        <v>Roll shells, tack and weld inside seams_x000D_
SLIP ROLL UPPER CONE SECTION &amp; WELD INSIDE SEAMS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099-25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69</v>
      </c>
    </row>
    <row r="56" spans="1:9" ht="21.75" customHeight="1" x14ac:dyDescent="0.25">
      <c r="A56" s="29" t="s">
        <v>13</v>
      </c>
      <c r="B56" s="31" t="str">
        <f>'Build Plan w Hours'!C16</f>
        <v>.450</v>
      </c>
      <c r="C56" s="40" t="str">
        <f>'Build Plan w Hours'!D16</f>
        <v>Build bottom head/cone_x000D_
ASSEMBLE CONE SECTIONS &amp; WELD COMPLETE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099-25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69</v>
      </c>
    </row>
    <row r="62" spans="1:9" ht="21.75" customHeight="1" x14ac:dyDescent="0.25">
      <c r="A62" s="29" t="s">
        <v>13</v>
      </c>
      <c r="B62" s="31" t="str">
        <f>'Build Plan w Hours'!C17</f>
        <v>.QC4</v>
      </c>
      <c r="C62" s="40" t="str">
        <f>'Build Plan w Hours'!D17</f>
        <v>QC Inspection - Top/Bottom/Cones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099-25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69</v>
      </c>
    </row>
    <row r="68" spans="1:9" ht="21.75" customHeight="1" x14ac:dyDescent="0.25">
      <c r="A68" s="29" t="s">
        <v>13</v>
      </c>
      <c r="B68" s="31" t="str">
        <f>'Build Plan w Hours'!C18</f>
        <v>.465</v>
      </c>
      <c r="C68" s="40" t="str">
        <f>'Build Plan w Hours'!D18</f>
        <v>Set  nozzles in bottom head - tack_x000D_
N9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099-25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69</v>
      </c>
    </row>
    <row r="74" spans="1:9" ht="21.75" customHeight="1" x14ac:dyDescent="0.25">
      <c r="A74" s="29" t="s">
        <v>13</v>
      </c>
      <c r="B74" s="31" t="str">
        <f>'Build Plan w Hours'!C19</f>
        <v>.466</v>
      </c>
      <c r="C74" s="40" t="str">
        <f>'Build Plan w Hours'!D19</f>
        <v>Weld nozzles in bottom head; weld complete_x000D_
N9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099-25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69</v>
      </c>
    </row>
    <row r="80" spans="1:9" ht="21.75" customHeight="1" x14ac:dyDescent="0.25">
      <c r="A80" s="29" t="s">
        <v>13</v>
      </c>
      <c r="B80" s="31" t="str">
        <f>'Build Plan w Hours'!C20</f>
        <v>.580</v>
      </c>
      <c r="C80" s="40" t="str">
        <f>'Build Plan w Hours'!D20</f>
        <v>Fabricate internal coil supports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099-25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69</v>
      </c>
    </row>
    <row r="86" spans="1:9" ht="21.75" customHeight="1" x14ac:dyDescent="0.25">
      <c r="A86" s="29" t="s">
        <v>13</v>
      </c>
      <c r="B86" s="31" t="str">
        <f>'Build Plan w Hours'!C21</f>
        <v>.590</v>
      </c>
      <c r="C86" s="40" t="str">
        <f>'Build Plan w Hours'!D21</f>
        <v>Fabricate internal coil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099-25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69</v>
      </c>
    </row>
    <row r="92" spans="1:9" ht="21.75" customHeight="1" x14ac:dyDescent="0.25">
      <c r="A92" s="29" t="s">
        <v>13</v>
      </c>
      <c r="B92" s="31" t="str">
        <f>'Build Plan w Hours'!C22</f>
        <v>.635</v>
      </c>
      <c r="C92" s="40" t="str">
        <f>'Build Plan w Hours'!D22</f>
        <v>Install internal coil and supports_x000D_
INCL WELD SUPPORTS TO CONE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099-25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69</v>
      </c>
    </row>
    <row r="98" spans="1:9" ht="21.75" customHeight="1" x14ac:dyDescent="0.25">
      <c r="A98" s="29" t="s">
        <v>13</v>
      </c>
      <c r="B98" s="31" t="str">
        <f>'Build Plan w Hours'!C23</f>
        <v>.QC5</v>
      </c>
      <c r="C98" s="40" t="str">
        <f>'Build Plan w Hours'!D23</f>
        <v>QC Inspection - Internal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099-25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69</v>
      </c>
    </row>
    <row r="104" spans="1:9" ht="21.75" customHeight="1" x14ac:dyDescent="0.25">
      <c r="A104" s="29" t="s">
        <v>13</v>
      </c>
      <c r="B104" s="31" t="str">
        <f>'Build Plan w Hours'!C24</f>
        <v>.800</v>
      </c>
      <c r="C104" s="40" t="str">
        <f>'Build Plan w Hours'!D24</f>
        <v>Move tank to detail rolls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099-25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69</v>
      </c>
    </row>
    <row r="110" spans="1:9" ht="21.75" customHeight="1" x14ac:dyDescent="0.25">
      <c r="A110" s="29" t="s">
        <v>13</v>
      </c>
      <c r="B110" s="31" t="str">
        <f>'Build Plan w Hours'!C25</f>
        <v>.725</v>
      </c>
      <c r="C110" s="40" t="str">
        <f>'Build Plan w Hours'!D25</f>
        <v>Set nozzles in shell - tack_x000D_
N10 &amp; N11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099-25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69</v>
      </c>
    </row>
    <row r="116" spans="1:9" ht="21.75" customHeight="1" x14ac:dyDescent="0.25">
      <c r="A116" s="29" t="s">
        <v>13</v>
      </c>
      <c r="B116" s="31" t="str">
        <f>'Build Plan w Hours'!C26</f>
        <v>.726</v>
      </c>
      <c r="C116" s="40" t="str">
        <f>'Build Plan w Hours'!D26</f>
        <v>Weld shell nozzles, manways, etc._x000D_
N10 &amp; N11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099-25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69</v>
      </c>
    </row>
    <row r="122" spans="1:9" ht="21.75" customHeight="1" x14ac:dyDescent="0.25">
      <c r="A122" s="29" t="s">
        <v>13</v>
      </c>
      <c r="B122" s="31" t="str">
        <f>'Build Plan w Hours'!C27</f>
        <v>.900</v>
      </c>
      <c r="C122" s="40" t="str">
        <f>'Build Plan w Hours'!D27</f>
        <v>Dye pen test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099-25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69</v>
      </c>
    </row>
    <row r="128" spans="1:9" ht="21.75" customHeight="1" x14ac:dyDescent="0.25">
      <c r="A128" s="29" t="s">
        <v>13</v>
      </c>
      <c r="B128" s="31" t="str">
        <f>'Build Plan w Hours'!C28</f>
        <v>.QC6</v>
      </c>
      <c r="C128" s="40" t="str">
        <f>'Build Plan w Hours'!D28</f>
        <v>QC Inspection - Fabrication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099-25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69</v>
      </c>
    </row>
    <row r="134" spans="1:9" ht="21.75" customHeight="1" x14ac:dyDescent="0.25">
      <c r="A134" s="29" t="s">
        <v>13</v>
      </c>
      <c r="B134" s="31" t="str">
        <f>'Build Plan w Hours'!C29</f>
        <v>.801</v>
      </c>
      <c r="C134" s="40" t="str">
        <f>'Build Plan w Hours'!D29</f>
        <v>Move to shop test area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099-25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69</v>
      </c>
    </row>
    <row r="140" spans="1:9" ht="21.75" customHeight="1" x14ac:dyDescent="0.25">
      <c r="A140" s="29" t="s">
        <v>13</v>
      </c>
      <c r="B140" s="31" t="str">
        <f>'Build Plan w Hours'!C30</f>
        <v>.QC7</v>
      </c>
      <c r="C140" s="40" t="str">
        <f>'Build Plan w Hours'!D30</f>
        <v>QC Inspection - Test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099-25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69</v>
      </c>
    </row>
    <row r="146" spans="1:9" ht="21.75" customHeight="1" x14ac:dyDescent="0.25">
      <c r="A146" s="29" t="s">
        <v>13</v>
      </c>
      <c r="B146" s="31" t="str">
        <f>'Build Plan w Hours'!C31</f>
        <v>.OI3</v>
      </c>
      <c r="C146" s="40" t="str">
        <f>'Build Plan w Hours'!D31</f>
        <v>ASME Inspection Test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099-25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69</v>
      </c>
    </row>
    <row r="152" spans="1:9" ht="21.75" customHeight="1" x14ac:dyDescent="0.25">
      <c r="A152" s="29" t="s">
        <v>13</v>
      </c>
      <c r="B152" s="31" t="str">
        <f>'Build Plan w Hours'!C32</f>
        <v>.920</v>
      </c>
      <c r="C152" s="40" t="str">
        <f>'Build Plan w Hours'!D32</f>
        <v>Clean tank complete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099-25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69</v>
      </c>
    </row>
    <row r="158" spans="1:9" ht="21.75" customHeight="1" x14ac:dyDescent="0.25">
      <c r="A158" s="29" t="s">
        <v>13</v>
      </c>
      <c r="B158" s="31" t="str">
        <f>'Build Plan w Hours'!C33</f>
        <v>.QC8</v>
      </c>
      <c r="C158" s="40" t="str">
        <f>'Build Plan w Hours'!D33</f>
        <v>QC Inspection - Clean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099-25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69</v>
      </c>
    </row>
    <row r="164" spans="1:9" ht="21.75" customHeight="1" x14ac:dyDescent="0.25">
      <c r="A164" s="29" t="s">
        <v>13</v>
      </c>
      <c r="B164" s="31" t="str">
        <f>'Build Plan w Hours'!C34</f>
        <v>.940</v>
      </c>
      <c r="C164" s="40" t="str">
        <f>'Build Plan w Hours'!D34</f>
        <v>Prepare tank for shipment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099-25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69</v>
      </c>
    </row>
    <row r="170" spans="1:9" ht="21.75" customHeight="1" x14ac:dyDescent="0.25">
      <c r="A170" s="29" t="s">
        <v>13</v>
      </c>
      <c r="B170" s="31" t="str">
        <f>'Build Plan w Hours'!C35</f>
        <v>.QC95</v>
      </c>
      <c r="C170" s="40" t="str">
        <f>'Build Plan w Hours'!D35</f>
        <v>QC Inspection - Final &amp; Loose Items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099-25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69</v>
      </c>
    </row>
    <row r="176" spans="1:9" ht="21.75" customHeight="1" x14ac:dyDescent="0.25">
      <c r="A176" s="29" t="s">
        <v>13</v>
      </c>
      <c r="B176" s="31" t="str">
        <f>'Build Plan w Hours'!C36</f>
        <v>.960</v>
      </c>
      <c r="C176" s="40" t="str">
        <f>'Build Plan w Hours'!D36</f>
        <v>Load on truck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099-25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69</v>
      </c>
    </row>
    <row r="182" spans="1:9" ht="21.75" customHeight="1" x14ac:dyDescent="0.25">
      <c r="A182" s="29" t="s">
        <v>13</v>
      </c>
      <c r="B182" s="31">
        <f>'Build Plan w Hours'!C37</f>
        <v>0</v>
      </c>
      <c r="C182" s="40">
        <f>'Build Plan w Hours'!D37</f>
        <v>0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099-25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69</v>
      </c>
    </row>
    <row r="188" spans="1:9" ht="21.75" customHeight="1" x14ac:dyDescent="0.25">
      <c r="A188" s="29" t="s">
        <v>13</v>
      </c>
      <c r="B188" s="31">
        <f>'Build Plan w Hours'!C38</f>
        <v>0</v>
      </c>
      <c r="C188" s="40">
        <f>'Build Plan w Hours'!D38</f>
        <v>0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099-25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69</v>
      </c>
    </row>
    <row r="194" spans="1:9" ht="21.75" customHeight="1" x14ac:dyDescent="0.25">
      <c r="A194" s="29" t="s">
        <v>13</v>
      </c>
      <c r="B194" s="31">
        <f>'Build Plan w Hours'!C39</f>
        <v>0</v>
      </c>
      <c r="C194" s="40">
        <f>'Build Plan w Hours'!D39</f>
        <v>0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099-25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69</v>
      </c>
    </row>
    <row r="200" spans="1:9" ht="21.75" customHeight="1" x14ac:dyDescent="0.25">
      <c r="A200" s="29" t="s">
        <v>13</v>
      </c>
      <c r="B200" s="31">
        <f>'Build Plan w Hours'!C40</f>
        <v>0</v>
      </c>
      <c r="C200" s="40">
        <f>'Build Plan w Hours'!D40</f>
        <v>0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099-25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69</v>
      </c>
    </row>
    <row r="206" spans="1:9" ht="21.75" customHeight="1" x14ac:dyDescent="0.25">
      <c r="A206" s="29" t="s">
        <v>13</v>
      </c>
      <c r="B206" s="31">
        <f>'Build Plan w Hours'!C41</f>
        <v>0</v>
      </c>
      <c r="C206" s="40">
        <f>'Build Plan w Hours'!D41</f>
        <v>0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099-25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69</v>
      </c>
    </row>
    <row r="212" spans="1:9" ht="21.75" customHeight="1" x14ac:dyDescent="0.25">
      <c r="A212" s="29" t="s">
        <v>13</v>
      </c>
      <c r="B212" s="31">
        <f>'Build Plan w Hours'!C42</f>
        <v>0</v>
      </c>
      <c r="C212" s="40">
        <f>'Build Plan w Hours'!D42</f>
        <v>0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099-25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69</v>
      </c>
    </row>
    <row r="218" spans="1:9" ht="21.75" customHeight="1" x14ac:dyDescent="0.25">
      <c r="A218" s="29" t="s">
        <v>13</v>
      </c>
      <c r="B218" s="31">
        <f>'Build Plan w Hours'!C43</f>
        <v>0</v>
      </c>
      <c r="C218" s="40">
        <f>'Build Plan w Hours'!D43</f>
        <v>0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099-25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69</v>
      </c>
    </row>
    <row r="224" spans="1:9" ht="21.75" customHeight="1" x14ac:dyDescent="0.25">
      <c r="A224" s="29" t="s">
        <v>13</v>
      </c>
      <c r="B224" s="31">
        <f>'Build Plan w Hours'!C44</f>
        <v>0</v>
      </c>
      <c r="C224" s="40">
        <f>'Build Plan w Hours'!D44</f>
        <v>0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099-25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69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099-25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69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099-25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69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099-25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69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099-25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69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099-25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69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099-25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69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099-25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69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099-25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69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099-25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69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099-25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69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099-25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69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099-25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69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099-25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69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099-25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69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099-25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69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099-25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69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099-25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69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099-25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69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099-25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69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099-25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69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099-25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69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099-25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69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099-25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69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099-25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69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099-25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69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099-25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69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099-25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69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099-25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69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099-25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69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099-25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69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099-25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69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099-25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69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099-25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69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099-25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69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099-25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69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099-25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69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099-25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69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099-25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69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099-25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69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099-25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69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099-25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69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099-25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69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099-25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69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2026-01-21T13:59:42Z</cp:lastPrinted>
  <dcterms:created xsi:type="dcterms:W3CDTF">2016-06-28T20:53:17Z</dcterms:created>
  <dcterms:modified xsi:type="dcterms:W3CDTF">2026-01-21T14:03:11Z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