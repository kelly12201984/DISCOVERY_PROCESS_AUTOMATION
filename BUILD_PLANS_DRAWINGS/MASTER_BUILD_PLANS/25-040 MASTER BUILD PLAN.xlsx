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40-25 - Nak Kiln Services - HR 120 Shell\"/>
    </mc:Choice>
  </mc:AlternateContent>
  <xr:revisionPtr revIDLastSave="0" documentId="8_{79449B31-FC89-4F7E-959A-AF3B3FA74B0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Hours'!$A$1:$H$27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<sst xmlns="http://schemas.openxmlformats.org/spreadsheetml/2006/main" count="1482" uniqueCount="129">
  <si>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</si>
  <si>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</si>
  <si>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</si>
  <si>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</si>
  <si>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</si>
  <si>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</si>
  <si>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</si>
  <si>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</si>
  <si>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</si>
  <si>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</si>
  <si>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</si>
  <si>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</si>
  <si>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</si>
  <si>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</si>
  <si>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</si>
  <si>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</si>
  <si>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</si>
  <si>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</si>
  <si>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</si>
  <si>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</si>
  <si>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</si>
  <si>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</si>
  <si>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</si>
  <si>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</si>
  <si>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</si>
  <si>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</si>
  <si>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</si>
  <si>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</si>
  <si>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</si>
  <si>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</si>
  <si>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</si>
  <si>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</si>
  <si>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</si>
  <si>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</si>
  <si>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</si>
  <si>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</si>
  <si>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</si>
  <si>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</si>
  <si>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</si>
  <si>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</si>
  <si>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</si>
  <si>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</si>
  <si>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</si>
  <si>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</si>
  <si>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</si>
  <si>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</si>
  <si>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</si>
  <si>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</si>
  <si>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</si>
  <si>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</si>
  <si>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</si>
  <si>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</si>
  <si>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</si>
  <si>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</si>
  <si>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</si>
  <si>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</si>
  <si>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</si>
  <si>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</si>
  <si>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</si>
  <si>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</si>
  <si>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</si>
  <si>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</si>
  <si>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</si>
  <si>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</si>
  <si>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</si>
  <si>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</si>
  <si>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</si>
  <si>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</si>
  <si>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</si>
  <si>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</si>
  <si>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</si>
  <si>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Burn and clean parts:  lugs, supports, repads, base ring, etc. (CHECK!)</t>
  </si>
  <si>
    <t>UT Shells</t>
  </si>
  <si>
    <t>.QC3</t>
  </si>
  <si>
    <t>BI, SQ, T&amp;C Shells</t>
  </si>
  <si>
    <t>.305</t>
  </si>
  <si>
    <t>Roll Shell, Tack-Weld I/S</t>
  </si>
  <si>
    <t>.315</t>
  </si>
  <si>
    <t>Tack Shell Courses</t>
  </si>
  <si>
    <t>.605</t>
  </si>
  <si>
    <t>Weld Inside Round Seams</t>
  </si>
  <si>
    <t>.610</t>
  </si>
  <si>
    <t>QC Inspection - Internal</t>
  </si>
  <si>
    <t>.QC5</t>
  </si>
  <si>
    <t>MOVE TANK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</si>
  <si>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</si>
  <si>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</si>
  <si>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</si>
  <si>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</si>
  <si>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</si>
  <si>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</si>
  <si>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</si>
  <si>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</si>
  <si>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</si>
  <si>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</si>
  <si>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</si>
  <si>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</si>
  <si>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</si>
  <si>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</si>
  <si>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</si>
  <si>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</si>
  <si>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</si>
  <si>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</si>
  <si>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</si>
  <si>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</si>
  <si>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</si>
  <si>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Misc Fabrication</t>
  </si>
  <si>
    <t>.261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</si>
  <si>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</si>
  <si>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</si>
  <si>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</si>
  <si>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</si>
  <si>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</si>
  <si>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</si>
  <si>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</si>
  <si>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HR 120 SHELL</t>
  </si>
  <si>
    <t>CMG250203-1</t>
  </si>
  <si>
    <t>8939.2</t>
  </si>
  <si>
    <t>Miscellaneous Fabrication - Braces, Mounting Plates, Cone Outlet Necks_x000D_
FORM (28) ANGLES</t>
  </si>
  <si>
    <t>Shells: bring in plate, square, trim and clean_x000D_
PREP (10) SHELL SECTIONS</t>
  </si>
  <si>
    <t>Bevel Shell Plates</t>
  </si>
  <si>
    <t>.310</t>
  </si>
  <si>
    <t>Bevel shell plates</t>
  </si>
  <si>
    <t>Roll shells, tack and weld inside seams_x000D_
ROLL (10) SHELL SECTIONS, WELD LONG SEAM W COBOT</t>
  </si>
  <si>
    <t>Install internals - wear plates, rings, clips, etc._x000D_
INSTALL (28) ANGLE SECTIONS</t>
  </si>
  <si>
    <t>Test tank_x000D_
VACUUM BOX</t>
  </si>
  <si>
    <t>ASME Inspection Test</t>
  </si>
  <si>
    <t>.OI3</t>
  </si>
  <si>
    <t>040-25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</si>
</sst>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2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128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HR 120 SHELL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.156</v>
      </c>
      <c r="D7" s="22">
        <f>'Sheet2-PASTE HERE!'!K17</f>
        <v>0</v>
      </c>
      <c r="E7" s="13">
        <f>'Sheet2-PASTE HERE!'!F17</f>
        <v>10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.261</v>
      </c>
      <c r="D8" s="22" t="str">
        <f>'Sheet2-PASTE HERE!'!K18</f>
        <v>Miscellaneous Fabrication - Braces, Mounting Plates, Cone Outlet Necks_x000D_
FORM (28) ANGLES</v>
      </c>
      <c r="E8" s="13">
        <f>'Sheet2-PASTE HERE!'!F18</f>
        <v>5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INSPECTION</v>
      </c>
      <c r="B9" s="11"/>
      <c r="C9" s="17" t="str">
        <f>'Sheet2-PASTE HERE!'!I19</f>
        <v>.QC3</v>
      </c>
      <c r="D9" s="22" t="str">
        <f>'Sheet2-PASTE HERE!'!K19</f>
        <v>UT Shells</v>
      </c>
      <c r="E9" s="13">
        <f>'Sheet2-PASTE HERE!'!F19</f>
        <v>0</v>
      </c>
      <c r="F9" s="12"/>
      <c r="G9" s="12"/>
      <c r="H9" s="12"/>
      <c r="K9">
        <f t="shared" si="0"/>
        <v>1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.305</v>
      </c>
      <c r="D10" s="22" t="str">
        <f>'Sheet2-PASTE HERE!'!K20</f>
        <v>Shells: bring in plate, square, trim and clean_x000D_
PREP (10) SHELL SECTIONS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.310</v>
      </c>
      <c r="D11" s="22" t="str">
        <f>'Sheet2-PASTE HERE!'!K21</f>
        <v>Bevel shell plates</v>
      </c>
      <c r="E11" s="13">
        <f>'Sheet2-PASTE HERE!'!F21</f>
        <v>30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.315</v>
      </c>
      <c r="D12" s="22" t="str">
        <f>'Sheet2-PASTE HERE!'!K22</f>
        <v>Roll shells, tack and weld inside seams_x000D_
ROLL (10) SHELL SECTIONS, WELD LONG SEAM W COBOT</v>
      </c>
      <c r="E12" s="13">
        <f>'Sheet2-PASTE HERE!'!F22</f>
        <v>30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FIT</v>
      </c>
      <c r="B13" s="11"/>
      <c r="C13" s="17" t="str">
        <f>'Sheet2-PASTE HERE!'!I23</f>
        <v>.605</v>
      </c>
      <c r="D13" s="22" t="str">
        <f>'Sheet2-PASTE HERE!'!K23</f>
        <v>Tack shell courses together</v>
      </c>
      <c r="E13" s="13">
        <f>'Sheet2-PASTE HERE!'!F23</f>
        <v>14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FIT</v>
      </c>
      <c r="B14" s="11"/>
      <c r="C14" s="17" t="str">
        <f>'Sheet2-PASTE HERE!'!I24</f>
        <v>.610</v>
      </c>
      <c r="D14" s="22" t="str">
        <f>'Sheet2-PASTE HERE!'!K24</f>
        <v>Weld inside round seams</v>
      </c>
      <c r="E14" s="13">
        <f>'Sheet2-PASTE HERE!'!F24</f>
        <v>21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.630</v>
      </c>
      <c r="D15" s="22" t="str">
        <f>'Sheet2-PASTE HERE!'!K25</f>
        <v>Install internals - wear plates, rings, clips, etc._x000D_
INSTALL (28) ANGLE SECTIONS</v>
      </c>
      <c r="E15" s="13">
        <f>'Sheet2-PASTE HERE!'!F25</f>
        <v>14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.QC5</v>
      </c>
      <c r="D16" s="22" t="str">
        <f>'Sheet2-PASTE HERE!'!K26</f>
        <v>QC Inspection - Internal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.645</v>
      </c>
      <c r="D17" s="22" t="str">
        <f>'Sheet2-PASTE HERE!'!K27</f>
        <v>Weld all outside seams</v>
      </c>
      <c r="E17" s="13">
        <f>'Sheet2-PASTE HERE!'!F27</f>
        <v>21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.770</v>
      </c>
      <c r="D18" s="22" t="str">
        <f>'Sheet2-PASTE HERE!'!K28</f>
        <v>Inspect tank, make repairs, get QC inspector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.QC6</v>
      </c>
      <c r="D19" s="22" t="str">
        <f>'Sheet2-PASTE HERE!'!K29</f>
        <v>QC Inspection - Fabrication</v>
      </c>
      <c r="E19" s="13">
        <f>'Sheet2-PASTE HERE!'!F29</f>
        <v>0</v>
      </c>
      <c r="F19" s="12"/>
      <c r="G19" s="12"/>
      <c r="H19" s="12"/>
      <c r="K19">
        <f t="shared" si="2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MOVE TANK</v>
      </c>
      <c r="B20" s="11"/>
      <c r="C20" s="17" t="str">
        <f>'Sheet2-PASTE HERE!'!I30</f>
        <v>.801</v>
      </c>
      <c r="D20" s="22" t="str">
        <f>'Sheet2-PASTE HERE!'!K30</f>
        <v>Move to shop test area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FINISHING</v>
      </c>
      <c r="B21" s="11"/>
      <c r="C21" s="17" t="str">
        <f>'Sheet2-PASTE HERE!'!I31</f>
        <v>.910</v>
      </c>
      <c r="D21" s="22" t="str">
        <f>'Sheet2-PASTE HERE!'!K31</f>
        <v>Test tank_x000D_
VACUUM BOX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.QC7</v>
      </c>
      <c r="D22" s="22" t="str">
        <f>'Sheet2-PASTE HERE!'!K32</f>
        <v>QC Inspection - Test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.OI3</v>
      </c>
      <c r="D23" s="22" t="str">
        <f>'Sheet2-PASTE HERE!'!K33</f>
        <v>ASME Inspection Test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1</v>
      </c>
    </row>
    <row r="24" spans="1:12" ht="26.25" customHeight="1" x14ac:dyDescent="0.2">
      <c r="A24" s="10" t="str">
        <f>'Sheet2-PASTE HERE!'!A34</f>
        <v>FINISHING</v>
      </c>
      <c r="B24" s="11"/>
      <c r="C24" s="17" t="str">
        <f>'Sheet2-PASTE HERE!'!I34</f>
        <v>.920</v>
      </c>
      <c r="D24" s="22" t="str">
        <f>'Sheet2-PASTE HERE!'!K34</f>
        <v>Clean tank complete</v>
      </c>
      <c r="E24" s="13">
        <f>'Sheet2-PASTE HERE!'!F34</f>
        <v>24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.QC8</v>
      </c>
      <c r="D25" s="22" t="str">
        <f>'Sheet2-PASTE HERE!'!K35</f>
        <v>QC Inspection - Clean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.QC95</v>
      </c>
      <c r="D26" s="22" t="str">
        <f>'Sheet2-PASTE HERE!'!K36</f>
        <v>QC Inspection - Final &amp; Loose Items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SHIPPING</v>
      </c>
      <c r="B27" s="11"/>
      <c r="C27" s="17" t="str">
        <f>'Sheet2-PASTE HERE!'!I37</f>
        <v>.960</v>
      </c>
      <c r="D27" s="22" t="str">
        <f>'Sheet2-PASTE HERE!'!K37</f>
        <v>Load on truck</v>
      </c>
      <c r="E27" s="13">
        <f>'Sheet2-PASTE HERE!'!F37</f>
        <v>6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 t="str">
        <f>'Sheet2-PASTE HERE!'!F39</f>
        <v/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128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HR 120 SHELL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.156</v>
      </c>
      <c r="D7" s="22">
        <f>'Sheet2-PASTE HERE!'!K17</f>
        <v>0</v>
      </c>
      <c r="E7" s="13">
        <f>'Sheet2-PASTE HERE!'!F17</f>
        <v>10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.261</v>
      </c>
      <c r="D8" s="22" t="str">
        <f>'Sheet2-PASTE HERE!'!K18</f>
        <v>Miscellaneous Fabrication - Braces, Mounting Plates, Cone Outlet Necks_x000D_
FORM (28) ANGLES</v>
      </c>
      <c r="E8" s="13">
        <f>'Sheet2-PASTE HERE!'!F18</f>
        <v>5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INSPECTION</v>
      </c>
      <c r="B9" s="11"/>
      <c r="C9" s="17" t="str">
        <f>'Sheet2-PASTE HERE!'!I19</f>
        <v>.QC3</v>
      </c>
      <c r="D9" s="22" t="str">
        <f>'Sheet2-PASTE HERE!'!K19</f>
        <v>UT Shells</v>
      </c>
      <c r="E9" s="13">
        <f>'Sheet2-PASTE HERE!'!F19</f>
        <v>0</v>
      </c>
      <c r="F9" s="12"/>
      <c r="G9" s="12"/>
      <c r="H9" s="12"/>
      <c r="K9">
        <f t="shared" si="0"/>
        <v>1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.305</v>
      </c>
      <c r="D10" s="22" t="str">
        <f>'Sheet2-PASTE HERE!'!K20</f>
        <v>Shells: bring in plate, square, trim and clean_x000D_
PREP (10) SHELL SECTIONS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.310</v>
      </c>
      <c r="D11" s="22" t="str">
        <f>'Sheet2-PASTE HERE!'!K21</f>
        <v>Bevel shell plates</v>
      </c>
      <c r="E11" s="13">
        <f>'Sheet2-PASTE HERE!'!F21</f>
        <v>30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.315</v>
      </c>
      <c r="D12" s="22" t="str">
        <f>'Sheet2-PASTE HERE!'!K22</f>
        <v>Roll shells, tack and weld inside seams_x000D_
ROLL (10) SHELL SECTIONS, WELD LONG SEAM W COBOT</v>
      </c>
      <c r="E12" s="13">
        <f>'Sheet2-PASTE HERE!'!F22</f>
        <v>30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FIT</v>
      </c>
      <c r="B13" s="11"/>
      <c r="C13" s="17" t="str">
        <f>'Sheet2-PASTE HERE!'!I23</f>
        <v>.605</v>
      </c>
      <c r="D13" s="22" t="str">
        <f>'Sheet2-PASTE HERE!'!K23</f>
        <v>Tack shell courses together</v>
      </c>
      <c r="E13" s="13">
        <f>'Sheet2-PASTE HERE!'!F23</f>
        <v>14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FIT</v>
      </c>
      <c r="B14" s="11"/>
      <c r="C14" s="17" t="str">
        <f>'Sheet2-PASTE HERE!'!I24</f>
        <v>.610</v>
      </c>
      <c r="D14" s="22" t="str">
        <f>'Sheet2-PASTE HERE!'!K24</f>
        <v>Weld inside round seams</v>
      </c>
      <c r="E14" s="13">
        <f>'Sheet2-PASTE HERE!'!F24</f>
        <v>21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.630</v>
      </c>
      <c r="D15" s="22" t="str">
        <f>'Sheet2-PASTE HERE!'!K25</f>
        <v>Install internals - wear plates, rings, clips, etc._x000D_
INSTALL (28) ANGLE SECTIONS</v>
      </c>
      <c r="E15" s="13">
        <f>'Sheet2-PASTE HERE!'!F25</f>
        <v>14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.QC5</v>
      </c>
      <c r="D16" s="22" t="str">
        <f>'Sheet2-PASTE HERE!'!K26</f>
        <v>QC Inspection - Internal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.645</v>
      </c>
      <c r="D17" s="22" t="str">
        <f>'Sheet2-PASTE HERE!'!K27</f>
        <v>Weld all outside seams</v>
      </c>
      <c r="E17" s="13">
        <f>'Sheet2-PASTE HERE!'!F27</f>
        <v>21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.770</v>
      </c>
      <c r="D18" s="22" t="str">
        <f>'Sheet2-PASTE HERE!'!K28</f>
        <v>Inspect tank, make repairs, get QC inspector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.QC6</v>
      </c>
      <c r="D19" s="22" t="str">
        <f>'Sheet2-PASTE HERE!'!K29</f>
        <v>QC Inspection - Fabrication</v>
      </c>
      <c r="E19" s="13">
        <f>'Sheet2-PASTE HERE!'!F29</f>
        <v>0</v>
      </c>
      <c r="F19" s="12"/>
      <c r="G19" s="12"/>
      <c r="H19" s="12"/>
      <c r="K19">
        <f t="shared" si="0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MOVE TANK</v>
      </c>
      <c r="B20" s="11"/>
      <c r="C20" s="17" t="str">
        <f>'Sheet2-PASTE HERE!'!I30</f>
        <v>.801</v>
      </c>
      <c r="D20" s="22" t="str">
        <f>'Sheet2-PASTE HERE!'!K30</f>
        <v>Move to shop test area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FINISHING</v>
      </c>
      <c r="B21" s="11"/>
      <c r="C21" s="17" t="str">
        <f>'Sheet2-PASTE HERE!'!I31</f>
        <v>.910</v>
      </c>
      <c r="D21" s="22" t="str">
        <f>'Sheet2-PASTE HERE!'!K31</f>
        <v>Test tank_x000D_
VACUUM BOX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.QC7</v>
      </c>
      <c r="D22" s="22" t="str">
        <f>'Sheet2-PASTE HERE!'!K32</f>
        <v>QC Inspection - Test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.OI3</v>
      </c>
      <c r="D23" s="22" t="str">
        <f>'Sheet2-PASTE HERE!'!K33</f>
        <v>ASME Inspection Test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1</v>
      </c>
    </row>
    <row r="24" spans="1:12" ht="26.25" customHeight="1" x14ac:dyDescent="0.2">
      <c r="A24" s="10" t="str">
        <f>'Sheet2-PASTE HERE!'!A34</f>
        <v>FINISHING</v>
      </c>
      <c r="B24" s="11"/>
      <c r="C24" s="17" t="str">
        <f>'Sheet2-PASTE HERE!'!I34</f>
        <v>.920</v>
      </c>
      <c r="D24" s="22" t="str">
        <f>'Sheet2-PASTE HERE!'!K34</f>
        <v>Clean tank complete</v>
      </c>
      <c r="E24" s="13">
        <f>'Sheet2-PASTE HERE!'!F34</f>
        <v>24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.QC8</v>
      </c>
      <c r="D25" s="22" t="str">
        <f>'Sheet2-PASTE HERE!'!K35</f>
        <v>QC Inspection - Clean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.QC95</v>
      </c>
      <c r="D26" s="22" t="str">
        <f>'Sheet2-PASTE HERE!'!K36</f>
        <v>QC Inspection - Final &amp; Loose Items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SHIPPING</v>
      </c>
      <c r="B27" s="11"/>
      <c r="C27" s="17" t="str">
        <f>'Sheet2-PASTE HERE!'!I37</f>
        <v>.960</v>
      </c>
      <c r="D27" s="22" t="str">
        <f>'Sheet2-PASTE HERE!'!K37</f>
        <v>Load on truck</v>
      </c>
      <c r="E27" s="13">
        <f>'Sheet2-PASTE HERE!'!F37</f>
        <v>6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 t="str">
        <f>'Sheet2-PASTE HERE!'!F39</f>
        <v/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115</v>
      </c>
      <c r="C1" s="8" t="s">
        <v>17</v>
      </c>
      <c r="D1" s="8" t="s">
        <v>116</v>
      </c>
      <c r="E1" s="8" t="s">
        <v>18</v>
      </c>
      <c r="F1" s="8" t="s">
        <v>117</v>
      </c>
      <c r="G1" s="8" t="s">
        <v>115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45721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234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54153</v>
      </c>
      <c r="C15" s="19">
        <v>0</v>
      </c>
      <c r="D15" s="8" t="s">
        <v>69</v>
      </c>
      <c r="E15" s="20">
        <v>0</v>
      </c>
      <c r="F15" s="20">
        <v>0</v>
      </c>
      <c r="G15" s="8" t="s">
        <v>54</v>
      </c>
      <c r="H15" s="20">
        <v>0</v>
      </c>
      <c r="I15" s="8" t="s">
        <v>70</v>
      </c>
      <c r="J15" s="19">
        <v>0</v>
      </c>
      <c r="K15" s="8" t="s">
        <v>69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56</v>
      </c>
      <c r="B16" s="18">
        <v>54154</v>
      </c>
      <c r="C16" s="19">
        <v>0</v>
      </c>
      <c r="D16" s="8" t="s">
        <v>103</v>
      </c>
      <c r="E16" s="20">
        <v>0</v>
      </c>
      <c r="F16" s="20">
        <v>20</v>
      </c>
      <c r="G16" s="8" t="s">
        <v>54</v>
      </c>
      <c r="H16" s="20">
        <v>20</v>
      </c>
      <c r="I16" s="8" t="s">
        <v>57</v>
      </c>
      <c r="J16" s="19">
        <v>0</v>
      </c>
      <c r="K16" s="8" t="s">
        <v>71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54155</v>
      </c>
      <c r="C17" s="19">
        <v>0</v>
      </c>
      <c r="D17" s="8" t="s">
        <v>104</v>
      </c>
      <c r="E17" s="20">
        <v>0</v>
      </c>
      <c r="F17" s="20">
        <v>10</v>
      </c>
      <c r="G17" s="8" t="s">
        <v>54</v>
      </c>
      <c r="H17" s="20">
        <v>10</v>
      </c>
      <c r="I17" s="8" t="s">
        <v>105</v>
      </c>
      <c r="J17" s="19">
        <v>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54156</v>
      </c>
      <c r="C18" s="19">
        <v>0</v>
      </c>
      <c r="D18" s="8" t="s">
        <v>106</v>
      </c>
      <c r="E18" s="20">
        <v>0</v>
      </c>
      <c r="F18" s="20">
        <v>5</v>
      </c>
      <c r="G18" s="8" t="s">
        <v>54</v>
      </c>
      <c r="H18" s="20">
        <v>5</v>
      </c>
      <c r="I18" s="8" t="s">
        <v>107</v>
      </c>
      <c r="J18" s="19">
        <v>0</v>
      </c>
      <c r="K18" s="8" t="s">
        <v>118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53</v>
      </c>
      <c r="B19" s="18">
        <v>54157</v>
      </c>
      <c r="C19" s="19">
        <v>0</v>
      </c>
      <c r="D19" s="8" t="s">
        <v>72</v>
      </c>
      <c r="E19" s="20">
        <v>0</v>
      </c>
      <c r="F19" s="20">
        <v>0</v>
      </c>
      <c r="G19" s="8" t="s">
        <v>54</v>
      </c>
      <c r="H19" s="20">
        <v>0</v>
      </c>
      <c r="I19" s="8" t="s">
        <v>73</v>
      </c>
      <c r="J19" s="19">
        <v>0</v>
      </c>
      <c r="K19" s="8" t="s">
        <v>72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54158</v>
      </c>
      <c r="C20" s="19">
        <v>0</v>
      </c>
      <c r="D20" s="8" t="s">
        <v>74</v>
      </c>
      <c r="E20" s="20">
        <v>0</v>
      </c>
      <c r="F20" s="20">
        <v>30</v>
      </c>
      <c r="G20" s="8" t="s">
        <v>54</v>
      </c>
      <c r="H20" s="20">
        <v>30</v>
      </c>
      <c r="I20" s="8" t="s">
        <v>75</v>
      </c>
      <c r="J20" s="19">
        <v>0</v>
      </c>
      <c r="K20" s="8" t="s">
        <v>119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54159</v>
      </c>
      <c r="C21" s="19">
        <v>0</v>
      </c>
      <c r="D21" s="8" t="s">
        <v>120</v>
      </c>
      <c r="E21" s="20">
        <v>0</v>
      </c>
      <c r="F21" s="20">
        <v>30</v>
      </c>
      <c r="G21" s="8" t="s">
        <v>54</v>
      </c>
      <c r="H21" s="20">
        <v>30</v>
      </c>
      <c r="I21" s="8" t="s">
        <v>121</v>
      </c>
      <c r="J21" s="19">
        <v>0</v>
      </c>
      <c r="K21" s="8" t="s">
        <v>122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54160</v>
      </c>
      <c r="C22" s="19">
        <v>0</v>
      </c>
      <c r="D22" s="8" t="s">
        <v>76</v>
      </c>
      <c r="E22" s="20">
        <v>0</v>
      </c>
      <c r="F22" s="20">
        <v>30</v>
      </c>
      <c r="G22" s="8" t="s">
        <v>54</v>
      </c>
      <c r="H22" s="20">
        <v>30</v>
      </c>
      <c r="I22" s="8" t="s">
        <v>77</v>
      </c>
      <c r="J22" s="19">
        <v>0</v>
      </c>
      <c r="K22" s="8" t="s">
        <v>123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68</v>
      </c>
      <c r="B23" s="18">
        <v>54161</v>
      </c>
      <c r="C23" s="19">
        <v>0</v>
      </c>
      <c r="D23" s="8" t="s">
        <v>78</v>
      </c>
      <c r="E23" s="20">
        <v>0</v>
      </c>
      <c r="F23" s="20">
        <v>14</v>
      </c>
      <c r="G23" s="8" t="s">
        <v>54</v>
      </c>
      <c r="H23" s="20">
        <v>14</v>
      </c>
      <c r="I23" s="8" t="s">
        <v>79</v>
      </c>
      <c r="J23" s="19">
        <v>0</v>
      </c>
      <c r="K23" s="8" t="s">
        <v>108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68</v>
      </c>
      <c r="B24" s="18">
        <v>54162</v>
      </c>
      <c r="C24" s="19">
        <v>0</v>
      </c>
      <c r="D24" s="8" t="s">
        <v>80</v>
      </c>
      <c r="E24" s="20">
        <v>0</v>
      </c>
      <c r="F24" s="20">
        <v>21</v>
      </c>
      <c r="G24" s="8" t="s">
        <v>54</v>
      </c>
      <c r="H24" s="20">
        <v>21</v>
      </c>
      <c r="I24" s="8" t="s">
        <v>81</v>
      </c>
      <c r="J24" s="19">
        <v>0</v>
      </c>
      <c r="K24" s="8" t="s">
        <v>109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68</v>
      </c>
      <c r="B25" s="18">
        <v>54163</v>
      </c>
      <c r="C25" s="19">
        <v>0</v>
      </c>
      <c r="D25" s="8" t="s">
        <v>110</v>
      </c>
      <c r="E25" s="20">
        <v>0</v>
      </c>
      <c r="F25" s="20">
        <v>14</v>
      </c>
      <c r="G25" s="8" t="s">
        <v>54</v>
      </c>
      <c r="H25" s="20">
        <v>14</v>
      </c>
      <c r="I25" s="8" t="s">
        <v>111</v>
      </c>
      <c r="J25" s="19">
        <v>0</v>
      </c>
      <c r="K25" s="8" t="s">
        <v>124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54164</v>
      </c>
      <c r="C26" s="19">
        <v>0</v>
      </c>
      <c r="D26" s="8" t="s">
        <v>82</v>
      </c>
      <c r="E26" s="20">
        <v>0</v>
      </c>
      <c r="F26" s="20">
        <v>0</v>
      </c>
      <c r="G26" s="8" t="s">
        <v>54</v>
      </c>
      <c r="H26" s="20">
        <v>0</v>
      </c>
      <c r="I26" s="8" t="s">
        <v>83</v>
      </c>
      <c r="J26" s="19">
        <v>0</v>
      </c>
      <c r="K26" s="8" t="s">
        <v>82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68</v>
      </c>
      <c r="B27" s="18">
        <v>54165</v>
      </c>
      <c r="C27" s="19">
        <v>0</v>
      </c>
      <c r="D27" s="8" t="s">
        <v>112</v>
      </c>
      <c r="E27" s="20">
        <v>0</v>
      </c>
      <c r="F27" s="20">
        <v>21</v>
      </c>
      <c r="G27" s="8" t="s">
        <v>54</v>
      </c>
      <c r="H27" s="20">
        <v>21</v>
      </c>
      <c r="I27" s="8" t="s">
        <v>113</v>
      </c>
      <c r="J27" s="19">
        <v>0</v>
      </c>
      <c r="K27" s="8" t="s">
        <v>114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68</v>
      </c>
      <c r="B28" s="18">
        <v>54166</v>
      </c>
      <c r="C28" s="19">
        <v>0</v>
      </c>
      <c r="D28" s="8" t="s">
        <v>85</v>
      </c>
      <c r="E28" s="20">
        <v>0</v>
      </c>
      <c r="F28" s="20">
        <v>3</v>
      </c>
      <c r="G28" s="8" t="s">
        <v>54</v>
      </c>
      <c r="H28" s="20">
        <v>3</v>
      </c>
      <c r="I28" s="8" t="s">
        <v>86</v>
      </c>
      <c r="J28" s="19">
        <v>0</v>
      </c>
      <c r="K28" s="8" t="s">
        <v>87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53</v>
      </c>
      <c r="B29" s="18">
        <v>54167</v>
      </c>
      <c r="C29" s="19">
        <v>0</v>
      </c>
      <c r="D29" s="8" t="s">
        <v>88</v>
      </c>
      <c r="E29" s="20">
        <v>0</v>
      </c>
      <c r="F29" s="20">
        <v>0</v>
      </c>
      <c r="G29" s="8" t="s">
        <v>54</v>
      </c>
      <c r="H29" s="20">
        <v>0</v>
      </c>
      <c r="I29" s="8" t="s">
        <v>89</v>
      </c>
      <c r="J29" s="19">
        <v>0</v>
      </c>
      <c r="K29" s="8" t="s">
        <v>90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84</v>
      </c>
      <c r="B30" s="18">
        <v>54168</v>
      </c>
      <c r="C30" s="19">
        <v>0</v>
      </c>
      <c r="D30" s="8" t="s">
        <v>91</v>
      </c>
      <c r="E30" s="20">
        <v>0</v>
      </c>
      <c r="F30" s="20">
        <v>3</v>
      </c>
      <c r="G30" s="8" t="s">
        <v>54</v>
      </c>
      <c r="H30" s="20">
        <v>3</v>
      </c>
      <c r="I30" s="8" t="s">
        <v>92</v>
      </c>
      <c r="J30" s="19">
        <v>0</v>
      </c>
      <c r="K30" s="8" t="s">
        <v>93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58</v>
      </c>
      <c r="B31" s="18">
        <v>54169</v>
      </c>
      <c r="C31" s="19">
        <v>0</v>
      </c>
      <c r="D31" s="8" t="s">
        <v>94</v>
      </c>
      <c r="E31" s="20">
        <v>0</v>
      </c>
      <c r="F31" s="20">
        <v>3</v>
      </c>
      <c r="G31" s="8" t="s">
        <v>54</v>
      </c>
      <c r="H31" s="20">
        <v>3</v>
      </c>
      <c r="I31" s="8" t="s">
        <v>95</v>
      </c>
      <c r="J31" s="19">
        <v>0</v>
      </c>
      <c r="K31" s="8" t="s">
        <v>125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54170</v>
      </c>
      <c r="C32" s="19">
        <v>0</v>
      </c>
      <c r="D32" s="8" t="s">
        <v>96</v>
      </c>
      <c r="E32" s="20">
        <v>0</v>
      </c>
      <c r="F32" s="20">
        <v>0</v>
      </c>
      <c r="G32" s="8" t="s">
        <v>54</v>
      </c>
      <c r="H32" s="20">
        <v>0</v>
      </c>
      <c r="I32" s="8" t="s">
        <v>97</v>
      </c>
      <c r="J32" s="19">
        <v>0</v>
      </c>
      <c r="K32" s="8" t="s">
        <v>96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54171</v>
      </c>
      <c r="C33" s="19">
        <v>0</v>
      </c>
      <c r="D33" s="8" t="s">
        <v>126</v>
      </c>
      <c r="E33" s="20">
        <v>0</v>
      </c>
      <c r="F33" s="20">
        <v>0</v>
      </c>
      <c r="G33" s="8" t="s">
        <v>54</v>
      </c>
      <c r="H33" s="20">
        <v>0</v>
      </c>
      <c r="I33" s="8" t="s">
        <v>127</v>
      </c>
      <c r="J33" s="19">
        <v>0</v>
      </c>
      <c r="K33" s="8" t="s">
        <v>126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58</v>
      </c>
      <c r="B34" s="18">
        <v>54172</v>
      </c>
      <c r="C34" s="19">
        <v>0</v>
      </c>
      <c r="D34" s="8" t="s">
        <v>98</v>
      </c>
      <c r="E34" s="20">
        <v>0</v>
      </c>
      <c r="F34" s="20">
        <v>24</v>
      </c>
      <c r="G34" s="8" t="s">
        <v>54</v>
      </c>
      <c r="H34" s="20">
        <v>24</v>
      </c>
      <c r="I34" s="8" t="s">
        <v>99</v>
      </c>
      <c r="J34" s="19">
        <v>0</v>
      </c>
      <c r="K34" s="8" t="s">
        <v>100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54173</v>
      </c>
      <c r="C35" s="19">
        <v>0</v>
      </c>
      <c r="D35" s="8" t="s">
        <v>101</v>
      </c>
      <c r="E35" s="20">
        <v>0</v>
      </c>
      <c r="F35" s="20">
        <v>0</v>
      </c>
      <c r="G35" s="8" t="s">
        <v>54</v>
      </c>
      <c r="H35" s="20">
        <v>0</v>
      </c>
      <c r="I35" s="8" t="s">
        <v>102</v>
      </c>
      <c r="J35" s="19">
        <v>0</v>
      </c>
      <c r="K35" s="8" t="s">
        <v>101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54174</v>
      </c>
      <c r="C36" s="19">
        <v>0</v>
      </c>
      <c r="D36" s="8" t="s">
        <v>59</v>
      </c>
      <c r="E36" s="20">
        <v>0</v>
      </c>
      <c r="F36" s="20">
        <v>0</v>
      </c>
      <c r="G36" s="8" t="s">
        <v>54</v>
      </c>
      <c r="H36" s="20">
        <v>0</v>
      </c>
      <c r="I36" s="8" t="s">
        <v>60</v>
      </c>
      <c r="J36" s="19">
        <v>0</v>
      </c>
      <c r="K36" s="8" t="s">
        <v>61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62</v>
      </c>
      <c r="B37" s="18">
        <v>54175</v>
      </c>
      <c r="C37" s="19">
        <v>0</v>
      </c>
      <c r="D37" s="8" t="s">
        <v>63</v>
      </c>
      <c r="E37" s="20">
        <v>0</v>
      </c>
      <c r="F37" s="20">
        <v>6</v>
      </c>
      <c r="G37" s="8" t="s">
        <v>54</v>
      </c>
      <c r="H37" s="20">
        <v>6</v>
      </c>
      <c r="I37" s="8" t="s">
        <v>64</v>
      </c>
      <c r="J37" s="19">
        <v>0</v>
      </c>
      <c r="K37" s="8" t="s">
        <v>65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/>
    <row r="39" spans="1:14" ht="12.75" customHeight="1" x14ac:dyDescent="0.2">
      <c r="B39" s="8" t="s">
        <v>16</v>
      </c>
      <c r="C39" s="8" t="s">
        <v>115</v>
      </c>
      <c r="E39" s="8" t="s">
        <v>19</v>
      </c>
      <c r="F39" s="8" t="s">
        <v>19</v>
      </c>
      <c r="G39" s="8" t="s">
        <v>21</v>
      </c>
      <c r="H39" s="8" t="s">
        <v>19</v>
      </c>
      <c r="J39" s="8" t="s">
        <v>19</v>
      </c>
    </row>
    <row r="40" spans="1:14" ht="12.75" customHeight="1" x14ac:dyDescent="0.2"/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67</v>
      </c>
    </row>
    <row r="2" spans="1:9" ht="21.75" customHeight="1" x14ac:dyDescent="0.25">
      <c r="A2" s="29" t="s">
        <v>13</v>
      </c>
      <c r="B2" s="31" t="str">
        <f>'Build Plan w Hours'!C7</f>
        <v>.156</v>
      </c>
      <c r="C2" s="40">
        <f>'Build Plan w Hours'!D7</f>
        <v>0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66</v>
      </c>
      <c r="B4" s="38">
        <f>'Build Plan w Hours'!E7</f>
        <v>10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67</v>
      </c>
    </row>
    <row r="8" spans="1:9" ht="21.75" customHeight="1" x14ac:dyDescent="0.25">
      <c r="A8" s="29" t="s">
        <v>13</v>
      </c>
      <c r="B8" s="31" t="str">
        <f>'Build Plan w Hours'!C8</f>
        <v>.261</v>
      </c>
      <c r="C8" s="40" t="str">
        <f>'Build Plan w Hours'!D8</f>
        <v>Miscellaneous Fabrication - Braces, Mounting Plates, Cone Outlet Necks_x000D_
FORM (28) ANGLES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66</v>
      </c>
      <c r="B10" s="38">
        <f>'Build Plan w Hours'!E8</f>
        <v>5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67</v>
      </c>
    </row>
    <row r="14" spans="1:9" ht="21.75" customHeight="1" x14ac:dyDescent="0.25">
      <c r="A14" s="29" t="s">
        <v>13</v>
      </c>
      <c r="B14" s="31" t="str">
        <f>'Build Plan w Hours'!C9</f>
        <v>.QC3</v>
      </c>
      <c r="C14" s="40" t="str">
        <f>'Build Plan w Hours'!D9</f>
        <v>UT Shells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66</v>
      </c>
      <c r="B16" s="38">
        <f>'Build Plan w Hours'!E9</f>
        <v>0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67</v>
      </c>
    </row>
    <row r="20" spans="1:9" ht="21.75" customHeight="1" x14ac:dyDescent="0.25">
      <c r="A20" s="29" t="s">
        <v>13</v>
      </c>
      <c r="B20" s="31" t="str">
        <f>'Build Plan w Hours'!C10</f>
        <v>.305</v>
      </c>
      <c r="C20" s="40" t="str">
        <f>'Build Plan w Hours'!D10</f>
        <v>Shells: bring in plate, square, trim and clean_x000D_
PREP (10) SHELL SECTIONS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66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67</v>
      </c>
    </row>
    <row r="26" spans="1:9" ht="21.75" customHeight="1" x14ac:dyDescent="0.25">
      <c r="A26" s="29" t="s">
        <v>13</v>
      </c>
      <c r="B26" s="31" t="str">
        <f>'Build Plan w Hours'!C11</f>
        <v>.310</v>
      </c>
      <c r="C26" s="40" t="str">
        <f>'Build Plan w Hours'!D11</f>
        <v>Bevel shell plates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66</v>
      </c>
      <c r="B28" s="38">
        <f>'Build Plan w Hours'!E11</f>
        <v>30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67</v>
      </c>
    </row>
    <row r="32" spans="1:9" ht="21.75" customHeight="1" x14ac:dyDescent="0.25">
      <c r="A32" s="29" t="s">
        <v>13</v>
      </c>
      <c r="B32" s="31" t="str">
        <f>'Build Plan w Hours'!C12</f>
        <v>.315</v>
      </c>
      <c r="C32" s="40" t="str">
        <f>'Build Plan w Hours'!D12</f>
        <v>Roll shells, tack and weld inside seams_x000D_
ROLL (10) SHELL SECTIONS, WELD LONG SEAM W COBOT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66</v>
      </c>
      <c r="B34" s="38">
        <f>'Build Plan w Hours'!E12</f>
        <v>30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67</v>
      </c>
    </row>
    <row r="38" spans="1:9" ht="21.75" customHeight="1" x14ac:dyDescent="0.25">
      <c r="A38" s="29" t="s">
        <v>13</v>
      </c>
      <c r="B38" s="31" t="str">
        <f>'Build Plan w Hours'!C13</f>
        <v>.605</v>
      </c>
      <c r="C38" s="40" t="str">
        <f>'Build Plan w Hours'!D13</f>
        <v>Tack shell courses together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66</v>
      </c>
      <c r="B40" s="38">
        <f>'Build Plan w Hours'!E13</f>
        <v>14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67</v>
      </c>
    </row>
    <row r="44" spans="1:9" ht="21.75" customHeight="1" x14ac:dyDescent="0.25">
      <c r="A44" s="29" t="s">
        <v>13</v>
      </c>
      <c r="B44" s="31" t="str">
        <f>'Build Plan w Hours'!C14</f>
        <v>.610</v>
      </c>
      <c r="C44" s="40" t="str">
        <f>'Build Plan w Hours'!D14</f>
        <v>Weld inside round seams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66</v>
      </c>
      <c r="B46" s="38">
        <f>'Build Plan w Hours'!E14</f>
        <v>21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67</v>
      </c>
    </row>
    <row r="50" spans="1:9" ht="21.75" customHeight="1" x14ac:dyDescent="0.25">
      <c r="A50" s="29" t="s">
        <v>13</v>
      </c>
      <c r="B50" s="31" t="str">
        <f>'Build Plan w Hours'!C15</f>
        <v>.630</v>
      </c>
      <c r="C50" s="40" t="str">
        <f>'Build Plan w Hours'!D15</f>
        <v>Install internals - wear plates, rings, clips, etc._x000D_
INSTALL (28) ANGLE SECTIONS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66</v>
      </c>
      <c r="B52" s="38">
        <f>'Build Plan w Hours'!E15</f>
        <v>14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67</v>
      </c>
    </row>
    <row r="56" spans="1:9" ht="21.75" customHeight="1" x14ac:dyDescent="0.25">
      <c r="A56" s="29" t="s">
        <v>13</v>
      </c>
      <c r="B56" s="31" t="str">
        <f>'Build Plan w Hours'!C16</f>
        <v>.QC5</v>
      </c>
      <c r="C56" s="40" t="str">
        <f>'Build Plan w Hours'!D16</f>
        <v>QC Inspection - Internal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66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67</v>
      </c>
    </row>
    <row r="62" spans="1:9" ht="21.75" customHeight="1" x14ac:dyDescent="0.25">
      <c r="A62" s="29" t="s">
        <v>13</v>
      </c>
      <c r="B62" s="31" t="str">
        <f>'Build Plan w Hours'!C17</f>
        <v>.645</v>
      </c>
      <c r="C62" s="40" t="str">
        <f>'Build Plan w Hours'!D17</f>
        <v>Weld all outside seams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66</v>
      </c>
      <c r="B64" s="38">
        <f>'Build Plan w Hours'!E17</f>
        <v>21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67</v>
      </c>
    </row>
    <row r="68" spans="1:9" ht="21.75" customHeight="1" x14ac:dyDescent="0.25">
      <c r="A68" s="29" t="s">
        <v>13</v>
      </c>
      <c r="B68" s="31" t="str">
        <f>'Build Plan w Hours'!C18</f>
        <v>.770</v>
      </c>
      <c r="C68" s="40" t="str">
        <f>'Build Plan w Hours'!D18</f>
        <v>Inspect tank, make repairs, get QC inspector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66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67</v>
      </c>
    </row>
    <row r="74" spans="1:9" ht="21.75" customHeight="1" x14ac:dyDescent="0.25">
      <c r="A74" s="29" t="s">
        <v>13</v>
      </c>
      <c r="B74" s="31" t="str">
        <f>'Build Plan w Hours'!C19</f>
        <v>.QC6</v>
      </c>
      <c r="C74" s="40" t="str">
        <f>'Build Plan w Hours'!D19</f>
        <v>QC Inspection - Fabrication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66</v>
      </c>
      <c r="B76" s="38">
        <f>'Build Plan w Hours'!E19</f>
        <v>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67</v>
      </c>
    </row>
    <row r="80" spans="1:9" ht="21.75" customHeight="1" x14ac:dyDescent="0.25">
      <c r="A80" s="29" t="s">
        <v>13</v>
      </c>
      <c r="B80" s="31" t="str">
        <f>'Build Plan w Hours'!C20</f>
        <v>.801</v>
      </c>
      <c r="C80" s="40" t="str">
        <f>'Build Plan w Hours'!D20</f>
        <v>Move to shop test area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66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67</v>
      </c>
    </row>
    <row r="86" spans="1:9" ht="21.75" customHeight="1" x14ac:dyDescent="0.25">
      <c r="A86" s="29" t="s">
        <v>13</v>
      </c>
      <c r="B86" s="31" t="str">
        <f>'Build Plan w Hours'!C21</f>
        <v>.910</v>
      </c>
      <c r="C86" s="40" t="str">
        <f>'Build Plan w Hours'!D21</f>
        <v>Test tank_x000D_
VACUUM BOX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66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67</v>
      </c>
    </row>
    <row r="92" spans="1:9" ht="21.75" customHeight="1" x14ac:dyDescent="0.25">
      <c r="A92" s="29" t="s">
        <v>13</v>
      </c>
      <c r="B92" s="31" t="str">
        <f>'Build Plan w Hours'!C22</f>
        <v>.QC7</v>
      </c>
      <c r="C92" s="40" t="str">
        <f>'Build Plan w Hours'!D22</f>
        <v>QC Inspection - Test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66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67</v>
      </c>
    </row>
    <row r="98" spans="1:9" ht="21.75" customHeight="1" x14ac:dyDescent="0.25">
      <c r="A98" s="29" t="s">
        <v>13</v>
      </c>
      <c r="B98" s="31" t="str">
        <f>'Build Plan w Hours'!C23</f>
        <v>.OI3</v>
      </c>
      <c r="C98" s="40" t="str">
        <f>'Build Plan w Hours'!D23</f>
        <v>ASME Inspection Test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66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67</v>
      </c>
    </row>
    <row r="104" spans="1:9" ht="21.75" customHeight="1" x14ac:dyDescent="0.25">
      <c r="A104" s="29" t="s">
        <v>13</v>
      </c>
      <c r="B104" s="31" t="str">
        <f>'Build Plan w Hours'!C24</f>
        <v>.920</v>
      </c>
      <c r="C104" s="40" t="str">
        <f>'Build Plan w Hours'!D24</f>
        <v>Clean tank complete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66</v>
      </c>
      <c r="B106" s="38">
        <f>'Build Plan w Hours'!E24</f>
        <v>24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67</v>
      </c>
    </row>
    <row r="110" spans="1:9" ht="21.75" customHeight="1" x14ac:dyDescent="0.25">
      <c r="A110" s="29" t="s">
        <v>13</v>
      </c>
      <c r="B110" s="31" t="str">
        <f>'Build Plan w Hours'!C25</f>
        <v>.QC8</v>
      </c>
      <c r="C110" s="40" t="str">
        <f>'Build Plan w Hours'!D25</f>
        <v>QC Inspection - Clean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66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67</v>
      </c>
    </row>
    <row r="116" spans="1:9" ht="21.75" customHeight="1" x14ac:dyDescent="0.25">
      <c r="A116" s="29" t="s">
        <v>13</v>
      </c>
      <c r="B116" s="31" t="str">
        <f>'Build Plan w Hours'!C26</f>
        <v>.QC95</v>
      </c>
      <c r="C116" s="40" t="str">
        <f>'Build Plan w Hours'!D26</f>
        <v>QC Inspection - Final &amp; Loose Items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66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67</v>
      </c>
    </row>
    <row r="122" spans="1:9" ht="21.75" customHeight="1" x14ac:dyDescent="0.25">
      <c r="A122" s="29" t="s">
        <v>13</v>
      </c>
      <c r="B122" s="31" t="str">
        <f>'Build Plan w Hours'!C27</f>
        <v>.960</v>
      </c>
      <c r="C122" s="40" t="str">
        <f>'Build Plan w Hours'!D27</f>
        <v>Load on truck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66</v>
      </c>
      <c r="B124" s="38">
        <f>'Build Plan w Hours'!E27</f>
        <v>6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67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66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67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66</v>
      </c>
      <c r="B136" s="38" t="str">
        <f>'Build Plan w Hours'!E29</f>
        <v/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67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66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67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66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67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66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67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66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67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66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67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66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67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66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67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66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67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66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67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66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67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66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67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66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67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66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67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66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67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66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67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66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67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66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67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66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67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66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67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66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67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66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67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66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67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66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67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66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67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66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67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66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67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66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67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66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67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66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67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66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67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66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67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66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67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66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67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66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67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66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67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66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67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66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040-25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67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66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040-25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67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66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040-25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67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66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040-25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67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66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040-25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67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66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040-25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67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66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67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66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67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66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67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66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67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66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67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66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67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66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67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66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67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66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67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66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67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66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67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66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67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66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67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66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67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66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67</v>
      </c>
    </row>
    <row r="2" spans="1:9" ht="21.75" customHeight="1" x14ac:dyDescent="0.25">
      <c r="A2" s="29" t="s">
        <v>13</v>
      </c>
      <c r="B2" s="31" t="str">
        <f>'Build Plan w Hours'!C7</f>
        <v>.156</v>
      </c>
      <c r="C2" s="40">
        <f>'Build Plan w Hours'!D7</f>
        <v>0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67</v>
      </c>
    </row>
    <row r="8" spans="1:9" ht="21.75" customHeight="1" x14ac:dyDescent="0.25">
      <c r="A8" s="29" t="s">
        <v>13</v>
      </c>
      <c r="B8" s="31" t="str">
        <f>'Build Plan w Hours'!C8</f>
        <v>.261</v>
      </c>
      <c r="C8" s="40" t="str">
        <f>'Build Plan w Hours'!D8</f>
        <v>Miscellaneous Fabrication - Braces, Mounting Plates, Cone Outlet Necks_x000D_
FORM (28) ANGLES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67</v>
      </c>
    </row>
    <row r="14" spans="1:9" ht="21.75" customHeight="1" x14ac:dyDescent="0.25">
      <c r="A14" s="29" t="s">
        <v>13</v>
      </c>
      <c r="B14" s="31" t="str">
        <f>'Build Plan w Hours'!C9</f>
        <v>.QC3</v>
      </c>
      <c r="C14" s="40" t="str">
        <f>'Build Plan w Hours'!D9</f>
        <v>UT Shells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67</v>
      </c>
    </row>
    <row r="20" spans="1:9" ht="21.75" customHeight="1" x14ac:dyDescent="0.25">
      <c r="A20" s="29" t="s">
        <v>13</v>
      </c>
      <c r="B20" s="31" t="str">
        <f>'Build Plan w Hours'!C10</f>
        <v>.305</v>
      </c>
      <c r="C20" s="40" t="str">
        <f>'Build Plan w Hours'!D10</f>
        <v>Shells: bring in plate, square, trim and clean_x000D_
PREP (10) SHELL SECTIONS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67</v>
      </c>
    </row>
    <row r="26" spans="1:9" ht="21.75" customHeight="1" x14ac:dyDescent="0.25">
      <c r="A26" s="29" t="s">
        <v>13</v>
      </c>
      <c r="B26" s="31" t="str">
        <f>'Build Plan w Hours'!C11</f>
        <v>.310</v>
      </c>
      <c r="C26" s="40" t="str">
        <f>'Build Plan w Hours'!D11</f>
        <v>Bevel shell plates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67</v>
      </c>
    </row>
    <row r="32" spans="1:9" ht="21.75" customHeight="1" x14ac:dyDescent="0.25">
      <c r="A32" s="29" t="s">
        <v>13</v>
      </c>
      <c r="B32" s="31" t="str">
        <f>'Build Plan w Hours'!C12</f>
        <v>.315</v>
      </c>
      <c r="C32" s="40" t="str">
        <f>'Build Plan w Hours'!D12</f>
        <v>Roll shells, tack and weld inside seams_x000D_
ROLL (10) SHELL SECTIONS, WELD LONG SEAM W COBOT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67</v>
      </c>
    </row>
    <row r="38" spans="1:9" ht="21.75" customHeight="1" x14ac:dyDescent="0.25">
      <c r="A38" s="29" t="s">
        <v>13</v>
      </c>
      <c r="B38" s="31" t="str">
        <f>'Build Plan w Hours'!C13</f>
        <v>.605</v>
      </c>
      <c r="C38" s="40" t="str">
        <f>'Build Plan w Hours'!D13</f>
        <v>Tack shell courses together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67</v>
      </c>
    </row>
    <row r="44" spans="1:9" ht="21.75" customHeight="1" x14ac:dyDescent="0.25">
      <c r="A44" s="29" t="s">
        <v>13</v>
      </c>
      <c r="B44" s="31" t="str">
        <f>'Build Plan w Hours'!C14</f>
        <v>.610</v>
      </c>
      <c r="C44" s="40" t="str">
        <f>'Build Plan w Hours'!D14</f>
        <v>Weld inside round seams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67</v>
      </c>
    </row>
    <row r="50" spans="1:9" ht="21.75" customHeight="1" x14ac:dyDescent="0.25">
      <c r="A50" s="29" t="s">
        <v>13</v>
      </c>
      <c r="B50" s="31" t="str">
        <f>'Build Plan w Hours'!C15</f>
        <v>.630</v>
      </c>
      <c r="C50" s="40" t="str">
        <f>'Build Plan w Hours'!D15</f>
        <v>Install internals - wear plates, rings, clips, etc._x000D_
INSTALL (28) ANGLE SECTIONS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67</v>
      </c>
    </row>
    <row r="56" spans="1:9" ht="21.75" customHeight="1" x14ac:dyDescent="0.25">
      <c r="A56" s="29" t="s">
        <v>13</v>
      </c>
      <c r="B56" s="31" t="str">
        <f>'Build Plan w Hours'!C16</f>
        <v>.QC5</v>
      </c>
      <c r="C56" s="40" t="str">
        <f>'Build Plan w Hours'!D16</f>
        <v>QC Inspection - Internal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67</v>
      </c>
    </row>
    <row r="62" spans="1:9" ht="21.75" customHeight="1" x14ac:dyDescent="0.25">
      <c r="A62" s="29" t="s">
        <v>13</v>
      </c>
      <c r="B62" s="31" t="str">
        <f>'Build Plan w Hours'!C17</f>
        <v>.645</v>
      </c>
      <c r="C62" s="40" t="str">
        <f>'Build Plan w Hours'!D17</f>
        <v>Weld all outside seams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67</v>
      </c>
    </row>
    <row r="68" spans="1:9" ht="21.75" customHeight="1" x14ac:dyDescent="0.25">
      <c r="A68" s="29" t="s">
        <v>13</v>
      </c>
      <c r="B68" s="31" t="str">
        <f>'Build Plan w Hours'!C18</f>
        <v>.770</v>
      </c>
      <c r="C68" s="40" t="str">
        <f>'Build Plan w Hours'!D18</f>
        <v>Inspect tank, make repairs, get QC inspector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67</v>
      </c>
    </row>
    <row r="74" spans="1:9" ht="21.75" customHeight="1" x14ac:dyDescent="0.25">
      <c r="A74" s="29" t="s">
        <v>13</v>
      </c>
      <c r="B74" s="31" t="str">
        <f>'Build Plan w Hours'!C19</f>
        <v>.QC6</v>
      </c>
      <c r="C74" s="40" t="str">
        <f>'Build Plan w Hours'!D19</f>
        <v>QC Inspection - Fabrication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67</v>
      </c>
    </row>
    <row r="80" spans="1:9" ht="21.75" customHeight="1" x14ac:dyDescent="0.25">
      <c r="A80" s="29" t="s">
        <v>13</v>
      </c>
      <c r="B80" s="31" t="str">
        <f>'Build Plan w Hours'!C20</f>
        <v>.801</v>
      </c>
      <c r="C80" s="40" t="str">
        <f>'Build Plan w Hours'!D20</f>
        <v>Move to shop test area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67</v>
      </c>
    </row>
    <row r="86" spans="1:9" ht="21.75" customHeight="1" x14ac:dyDescent="0.25">
      <c r="A86" s="29" t="s">
        <v>13</v>
      </c>
      <c r="B86" s="31" t="str">
        <f>'Build Plan w Hours'!C21</f>
        <v>.910</v>
      </c>
      <c r="C86" s="40" t="str">
        <f>'Build Plan w Hours'!D21</f>
        <v>Test tank_x000D_
VACUUM BOX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67</v>
      </c>
    </row>
    <row r="92" spans="1:9" ht="21.75" customHeight="1" x14ac:dyDescent="0.25">
      <c r="A92" s="29" t="s">
        <v>13</v>
      </c>
      <c r="B92" s="31" t="str">
        <f>'Build Plan w Hours'!C22</f>
        <v>.QC7</v>
      </c>
      <c r="C92" s="40" t="str">
        <f>'Build Plan w Hours'!D22</f>
        <v>QC Inspection - Test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67</v>
      </c>
    </row>
    <row r="98" spans="1:9" ht="21.75" customHeight="1" x14ac:dyDescent="0.25">
      <c r="A98" s="29" t="s">
        <v>13</v>
      </c>
      <c r="B98" s="31" t="str">
        <f>'Build Plan w Hours'!C23</f>
        <v>.OI3</v>
      </c>
      <c r="C98" s="40" t="str">
        <f>'Build Plan w Hours'!D23</f>
        <v>ASME Inspection Test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67</v>
      </c>
    </row>
    <row r="104" spans="1:9" ht="21.75" customHeight="1" x14ac:dyDescent="0.25">
      <c r="A104" s="29" t="s">
        <v>13</v>
      </c>
      <c r="B104" s="31" t="str">
        <f>'Build Plan w Hours'!C24</f>
        <v>.920</v>
      </c>
      <c r="C104" s="40" t="str">
        <f>'Build Plan w Hours'!D24</f>
        <v>Clean tank complete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67</v>
      </c>
    </row>
    <row r="110" spans="1:9" ht="21.75" customHeight="1" x14ac:dyDescent="0.25">
      <c r="A110" s="29" t="s">
        <v>13</v>
      </c>
      <c r="B110" s="31" t="str">
        <f>'Build Plan w Hours'!C25</f>
        <v>.QC8</v>
      </c>
      <c r="C110" s="40" t="str">
        <f>'Build Plan w Hours'!D25</f>
        <v>QC Inspection - Clean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67</v>
      </c>
    </row>
    <row r="116" spans="1:9" ht="21.75" customHeight="1" x14ac:dyDescent="0.25">
      <c r="A116" s="29" t="s">
        <v>13</v>
      </c>
      <c r="B116" s="31" t="str">
        <f>'Build Plan w Hours'!C26</f>
        <v>.QC95</v>
      </c>
      <c r="C116" s="40" t="str">
        <f>'Build Plan w Hours'!D26</f>
        <v>QC Inspection - Final &amp; Loose Items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67</v>
      </c>
    </row>
    <row r="122" spans="1:9" ht="21.75" customHeight="1" x14ac:dyDescent="0.25">
      <c r="A122" s="29" t="s">
        <v>13</v>
      </c>
      <c r="B122" s="31" t="str">
        <f>'Build Plan w Hours'!C27</f>
        <v>.960</v>
      </c>
      <c r="C122" s="40" t="str">
        <f>'Build Plan w Hours'!D27</f>
        <v>Load on truck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67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67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67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67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67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67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67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67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67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67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67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67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67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67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67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67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67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67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67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67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67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67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67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67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67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67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67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67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67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67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67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67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67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67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67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67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67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67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67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040-25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67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040-25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67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040-25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67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040-25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67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040-25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67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040-25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67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67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67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67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67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67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67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67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67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67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67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67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67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67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67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040-25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67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040-25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67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2025-09-17T14:19:00Z</cp:lastPrinted>
  <dcterms:created xsi:type="dcterms:W3CDTF">2016-06-28T20:53:17Z</dcterms:created>
  <dcterms:modified xsi:type="dcterms:W3CDTF">2025-09-17T14:19:36Z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