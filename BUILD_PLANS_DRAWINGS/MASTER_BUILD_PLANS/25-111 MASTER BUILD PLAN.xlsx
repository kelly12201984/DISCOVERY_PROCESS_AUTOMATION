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1-25 - Epic - T-118A\"/>
    </mc:Choice>
  </mc:AlternateContent>
  <xr:revisionPtr revIDLastSave="0" documentId="8_{3DF95518-2961-43FD-9309-63210747387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<sst xmlns="http://schemas.openxmlformats.org/spreadsheetml/2006/main" count="2147" uniqueCount="391">
  <si>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</si>
  <si>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</si>
  <si>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</si>
  <si>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</si>
  <si>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</si>
  <si>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</si>
  <si>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</si>
  <si>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</si>
  <si>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</si>
  <si>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</si>
  <si>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</si>
  <si>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</si>
  <si>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</si>
  <si>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</si>
  <si>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</si>
  <si>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</si>
  <si>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</si>
  <si>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</si>
  <si>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</si>
  <si>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</si>
  <si>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</si>
  <si>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</si>
  <si>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</si>
  <si>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</si>
  <si>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</si>
  <si>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</si>
  <si>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</si>
  <si>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</si>
  <si>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</si>
  <si>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</si>
  <si>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</si>
  <si>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</si>
  <si>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</si>
  <si>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</si>
  <si>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</si>
  <si>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</si>
  <si>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</si>
  <si>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</si>
  <si>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</si>
  <si>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</si>
  <si>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</si>
  <si>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</si>
  <si>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</si>
  <si>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</si>
  <si>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</si>
  <si>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</si>
  <si>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</si>
  <si>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</si>
  <si>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</si>
  <si>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</si>
  <si>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</si>
  <si>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</si>
  <si>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</si>
  <si>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</si>
  <si>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</si>
  <si>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</si>
  <si>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</si>
  <si>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</si>
  <si>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</si>
  <si>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</si>
  <si>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</si>
  <si>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</si>
  <si>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</si>
  <si>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</si>
  <si>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</si>
  <si>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</si>
  <si>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</si>
  <si>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</si>
  <si>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</si>
  <si>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</si>
  <si>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</si>
  <si>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</si>
  <si>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</si>
  <si>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</si>
  <si>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</si>
  <si>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</si>
  <si>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</si>
  <si>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</si>
  <si>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</si>
  <si>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</si>
  <si>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</si>
  <si>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</si>
  <si>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</si>
  <si>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</si>
  <si>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</si>
  <si>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</si>
  <si>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</si>
  <si>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</si>
  <si>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</si>
  <si>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</si>
  <si>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</si>
  <si>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</si>
  <si>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</si>
  <si>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</si>
  <si>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</si>
  <si>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</si>
  <si>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</si>
  <si>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</si>
  <si>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</si>
  <si>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</si>
  <si>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</si>
  <si>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</si>
  <si>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</si>
  <si>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</si>
  <si>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</si>
  <si>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</si>
  <si>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</si>
  <si>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</si>
  <si>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</si>
  <si>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</si>
  <si>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</si>
  <si>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</si>
  <si>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</si>
  <si>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</si>
  <si>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</si>
  <si>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</si>
  <si>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</si>
  <si>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</si>
  <si>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</si>
  <si>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</si>
  <si>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</si>
  <si>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</si>
  <si>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</si>
  <si>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</si>
  <si>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</si>
  <si>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</si>
  <si>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</si>
  <si>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</si>
  <si>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</si>
  <si>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</si>
  <si>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</si>
  <si>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</si>
  <si>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</si>
  <si>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</si>
  <si>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</si>
  <si>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</si>
  <si>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</si>
  <si>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</si>
  <si>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</si>
  <si>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</si>
  <si>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</si>
  <si>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</si>
  <si>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</si>
  <si>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</si>
  <si>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</si>
  <si>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</si>
  <si>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I&amp;W Repads -Top</t>
  </si>
  <si>
    <t>.370</t>
  </si>
  <si>
    <t>Install Dip Pipe Supports</t>
  </si>
  <si>
    <t>.735</t>
  </si>
  <si>
    <t>Cut Parts on Burn Table</t>
  </si>
  <si>
    <t>Clean &amp; Prep Parts</t>
  </si>
  <si>
    <t>.156</t>
  </si>
  <si>
    <t>L/O Bottom, B&amp;C Holes</t>
  </si>
  <si>
    <t>.455</t>
  </si>
  <si>
    <t xml:space="preserve">|25-111N~ </t>
  </si>
  <si>
    <t>T-118A</t>
  </si>
  <si>
    <t>967245922</t>
  </si>
  <si>
    <t>9315.4</t>
  </si>
  <si>
    <t xml:space="preserve">Customer </t>
  </si>
  <si>
    <t>Ship To</t>
  </si>
  <si>
    <t xml:space="preserve">EPIC SYSTEMS GROUP. LLC - P&amp;M_x000D_
4142 MERAMEC BOTTOM ROAD_x000D_
ST. LOUIS, MO 63129_x000D_
US_x000D_
</t>
  </si>
  <si>
    <t>EPIC SYSTEMS GROUP, LLC - P&amp;M_x000D_
4142 MERAMEC BOTTOM ROAD_x000D_
ST. LOUIS,MO  63129_x000D_
United States</t>
  </si>
  <si>
    <t xml:space="preserve">Contact </t>
  </si>
  <si>
    <t>Ship Via</t>
  </si>
  <si>
    <t>Best Way</t>
  </si>
  <si>
    <t>Phone</t>
  </si>
  <si>
    <t>Fax</t>
  </si>
  <si>
    <t>314-845-0077</t>
  </si>
  <si>
    <t xml:space="preserve"> </t>
  </si>
  <si>
    <t>314-845-6166</t>
  </si>
  <si>
    <t xml:space="preserve">|663390~ </t>
  </si>
  <si>
    <t xml:space="preserve">|66340n~ </t>
  </si>
  <si>
    <t xml:space="preserve">|66341s~ </t>
  </si>
  <si>
    <t>Build nozzles and weld</t>
  </si>
  <si>
    <t xml:space="preserve">|66342x~ </t>
  </si>
  <si>
    <t>Build Repads for Nozzles</t>
  </si>
  <si>
    <t>.107</t>
  </si>
  <si>
    <t>Build Repads for Nozzles, drill and tap holes</t>
  </si>
  <si>
    <t xml:space="preserve">|66343£~ </t>
  </si>
  <si>
    <t>Build Dip Tubes-Weld</t>
  </si>
  <si>
    <t>.110</t>
  </si>
  <si>
    <t>Build dip tubes and weld</t>
  </si>
  <si>
    <t xml:space="preserve">|66344¨~ </t>
  </si>
  <si>
    <t xml:space="preserve">|66345®~ </t>
  </si>
  <si>
    <t xml:space="preserve">|66346%~ </t>
  </si>
  <si>
    <t xml:space="preserve">|66347*~ </t>
  </si>
  <si>
    <t xml:space="preserve">|66348/~ </t>
  </si>
  <si>
    <t xml:space="preserve">|663494~ </t>
  </si>
  <si>
    <t xml:space="preserve">|66350r~ </t>
  </si>
  <si>
    <t>Build supports: legs, lugs, saddles_x000D_
TACK ONLY</t>
  </si>
  <si>
    <t xml:space="preserve">|66351w~ </t>
  </si>
  <si>
    <t>Make lift lugs, ground lugs, etc._x000D_
INCL MAKE &amp; POLISH VORTEX BREAKER</t>
  </si>
  <si>
    <t xml:space="preserve">|66352¢~ </t>
  </si>
  <si>
    <t>Wrap Top &amp; Bottom Heads</t>
  </si>
  <si>
    <t>.300</t>
  </si>
  <si>
    <t>Wrap top and bottom heads</t>
  </si>
  <si>
    <t xml:space="preserve">|66353§~ </t>
  </si>
  <si>
    <t xml:space="preserve">|66354¬~ </t>
  </si>
  <si>
    <t>Shells: bring in plate, square, trim and clean</t>
  </si>
  <si>
    <t xml:space="preserve">|66355$~ </t>
  </si>
  <si>
    <t>Roll shells, tack and weld inside seams_x000D_
WELD OUTSIDE SEAM W/ COBOT</t>
  </si>
  <si>
    <t xml:space="preserve">|66356)~ </t>
  </si>
  <si>
    <t xml:space="preserve">|66357.~ </t>
  </si>
  <si>
    <t>Lay out top head, burn and clean holes_x000D_
CUT HOLES ON BURN TABLE</t>
  </si>
  <si>
    <t xml:space="preserve">|663583~ </t>
  </si>
  <si>
    <t>Set  nozzles, lift lugs, etc. in top head - tack_x000D_
INCL (2) LIFT LUGS</t>
  </si>
  <si>
    <t xml:space="preserve">|663598~ </t>
  </si>
  <si>
    <t>Weld out top head nozzles, etc. _x000D_
INCL (2) LIFT LUGS</t>
  </si>
  <si>
    <t xml:space="preserve">|66360v~ </t>
  </si>
  <si>
    <t>Install and weld out repads - top head</t>
  </si>
  <si>
    <t xml:space="preserve">|66361¡~ </t>
  </si>
  <si>
    <t>Install Top Stiffeners</t>
  </si>
  <si>
    <t>.375</t>
  </si>
  <si>
    <t>Install top stiffeners_x000D_
GUSSETS FOR N3</t>
  </si>
  <si>
    <t xml:space="preserve">|66362¦~ </t>
  </si>
  <si>
    <t>Polish I/S Weld Seam-Top</t>
  </si>
  <si>
    <t>.395</t>
  </si>
  <si>
    <t>Polish inside weld seams - top head</t>
  </si>
  <si>
    <t xml:space="preserve">|66363«~ </t>
  </si>
  <si>
    <t xml:space="preserve">|66364#~ </t>
  </si>
  <si>
    <t>Lay out bottom head, burn and clean holes_x000D_
CUT HOLES ON BURN TABLE</t>
  </si>
  <si>
    <t xml:space="preserve">|66365(~ </t>
  </si>
  <si>
    <t>Set Nozzles - Bottom Head</t>
  </si>
  <si>
    <t>.465</t>
  </si>
  <si>
    <t>Set  nozzles in bottom head - tack_x000D_
INCL VORTEX BREAKER</t>
  </si>
  <si>
    <t xml:space="preserve">|66366-~ </t>
  </si>
  <si>
    <t>Weld Nozzles - Bot. Head</t>
  </si>
  <si>
    <t>.466</t>
  </si>
  <si>
    <t>Weld nozzles in bottom head; weld complete_x000D_
INCL VORTEX BREAKER</t>
  </si>
  <si>
    <t xml:space="preserve">|663672~ </t>
  </si>
  <si>
    <t>Polish I/S Weld Seam-Btm</t>
  </si>
  <si>
    <t>.495</t>
  </si>
  <si>
    <t>Polish inside weld seams - bottom head</t>
  </si>
  <si>
    <t xml:space="preserve">|663954~ </t>
  </si>
  <si>
    <t>ASME Inspection Internal</t>
  </si>
  <si>
    <t>.OI2</t>
  </si>
  <si>
    <t xml:space="preserve">|663687~ </t>
  </si>
  <si>
    <t>Fit bottom head to shell_x000D_
AND WELD INSIDE</t>
  </si>
  <si>
    <t xml:space="preserve">|66369&lt;~ </t>
  </si>
  <si>
    <t>Lay out shell, burn and clean holes_x000D_
ON BURN TABLE</t>
  </si>
  <si>
    <t xml:space="preserve">|66370z~ </t>
  </si>
  <si>
    <t>Polish I/S Weld Seam-Shl</t>
  </si>
  <si>
    <t>.638</t>
  </si>
  <si>
    <t>Polish inside weld seams - shell_x000D_
INCL HOLE WATCH</t>
  </si>
  <si>
    <t xml:space="preserve">|66371¥~ </t>
  </si>
  <si>
    <t xml:space="preserve">|66372ª~ </t>
  </si>
  <si>
    <t>Fit top head to shell - tack_x000D_
AND WELD INSIDE (INCL HOLE WATCH)</t>
  </si>
  <si>
    <t xml:space="preserve">|66373"~ </t>
  </si>
  <si>
    <t xml:space="preserve">|66374'~ </t>
  </si>
  <si>
    <t>Fit Jacket to Shell</t>
  </si>
  <si>
    <t>.700</t>
  </si>
  <si>
    <t>Fit jacket to shell</t>
  </si>
  <si>
    <t xml:space="preserve">|66375,~ </t>
  </si>
  <si>
    <t>Weld Jacket to Shell</t>
  </si>
  <si>
    <t>.705</t>
  </si>
  <si>
    <t>Weld jacket to shell</t>
  </si>
  <si>
    <t xml:space="preserve">|663761~ </t>
  </si>
  <si>
    <t>Install Jacket Nozzles</t>
  </si>
  <si>
    <t>.710</t>
  </si>
  <si>
    <t>Install jacket nozzles</t>
  </si>
  <si>
    <t xml:space="preserve">|663776~ </t>
  </si>
  <si>
    <t>Weld Jacket Nozzles</t>
  </si>
  <si>
    <t>.711</t>
  </si>
  <si>
    <t>Weld jacket nozzles</t>
  </si>
  <si>
    <t xml:space="preserve">|66378;~ </t>
  </si>
  <si>
    <t>Install Insul/Vac Rings</t>
  </si>
  <si>
    <t>.715</t>
  </si>
  <si>
    <t>Install insulation/vacuum rings - tack</t>
  </si>
  <si>
    <t xml:space="preserve">|66379@~ </t>
  </si>
  <si>
    <t>Install supports - legs, lugs, anchors, saddles, skirt_x000D_
AND WELD COMPLETE</t>
  </si>
  <si>
    <t xml:space="preserve">|66380¤~ </t>
  </si>
  <si>
    <t>Install dip pipe supports</t>
  </si>
  <si>
    <t xml:space="preserve">|66381©~ </t>
  </si>
  <si>
    <t xml:space="preserve">|66382!~ </t>
  </si>
  <si>
    <t xml:space="preserve">|66383&amp;~ </t>
  </si>
  <si>
    <t xml:space="preserve">|66384+~ </t>
  </si>
  <si>
    <t xml:space="preserve">|663850~ </t>
  </si>
  <si>
    <t xml:space="preserve">|663865~ </t>
  </si>
  <si>
    <t>Test tank_x000D_
FOR TANK AND JACKET</t>
  </si>
  <si>
    <t xml:space="preserve">|66387:~ </t>
  </si>
  <si>
    <t xml:space="preserve">|66388?~ </t>
  </si>
  <si>
    <t>ASME Inspection Test</t>
  </si>
  <si>
    <t>.OI3</t>
  </si>
  <si>
    <t xml:space="preserve">|66389D~ </t>
  </si>
  <si>
    <t xml:space="preserve">|66390¨~ </t>
  </si>
  <si>
    <t xml:space="preserve">|66391®~ </t>
  </si>
  <si>
    <t>Prepare Tank for Shipment</t>
  </si>
  <si>
    <t>.940</t>
  </si>
  <si>
    <t>Prepare tank for shipment</t>
  </si>
  <si>
    <t xml:space="preserve">|66392%~ </t>
  </si>
  <si>
    <t xml:space="preserve">|66393*~ </t>
  </si>
  <si>
    <t xml:space="preserve">|66394/~ </t>
  </si>
  <si>
    <t>Materials</t>
  </si>
  <si>
    <t>Picks</t>
  </si>
  <si>
    <t>Material</t>
  </si>
  <si>
    <t>Primary</t>
  </si>
  <si>
    <t>Requirement Key</t>
  </si>
  <si>
    <t>Location</t>
  </si>
  <si>
    <t>Quantity</t>
  </si>
  <si>
    <t>Detail Number:</t>
  </si>
  <si>
    <t>Buys</t>
  </si>
  <si>
    <t>Material
Description</t>
  </si>
  <si>
    <t>Vendor</t>
  </si>
  <si>
    <t>PO</t>
  </si>
  <si>
    <t>Qty</t>
  </si>
  <si>
    <t>HEAD</t>
  </si>
  <si>
    <t xml:space="preserve">|35635®~ </t>
  </si>
  <si>
    <t>Build Head to Specifications</t>
  </si>
  <si>
    <t>______________</t>
  </si>
  <si>
    <t>40233</t>
  </si>
  <si>
    <t>PLT 316L 3/16 X 72 X</t>
  </si>
  <si>
    <t xml:space="preserve">|35679D~ </t>
  </si>
  <si>
    <t>Plate 316L 3/16"x 72"x</t>
  </si>
  <si>
    <t>SA240-316/316L</t>
  </si>
  <si>
    <t>40244</t>
  </si>
  <si>
    <t>DIPPLE JACKET</t>
  </si>
  <si>
    <t xml:space="preserve">|35789K~ </t>
  </si>
  <si>
    <t>Build Dipple Jacket to Specs</t>
  </si>
  <si>
    <t>40283</t>
  </si>
  <si>
    <t>'FREIGHT</t>
  </si>
  <si>
    <t xml:space="preserve">|35791'~ </t>
  </si>
  <si>
    <t>WELD-IN THERMOWELL</t>
  </si>
  <si>
    <t xml:space="preserve">|39351z~ </t>
  </si>
  <si>
    <t>WIL12316P1T</t>
  </si>
  <si>
    <t>40443</t>
  </si>
  <si>
    <t>PLT 316L 1/4 X 48 X</t>
  </si>
  <si>
    <t xml:space="preserve">|39642ª~ </t>
  </si>
  <si>
    <t>Plate 316L 1/4"x 48"x</t>
  </si>
  <si>
    <t>SA240-316/316L_x000D_
208"</t>
  </si>
  <si>
    <t>40557</t>
  </si>
  <si>
    <t>PLT 304L 1/4 X 48 X</t>
  </si>
  <si>
    <t xml:space="preserve">|39643"~ </t>
  </si>
  <si>
    <t>Plate 304L 1/4"x 48"x</t>
  </si>
  <si>
    <t>SA240-304/304L</t>
  </si>
  <si>
    <t>EST. FUEL SURCHARGE</t>
  </si>
  <si>
    <t xml:space="preserve">|396461~ </t>
  </si>
  <si>
    <t>GASKET RING 1/8X16 150#</t>
  </si>
  <si>
    <t xml:space="preserve">|396476~ </t>
  </si>
  <si>
    <t>Gasket Ring 1/8"x16" 150#</t>
  </si>
  <si>
    <t>40561</t>
  </si>
  <si>
    <t>STUD, 1" - 8NC X 6 1/2" FULL THREADED</t>
  </si>
  <si>
    <t xml:space="preserve">|39662%~ </t>
  </si>
  <si>
    <t>SA193-B7 (ZINC COATED)</t>
  </si>
  <si>
    <t>40571</t>
  </si>
  <si>
    <t>NUT, 1" - 8NC HH</t>
  </si>
  <si>
    <t xml:space="preserve">|39663*~ </t>
  </si>
  <si>
    <t>SA194-2H (ZINC COATED)</t>
  </si>
  <si>
    <t>PIPE 316L 3 SC40 WLD X</t>
  </si>
  <si>
    <t xml:space="preserve">|39685&lt;~ </t>
  </si>
  <si>
    <t>Pipe 316L 3" Sch40 Welded</t>
  </si>
  <si>
    <t>SA312-316/316L</t>
  </si>
  <si>
    <t>40578</t>
  </si>
  <si>
    <t>FLANGE 304L 2"150 RFSO</t>
  </si>
  <si>
    <t xml:space="preserve">|39686A~ </t>
  </si>
  <si>
    <t>Flange 304L 2" 150# RFSO</t>
  </si>
  <si>
    <t>SA182F-304/304L B16.5</t>
  </si>
  <si>
    <t>PIPE 304L 2 SC40 WLD X</t>
  </si>
  <si>
    <t xml:space="preserve">|39687F~ </t>
  </si>
  <si>
    <t>Pipe 304L 2" Sch40 Welded</t>
  </si>
  <si>
    <t>SA312-304/304L</t>
  </si>
  <si>
    <t>FLANGE 316L 16"150 BLIND</t>
  </si>
  <si>
    <t xml:space="preserve">|39688K~ </t>
  </si>
  <si>
    <t>Flange 316L 16" 150 BLIND</t>
  </si>
  <si>
    <t>FLANGE 316L 1"150 RFSO</t>
  </si>
  <si>
    <t xml:space="preserve">|39689P~ </t>
  </si>
  <si>
    <t>Flange 316L 1" 150# RFSO</t>
  </si>
  <si>
    <t>SA182F-316/316L B16.5</t>
  </si>
  <si>
    <t>FLANGE 316L 2"150 RFSO</t>
  </si>
  <si>
    <t xml:space="preserve">|39690'~ </t>
  </si>
  <si>
    <t>Flange 316L 2" 150# RFSO</t>
  </si>
  <si>
    <t>FLANGE 316L 3"150 RFSO</t>
  </si>
  <si>
    <t xml:space="preserve">|39691,~ </t>
  </si>
  <si>
    <t>Flange 316L 3" 150# RFSO</t>
  </si>
  <si>
    <t>FLANGE 316L 16"150 RFSO</t>
  </si>
  <si>
    <t xml:space="preserve">|396921~ </t>
  </si>
  <si>
    <t>Flange 316L 16" 150 RFSO</t>
  </si>
  <si>
    <t>PIPE 316L 1 SC40 WLD X</t>
  </si>
  <si>
    <t xml:space="preserve">|396936~ </t>
  </si>
  <si>
    <t>Pipe 316L 1" Sch40 Welded</t>
  </si>
  <si>
    <t>PIPE 316L 2 SC40 WLD X</t>
  </si>
  <si>
    <t xml:space="preserve">|39694;~ </t>
  </si>
  <si>
    <t>Pipe 316L 2" Sch40 Welded</t>
  </si>
  <si>
    <t xml:space="preserve">Components </t>
  </si>
  <si>
    <t>Job</t>
  </si>
  <si>
    <t>Rev</t>
  </si>
  <si>
    <t>Total Est Hrs</t>
  </si>
  <si>
    <t>Make Qty</t>
  </si>
  <si>
    <t>Services</t>
  </si>
  <si>
    <t>Service</t>
  </si>
  <si>
    <t>111-25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</si>
</sst>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390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|25-111N~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.115</v>
      </c>
      <c r="D16" s="22" t="str">
        <f>'Sheet2-PASTE HERE!'!K26</f>
        <v>Make manway parts: cut clips, form handles,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.125</v>
      </c>
      <c r="D17" s="22" t="str">
        <f>'Sheet2-PASTE HERE!'!K27</f>
        <v>Roll manway neck</v>
      </c>
      <c r="E17" s="13">
        <f>'Sheet2-PASTE HERE!'!F27</f>
        <v>1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.130</v>
      </c>
      <c r="D18" s="22" t="str">
        <f>'Sheet2-PASTE HERE!'!K28</f>
        <v>Set up and weld manway flange and neck seam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.135</v>
      </c>
      <c r="D19" s="22" t="str">
        <f>'Sheet2-PASTE HERE!'!K29</f>
        <v>Build davit arm assembly and cover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.155</v>
      </c>
      <c r="D20" s="22" t="str">
        <f>'Sheet2-PASTE HERE!'!K30</f>
        <v>Burn and clean parts:  lugs, supports, repads, base ring, etc. (CHECK!)</v>
      </c>
      <c r="E20" s="13">
        <f>'Sheet2-PASTE HERE!'!F30</f>
        <v>10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.156</v>
      </c>
      <c r="D21" s="22" t="str">
        <f>'Sheet2-PASTE HERE!'!K31</f>
        <v/>
      </c>
      <c r="E21" s="13">
        <f>'Sheet2-PASTE HERE!'!F31</f>
        <v>5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.165</v>
      </c>
      <c r="D22" s="22" t="str">
        <f>'Sheet2-PASTE HERE!'!K32</f>
        <v>Build supports: legs, lugs, saddles_x000D_
TACK ONLY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etc._x000D_
INCL MAKE &amp; POLISH VORTEX BREAKER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2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WELD OUTSIDE SEAM W/ COBOT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CUT HOLES ON BURN TABLE</v>
      </c>
      <c r="E29" s="13">
        <f>'Sheet2-PASTE HERE!'!F39</f>
        <v>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(2) LIFT LUGS</v>
      </c>
      <c r="E30" s="13">
        <f>'Sheet2-PASTE HERE!'!F40</f>
        <v>7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(2) LIFT LUGS</v>
      </c>
      <c r="E31" s="13">
        <f>'Sheet2-PASTE HERE!'!F41</f>
        <v>10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</v>
      </c>
      <c r="E32" s="13">
        <f>'Sheet2-PASTE HERE!'!F42</f>
        <v>3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.375</v>
      </c>
      <c r="D33" s="22" t="str">
        <f>'Sheet2-PASTE HERE!'!K43</f>
        <v>Install top stiffeners_x000D_
GUSSETS FOR N3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.395</v>
      </c>
      <c r="D34" s="22" t="str">
        <f>'Sheet2-PASTE HERE!'!K44</f>
        <v>Polish inside weld seams - top head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.455</v>
      </c>
      <c r="D36" s="22" t="str">
        <f>'Sheet2-PASTE HERE!'!K46</f>
        <v>Lay out bottom head, burn and clean holes_x000D_
CUT HOLES ON BURN TABLE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.465</v>
      </c>
      <c r="D37" s="22" t="str">
        <f>'Sheet2-PASTE HERE!'!K47</f>
        <v>Set  nozzles in bottom head - tack_x000D_
INCL VORTEX BREAKER</v>
      </c>
      <c r="E37" s="13">
        <f>'Sheet2-PASTE HERE!'!F47</f>
        <v>3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.466</v>
      </c>
      <c r="D38" s="22" t="str">
        <f>'Sheet2-PASTE HERE!'!K48</f>
        <v>Weld nozzles in bottom head; weld complete_x000D_
INCL VORTEX BREAKER</v>
      </c>
      <c r="E38" s="13">
        <f>'Sheet2-PASTE HERE!'!F48</f>
        <v>3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.495</v>
      </c>
      <c r="D39" s="22" t="str">
        <f>'Sheet2-PASTE HERE!'!K49</f>
        <v>Polish inside weld seams - bottom head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.OI2</v>
      </c>
      <c r="D40" s="22" t="str">
        <f>'Sheet2-PASTE HERE!'!K50</f>
        <v>ASME Inspection Internal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</v>
      </c>
      <c r="E41" s="13">
        <f>'Sheet2-PASTE HERE!'!F51</f>
        <v>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.620</v>
      </c>
      <c r="D42" s="22" t="str">
        <f>'Sheet2-PASTE HERE!'!K52</f>
        <v>Lay out shell, burn and clean holes_x000D_
ON BURN TABLE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.638</v>
      </c>
      <c r="D43" s="22" t="str">
        <f>'Sheet2-PASTE HERE!'!K53</f>
        <v>Polish inside weld seams - shell_x000D_
INCL HOLE WATCH</v>
      </c>
      <c r="E43" s="13">
        <f>'Sheet2-PASTE HERE!'!F53</f>
        <v>14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tack_x000D_
AND WELD INSIDE (INCL HOLE WATCH)</v>
      </c>
      <c r="E45" s="13">
        <f>'Sheet2-PASTE HERE!'!F55</f>
        <v>8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.700</v>
      </c>
      <c r="D47" s="22" t="str">
        <f>'Sheet2-PASTE HERE!'!K57</f>
        <v>Fit jacket to shell</v>
      </c>
      <c r="E47" s="13">
        <f>'Sheet2-PASTE HERE!'!F57</f>
        <v>8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.705</v>
      </c>
      <c r="D48" s="22" t="str">
        <f>'Sheet2-PASTE HERE!'!K58</f>
        <v>Weld jacket to shell</v>
      </c>
      <c r="E48" s="13">
        <f>'Sheet2-PASTE HERE!'!F58</f>
        <v>16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.710</v>
      </c>
      <c r="D49" s="22" t="str">
        <f>'Sheet2-PASTE HERE!'!K59</f>
        <v>Install jacket nozzles</v>
      </c>
      <c r="E49" s="13">
        <f>'Sheet2-PASTE HERE!'!F59</f>
        <v>3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.711</v>
      </c>
      <c r="D50" s="22" t="str">
        <f>'Sheet2-PASTE HERE!'!K60</f>
        <v>Weld jacket nozzles</v>
      </c>
      <c r="E50" s="13">
        <f>'Sheet2-PASTE HERE!'!F60</f>
        <v>3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 COMPLETE</v>
      </c>
      <c r="E52" s="13">
        <f>'Sheet2-PASTE HERE!'!F62</f>
        <v>8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.735</v>
      </c>
      <c r="D53" s="22" t="str">
        <f>'Sheet2-PASTE HERE!'!K63</f>
        <v>Install dip pipe supports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.765</v>
      </c>
      <c r="D54" s="22" t="str">
        <f>'Sheet2-PASTE HERE!'!K64</f>
        <v>Install name tag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.770</v>
      </c>
      <c r="D55" s="22" t="str">
        <f>'Sheet2-PASTE HERE!'!K65</f>
        <v>Inspect tank, make repairs, get QC inspector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.QC6</v>
      </c>
      <c r="D56" s="22" t="str">
        <f>'Sheet2-PASTE HERE!'!K66</f>
        <v>QC Inspection - Fabrication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1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tank_x000D_
FOR TANK AND JACKET</v>
      </c>
      <c r="E59" s="13">
        <f>'Sheet2-PASTE HERE!'!F69</f>
        <v>20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.920</v>
      </c>
      <c r="D62" s="22" t="str">
        <f>'Sheet2-PASTE HERE!'!K72</f>
        <v>Clean tank complete</v>
      </c>
      <c r="E62" s="13">
        <f>'Sheet2-PASTE HERE!'!F72</f>
        <v>8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.QC8</v>
      </c>
      <c r="D63" s="22" t="str">
        <f>'Sheet2-PASTE HERE!'!K73</f>
        <v>QC Inspection - Clean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.940</v>
      </c>
      <c r="D64" s="22" t="str">
        <f>'Sheet2-PASTE HERE!'!K74</f>
        <v>Prepare tank for shipment</v>
      </c>
      <c r="E64" s="13">
        <f>'Sheet2-PASTE HERE!'!F74</f>
        <v>1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 t="str">
        <f>'Sheet2-PASTE HERE!'!I82</f>
        <v>Location</v>
      </c>
      <c r="D72" s="22" t="str">
        <f>'Sheet2-PASTE HERE!'!K82</f>
        <v/>
      </c>
      <c r="E72" s="13" t="str">
        <f>'Sheet2-PASTE HERE!'!F82</f>
        <v>Due Date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/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 t="str">
        <f>'Sheet2-PASTE HERE!'!I88</f>
        <v>Quantity</v>
      </c>
      <c r="D78" s="22" t="str">
        <f>'Sheet2-PASTE HERE!'!K88</f>
        <v>Name</v>
      </c>
      <c r="E78" s="13" t="str">
        <f>'Sheet2-PASTE HERE!'!F88</f>
        <v>Vendor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35635</v>
      </c>
      <c r="B79" s="11"/>
      <c r="C79" s="17" t="str">
        <f>'Sheet2-PASTE HERE!'!I89</f>
        <v>______________</v>
      </c>
      <c r="D79" s="22">
        <f>'Sheet2-PASTE HERE!'!K89</f>
        <v>0</v>
      </c>
      <c r="E79" s="13" t="str">
        <f>'Sheet2-PASTE HERE!'!F89</f>
        <v>Build Head to Specifications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40233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35679</v>
      </c>
      <c r="B82" s="11"/>
      <c r="C82" s="17" t="str">
        <f>'Sheet2-PASTE HERE!'!I92</f>
        <v>______________</v>
      </c>
      <c r="D82" s="22">
        <f>'Sheet2-PASTE HERE!'!K92</f>
        <v>0</v>
      </c>
      <c r="E82" s="13" t="str">
        <f>'Sheet2-PASTE HERE!'!F92</f>
        <v>Plate 316L 3/16"x 72"x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SA240-316/316L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40244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35789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>Build Dipple Jacket to Specs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40283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35791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40283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39351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WIL12316P1T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 t="str">
        <f>'Sheet2-PASTE HERE!'!A103</f>
        <v>40443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39642</v>
      </c>
      <c r="B95" s="11"/>
      <c r="C95" s="17" t="str">
        <f>'Sheet2-PASTE HERE!'!I105</f>
        <v>______________</v>
      </c>
      <c r="D95" s="22">
        <f>'Sheet2-PASTE HERE!'!K105</f>
        <v>0</v>
      </c>
      <c r="E95" s="13" t="str">
        <f>'Sheet2-PASTE HERE!'!F105</f>
        <v>Plate 316L 1/4"x 48"x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 t="str">
        <f>'Sheet2-PASTE HERE!'!A106</f>
        <v>SA240-316/316L_x000D_
208"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 t="str">
        <f>'Sheet2-PASTE HERE!'!A107</f>
        <v>40557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39643</v>
      </c>
      <c r="B99" s="11"/>
      <c r="C99" s="17" t="str">
        <f>'Sheet2-PASTE HERE!'!I109</f>
        <v>______________</v>
      </c>
      <c r="D99" s="22">
        <f>'Sheet2-PASTE HERE!'!K109</f>
        <v>0</v>
      </c>
      <c r="E99" s="13" t="str">
        <f>'Sheet2-PASTE HERE!'!F109</f>
        <v>Plate 304L 1/4"x 48"x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 t="str">
        <f>'Sheet2-PASTE HERE!'!A110</f>
        <v>SA240-304/304L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390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|25-111N~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6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.115</v>
      </c>
      <c r="D16" s="22" t="str">
        <f>'Sheet2-PASTE HERE!'!K26</f>
        <v>Make manway parts: cut clips, form handles,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.125</v>
      </c>
      <c r="D17" s="22" t="str">
        <f>'Sheet2-PASTE HERE!'!K27</f>
        <v>Roll manway neck</v>
      </c>
      <c r="E17" s="13">
        <f>'Sheet2-PASTE HERE!'!F27</f>
        <v>1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.130</v>
      </c>
      <c r="D18" s="22" t="str">
        <f>'Sheet2-PASTE HERE!'!K28</f>
        <v>Set up and weld manway flange and neck seam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.135</v>
      </c>
      <c r="D19" s="22" t="str">
        <f>'Sheet2-PASTE HERE!'!K29</f>
        <v>Build davit arm assembly and cover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.155</v>
      </c>
      <c r="D20" s="22" t="str">
        <f>'Sheet2-PASTE HERE!'!K30</f>
        <v>Burn and clean parts:  lugs, supports, repads, base ring, etc. (CHECK!)</v>
      </c>
      <c r="E20" s="13">
        <f>'Sheet2-PASTE HERE!'!F30</f>
        <v>10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.156</v>
      </c>
      <c r="D21" s="22" t="str">
        <f>'Sheet2-PASTE HERE!'!K31</f>
        <v/>
      </c>
      <c r="E21" s="13">
        <f>'Sheet2-PASTE HERE!'!F31</f>
        <v>5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.165</v>
      </c>
      <c r="D22" s="22" t="str">
        <f>'Sheet2-PASTE HERE!'!K32</f>
        <v>Build supports: legs, lugs, saddles_x000D_
TACK ONLY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.200</v>
      </c>
      <c r="D23" s="22" t="str">
        <f>'Sheet2-PASTE HERE!'!K33</f>
        <v>Make lift lugs, ground lugs, etc._x000D_
INCL MAKE &amp; POLISH VORTEX BREAKER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.300</v>
      </c>
      <c r="D24" s="22" t="str">
        <f>'Sheet2-PASTE HERE!'!K34</f>
        <v>Wrap top and bottom heads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INSPECTION</v>
      </c>
      <c r="B25" s="11"/>
      <c r="C25" s="17" t="str">
        <f>'Sheet2-PASTE HERE!'!I35</f>
        <v>.QC3</v>
      </c>
      <c r="D25" s="22" t="str">
        <f>'Sheet2-PASTE HERE!'!K35</f>
        <v>UT Shells</v>
      </c>
      <c r="E25" s="13">
        <f>'Sheet2-PASTE HERE!'!F35</f>
        <v>0</v>
      </c>
      <c r="F25" s="12"/>
      <c r="G25" s="12"/>
      <c r="H25" s="12"/>
      <c r="K25">
        <f t="shared" si="0"/>
        <v>1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.305</v>
      </c>
      <c r="D26" s="22" t="str">
        <f>'Sheet2-PASTE HERE!'!K36</f>
        <v>Shells: bring in plate, square, trim and clean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.315</v>
      </c>
      <c r="D27" s="22" t="str">
        <f>'Sheet2-PASTE HERE!'!K37</f>
        <v>Roll shells, tack and weld inside seams_x000D_
WELD OUTSIDE SEAM W/ COBOT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.355</v>
      </c>
      <c r="D29" s="22" t="str">
        <f>'Sheet2-PASTE HERE!'!K39</f>
        <v>Lay out top head, burn and clean holes_x000D_
CUT HOLES ON BURN TABLE</v>
      </c>
      <c r="E29" s="13">
        <f>'Sheet2-PASTE HERE!'!F39</f>
        <v>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.365</v>
      </c>
      <c r="D30" s="22" t="str">
        <f>'Sheet2-PASTE HERE!'!K40</f>
        <v>Set  nozzles, lift lugs, etc. in top head - tack_x000D_
INCL (2) LIFT LUGS</v>
      </c>
      <c r="E30" s="13">
        <f>'Sheet2-PASTE HERE!'!F40</f>
        <v>7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.366</v>
      </c>
      <c r="D31" s="22" t="str">
        <f>'Sheet2-PASTE HERE!'!K41</f>
        <v>Weld out top head nozzles, etc. _x000D_
INCL (2) LIFT LUGS</v>
      </c>
      <c r="E31" s="13">
        <f>'Sheet2-PASTE HERE!'!F41</f>
        <v>10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.370</v>
      </c>
      <c r="D32" s="22" t="str">
        <f>'Sheet2-PASTE HERE!'!K42</f>
        <v>Install and weld out repads - top head</v>
      </c>
      <c r="E32" s="13">
        <f>'Sheet2-PASTE HERE!'!F42</f>
        <v>3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.375</v>
      </c>
      <c r="D33" s="22" t="str">
        <f>'Sheet2-PASTE HERE!'!K43</f>
        <v>Install top stiffeners_x000D_
GUSSETS FOR N3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.395</v>
      </c>
      <c r="D34" s="22" t="str">
        <f>'Sheet2-PASTE HERE!'!K44</f>
        <v>Polish inside weld seams - top head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.QC4</v>
      </c>
      <c r="D35" s="22" t="str">
        <f>'Sheet2-PASTE HERE!'!K45</f>
        <v>QC Inspection - Top/Bottom/Cones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.455</v>
      </c>
      <c r="D36" s="22" t="str">
        <f>'Sheet2-PASTE HERE!'!K46</f>
        <v>Lay out bottom head, burn and clean holes_x000D_
CUT HOLES ON BURN TABLE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.465</v>
      </c>
      <c r="D37" s="22" t="str">
        <f>'Sheet2-PASTE HERE!'!K47</f>
        <v>Set  nozzles in bottom head - tack_x000D_
INCL VORTEX BREAKER</v>
      </c>
      <c r="E37" s="13">
        <f>'Sheet2-PASTE HERE!'!F47</f>
        <v>3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.466</v>
      </c>
      <c r="D38" s="22" t="str">
        <f>'Sheet2-PASTE HERE!'!K48</f>
        <v>Weld nozzles in bottom head; weld complete_x000D_
INCL VORTEX BREAKER</v>
      </c>
      <c r="E38" s="13">
        <f>'Sheet2-PASTE HERE!'!F48</f>
        <v>3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.495</v>
      </c>
      <c r="D39" s="22" t="str">
        <f>'Sheet2-PASTE HERE!'!K49</f>
        <v>Polish inside weld seams - bottom head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.OI2</v>
      </c>
      <c r="D40" s="22" t="str">
        <f>'Sheet2-PASTE HERE!'!K50</f>
        <v>ASME Inspection Internal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</v>
      </c>
      <c r="E41" s="13">
        <f>'Sheet2-PASTE HERE!'!F51</f>
        <v>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.620</v>
      </c>
      <c r="D42" s="22" t="str">
        <f>'Sheet2-PASTE HERE!'!K52</f>
        <v>Lay out shell, burn and clean holes_x000D_
ON BURN TABLE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.638</v>
      </c>
      <c r="D43" s="22" t="str">
        <f>'Sheet2-PASTE HERE!'!K53</f>
        <v>Polish inside weld seams - shell_x000D_
INCL HOLE WATCH</v>
      </c>
      <c r="E43" s="13">
        <f>'Sheet2-PASTE HERE!'!F53</f>
        <v>14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</v>
      </c>
      <c r="D44" s="22" t="str">
        <f>'Sheet2-PASTE HERE!'!K54</f>
        <v>QC Inspection - Internal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.640</v>
      </c>
      <c r="D45" s="22" t="str">
        <f>'Sheet2-PASTE HERE!'!K55</f>
        <v>Fit top head to shell - tack_x000D_
AND WELD INSIDE (INCL HOLE WATCH)</v>
      </c>
      <c r="E45" s="13">
        <f>'Sheet2-PASTE HERE!'!F55</f>
        <v>8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.800</v>
      </c>
      <c r="D46" s="22" t="str">
        <f>'Sheet2-PASTE HERE!'!K56</f>
        <v>Move tank to detail rolls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.700</v>
      </c>
      <c r="D47" s="22" t="str">
        <f>'Sheet2-PASTE HERE!'!K57</f>
        <v>Fit jacket to shell</v>
      </c>
      <c r="E47" s="13">
        <f>'Sheet2-PASTE HERE!'!F57</f>
        <v>8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.705</v>
      </c>
      <c r="D48" s="22" t="str">
        <f>'Sheet2-PASTE HERE!'!K58</f>
        <v>Weld jacket to shell</v>
      </c>
      <c r="E48" s="13">
        <f>'Sheet2-PASTE HERE!'!F58</f>
        <v>16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.710</v>
      </c>
      <c r="D49" s="22" t="str">
        <f>'Sheet2-PASTE HERE!'!K59</f>
        <v>Install jacket nozzles</v>
      </c>
      <c r="E49" s="13">
        <f>'Sheet2-PASTE HERE!'!F59</f>
        <v>3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.711</v>
      </c>
      <c r="D50" s="22" t="str">
        <f>'Sheet2-PASTE HERE!'!K60</f>
        <v>Weld jacket nozzles</v>
      </c>
      <c r="E50" s="13">
        <f>'Sheet2-PASTE HERE!'!F60</f>
        <v>3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 COMPLETE</v>
      </c>
      <c r="E52" s="13">
        <f>'Sheet2-PASTE HERE!'!F62</f>
        <v>8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.735</v>
      </c>
      <c r="D53" s="22" t="str">
        <f>'Sheet2-PASTE HERE!'!K63</f>
        <v>Install dip pipe supports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.765</v>
      </c>
      <c r="D54" s="22" t="str">
        <f>'Sheet2-PASTE HERE!'!K64</f>
        <v>Install name tag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.770</v>
      </c>
      <c r="D55" s="22" t="str">
        <f>'Sheet2-PASTE HERE!'!K65</f>
        <v>Inspect tank, make repairs, get QC inspector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.QC6</v>
      </c>
      <c r="D56" s="22" t="str">
        <f>'Sheet2-PASTE HERE!'!K66</f>
        <v>QC Inspection - Fabrication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1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tank_x000D_
FOR TANK AND JACKET</v>
      </c>
      <c r="E59" s="13">
        <f>'Sheet2-PASTE HERE!'!F69</f>
        <v>20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.920</v>
      </c>
      <c r="D62" s="22" t="str">
        <f>'Sheet2-PASTE HERE!'!K72</f>
        <v>Clean tank complete</v>
      </c>
      <c r="E62" s="13">
        <f>'Sheet2-PASTE HERE!'!F72</f>
        <v>8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.QC8</v>
      </c>
      <c r="D63" s="22" t="str">
        <f>'Sheet2-PASTE HERE!'!K73</f>
        <v>QC Inspection - Clean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.940</v>
      </c>
      <c r="D64" s="22" t="str">
        <f>'Sheet2-PASTE HERE!'!K74</f>
        <v>Prepare tank for shipment</v>
      </c>
      <c r="E64" s="13">
        <f>'Sheet2-PASTE HERE!'!F74</f>
        <v>1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.QC95</v>
      </c>
      <c r="D65" s="22" t="str">
        <f>'Sheet2-PASTE HERE!'!K75</f>
        <v>QC Inspection - Final &amp; Loose Items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SHIPPING</v>
      </c>
      <c r="B66" s="11"/>
      <c r="C66" s="17" t="str">
        <f>'Sheet2-PASTE HERE!'!I76</f>
        <v>.960</v>
      </c>
      <c r="D66" s="22" t="str">
        <f>'Sheet2-PASTE HERE!'!K76</f>
        <v>Load on truck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 t="str">
        <f>'Sheet2-PASTE HERE!'!I82</f>
        <v>Location</v>
      </c>
      <c r="D72" s="22" t="str">
        <f>'Sheet2-PASTE HERE!'!K82</f>
        <v/>
      </c>
      <c r="E72" s="13" t="str">
        <f>'Sheet2-PASTE HERE!'!F82</f>
        <v>Due Date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/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 t="str">
        <f>'Sheet2-PASTE HERE!'!I88</f>
        <v>Quantity</v>
      </c>
      <c r="D78" s="22" t="str">
        <f>'Sheet2-PASTE HERE!'!K88</f>
        <v>Name</v>
      </c>
      <c r="E78" s="13" t="str">
        <f>'Sheet2-PASTE HERE!'!F88</f>
        <v>Vendor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35635</v>
      </c>
      <c r="B79" s="11"/>
      <c r="C79" s="17" t="str">
        <f>'Sheet2-PASTE HERE!'!I89</f>
        <v>______________</v>
      </c>
      <c r="D79" s="22">
        <f>'Sheet2-PASTE HERE!'!K89</f>
        <v>0</v>
      </c>
      <c r="E79" s="13" t="str">
        <f>'Sheet2-PASTE HERE!'!F89</f>
        <v>Build Head to Specifications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40233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35679</v>
      </c>
      <c r="B82" s="11"/>
      <c r="C82" s="17" t="str">
        <f>'Sheet2-PASTE HERE!'!I92</f>
        <v>______________</v>
      </c>
      <c r="D82" s="22">
        <f>'Sheet2-PASTE HERE!'!K92</f>
        <v>0</v>
      </c>
      <c r="E82" s="13" t="str">
        <f>'Sheet2-PASTE HERE!'!F92</f>
        <v>Plate 316L 3/16"x 72"x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SA240-316/316L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40244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35789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>Build Dipple Jacket to Specs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40283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35791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/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40283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39351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WIL12316P1T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 t="str">
        <f>'Sheet2-PASTE HERE!'!A103</f>
        <v>40443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39642</v>
      </c>
      <c r="B95" s="11"/>
      <c r="C95" s="17" t="str">
        <f>'Sheet2-PASTE HERE!'!I105</f>
        <v>______________</v>
      </c>
      <c r="D95" s="22">
        <f>'Sheet2-PASTE HERE!'!K105</f>
        <v>0</v>
      </c>
      <c r="E95" s="13" t="str">
        <f>'Sheet2-PASTE HERE!'!F105</f>
        <v>Plate 316L 1/4"x 48"x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 t="str">
        <f>'Sheet2-PASTE HERE!'!A106</f>
        <v>SA240-316/316L_x000D_
208"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 t="str">
        <f>'Sheet2-PASTE HERE!'!A107</f>
        <v>40557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39643</v>
      </c>
      <c r="B99" s="11"/>
      <c r="C99" s="17" t="str">
        <f>'Sheet2-PASTE HERE!'!I109</f>
        <v>______________</v>
      </c>
      <c r="D99" s="22">
        <f>'Sheet2-PASTE HERE!'!K109</f>
        <v>0</v>
      </c>
      <c r="E99" s="13" t="str">
        <f>'Sheet2-PASTE HERE!'!F109</f>
        <v>Plate 304L 1/4"x 48"x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 t="str">
        <f>'Sheet2-PASTE HERE!'!A110</f>
        <v>SA240-304/304L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1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B1" s="8" t="s">
        <v>155</v>
      </c>
    </row>
    <row r="2" spans="1:30" ht="12.75" customHeight="1" x14ac:dyDescent="0.2">
      <c r="A2" s="8" t="s">
        <v>16</v>
      </c>
      <c r="B2" s="8" t="s">
        <v>156</v>
      </c>
      <c r="C2" s="8" t="s">
        <v>17</v>
      </c>
      <c r="D2" s="8" t="s">
        <v>157</v>
      </c>
      <c r="E2" s="8" t="s">
        <v>18</v>
      </c>
      <c r="F2" s="8" t="s">
        <v>158</v>
      </c>
      <c r="G2" s="8" t="s">
        <v>156</v>
      </c>
      <c r="H2" s="8" t="s">
        <v>20</v>
      </c>
      <c r="I2" s="8" t="s">
        <v>19</v>
      </c>
      <c r="L2" s="8" t="s">
        <v>21</v>
      </c>
      <c r="M2" s="8" t="s">
        <v>19</v>
      </c>
      <c r="N2" s="8" t="s">
        <v>22</v>
      </c>
      <c r="O2" s="8" t="s">
        <v>19</v>
      </c>
      <c r="R2" s="8" t="s">
        <v>23</v>
      </c>
      <c r="S2" s="21">
        <v>1</v>
      </c>
      <c r="T2" s="8" t="s">
        <v>24</v>
      </c>
      <c r="U2" s="8" t="s">
        <v>25</v>
      </c>
      <c r="V2" s="8" t="s">
        <v>26</v>
      </c>
      <c r="W2" s="19">
        <v>45961</v>
      </c>
      <c r="Y2" s="8" t="s">
        <v>27</v>
      </c>
      <c r="Z2" s="21">
        <v>1</v>
      </c>
      <c r="AA2" s="8" t="s">
        <v>24</v>
      </c>
      <c r="AB2" s="8" t="s">
        <v>25</v>
      </c>
      <c r="AC2" s="8" t="s">
        <v>28</v>
      </c>
      <c r="AD2" s="24">
        <v>205</v>
      </c>
    </row>
    <row r="3" spans="1:30" ht="12.75" customHeight="1" x14ac:dyDescent="0.2"/>
    <row r="4" spans="1:30" ht="12.75" customHeight="1" x14ac:dyDescent="0.2">
      <c r="A4" s="8" t="s">
        <v>159</v>
      </c>
      <c r="B4" s="8" t="s">
        <v>160</v>
      </c>
      <c r="C4" s="8" t="s">
        <v>161</v>
      </c>
      <c r="D4" s="8" t="s">
        <v>162</v>
      </c>
    </row>
    <row r="5" spans="1:30" ht="12.75" customHeight="1" x14ac:dyDescent="0.2">
      <c r="A5" s="8" t="s">
        <v>163</v>
      </c>
      <c r="B5" s="8" t="s">
        <v>164</v>
      </c>
      <c r="C5" s="8" t="s">
        <v>19</v>
      </c>
      <c r="D5" s="8" t="s">
        <v>165</v>
      </c>
      <c r="E5" s="8" t="s">
        <v>166</v>
      </c>
      <c r="F5" s="8" t="s">
        <v>167</v>
      </c>
      <c r="G5" s="8" t="s">
        <v>168</v>
      </c>
      <c r="H5" s="8" t="s">
        <v>169</v>
      </c>
      <c r="I5" s="8" t="s">
        <v>170</v>
      </c>
    </row>
    <row r="6" spans="1:30" ht="12.75" customHeight="1" x14ac:dyDescent="0.2"/>
    <row r="7" spans="1:30" ht="12.75" customHeight="1" x14ac:dyDescent="0.2"/>
    <row r="8" spans="1:30" ht="12.75" customHeight="1" x14ac:dyDescent="0.2">
      <c r="A8" s="8" t="s">
        <v>29</v>
      </c>
    </row>
    <row r="9" spans="1:30" ht="12.75" customHeight="1" x14ac:dyDescent="0.2"/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30</v>
      </c>
      <c r="C12" s="8" t="s">
        <v>31</v>
      </c>
      <c r="D12" s="8" t="s">
        <v>33</v>
      </c>
      <c r="E12" s="8" t="s">
        <v>34</v>
      </c>
      <c r="F12" s="8" t="s">
        <v>35</v>
      </c>
      <c r="G12" s="8" t="s">
        <v>36</v>
      </c>
      <c r="H12" s="8" t="s">
        <v>32</v>
      </c>
      <c r="I12" s="8" t="s">
        <v>10</v>
      </c>
      <c r="J12" s="8" t="s">
        <v>37</v>
      </c>
    </row>
    <row r="13" spans="1:30" ht="12.75" customHeight="1" x14ac:dyDescent="0.2">
      <c r="A13" s="8" t="s">
        <v>19</v>
      </c>
      <c r="B13" s="8" t="s">
        <v>19</v>
      </c>
      <c r="F13" s="8" t="s">
        <v>19</v>
      </c>
      <c r="G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38</v>
      </c>
      <c r="C16" s="8" t="s">
        <v>39</v>
      </c>
      <c r="D16" s="8" t="s">
        <v>40</v>
      </c>
      <c r="E16" s="8" t="s">
        <v>41</v>
      </c>
      <c r="F16" s="8" t="s">
        <v>42</v>
      </c>
    </row>
    <row r="17" spans="1:16" ht="12.75" customHeight="1" x14ac:dyDescent="0.2"/>
    <row r="18" spans="1:16" ht="12.75" customHeight="1" x14ac:dyDescent="0.2"/>
    <row r="19" spans="1:16" ht="12.75" customHeight="1" x14ac:dyDescent="0.2">
      <c r="B19" s="8" t="s">
        <v>43</v>
      </c>
      <c r="C19" s="8" t="s">
        <v>42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  <c r="I19" s="8" t="s">
        <v>10</v>
      </c>
      <c r="J19" s="8" t="s">
        <v>49</v>
      </c>
      <c r="K19" s="8" t="s">
        <v>50</v>
      </c>
      <c r="L19" s="8" t="s">
        <v>51</v>
      </c>
      <c r="M19" s="8" t="s">
        <v>0</v>
      </c>
      <c r="N19" s="8" t="s">
        <v>1</v>
      </c>
      <c r="O19" s="8" t="s">
        <v>52</v>
      </c>
    </row>
    <row r="20" spans="1:16" ht="12.75" customHeight="1" x14ac:dyDescent="0.2">
      <c r="A20" s="8" t="s">
        <v>56</v>
      </c>
      <c r="B20" s="18">
        <v>66339</v>
      </c>
      <c r="C20" s="19">
        <v>0</v>
      </c>
      <c r="D20" s="8" t="s">
        <v>73</v>
      </c>
      <c r="E20" s="20">
        <v>0</v>
      </c>
      <c r="F20" s="20">
        <v>0</v>
      </c>
      <c r="G20" s="8" t="s">
        <v>54</v>
      </c>
      <c r="H20" s="20">
        <v>0</v>
      </c>
      <c r="I20" s="8" t="s">
        <v>74</v>
      </c>
      <c r="J20" s="19">
        <v>0</v>
      </c>
      <c r="K20" s="8" t="s">
        <v>73</v>
      </c>
      <c r="L20" s="8" t="s">
        <v>55</v>
      </c>
      <c r="M20" s="8" t="s">
        <v>55</v>
      </c>
      <c r="N20" s="8" t="s">
        <v>55</v>
      </c>
      <c r="O20" s="8" t="s">
        <v>171</v>
      </c>
      <c r="P20" s="8" t="s">
        <v>56</v>
      </c>
    </row>
    <row r="21" spans="1:16" ht="12.75" customHeight="1" x14ac:dyDescent="0.2">
      <c r="A21" s="8" t="s">
        <v>53</v>
      </c>
      <c r="B21" s="18">
        <v>66340</v>
      </c>
      <c r="C21" s="19">
        <v>0</v>
      </c>
      <c r="D21" s="8" t="s">
        <v>75</v>
      </c>
      <c r="E21" s="20">
        <v>0</v>
      </c>
      <c r="F21" s="20">
        <v>0</v>
      </c>
      <c r="G21" s="8" t="s">
        <v>54</v>
      </c>
      <c r="H21" s="20">
        <v>0</v>
      </c>
      <c r="I21" s="8" t="s">
        <v>76</v>
      </c>
      <c r="J21" s="19">
        <v>0</v>
      </c>
      <c r="K21" s="8" t="s">
        <v>77</v>
      </c>
      <c r="L21" s="8" t="s">
        <v>55</v>
      </c>
      <c r="M21" s="8" t="s">
        <v>55</v>
      </c>
      <c r="N21" s="8" t="s">
        <v>55</v>
      </c>
      <c r="O21" s="8" t="s">
        <v>172</v>
      </c>
      <c r="P21" s="8" t="s">
        <v>53</v>
      </c>
    </row>
    <row r="22" spans="1:16" ht="12.75" customHeight="1" x14ac:dyDescent="0.2">
      <c r="A22" s="8" t="s">
        <v>56</v>
      </c>
      <c r="B22" s="18">
        <v>66341</v>
      </c>
      <c r="C22" s="19">
        <v>0</v>
      </c>
      <c r="D22" s="8" t="s">
        <v>57</v>
      </c>
      <c r="E22" s="20">
        <v>0</v>
      </c>
      <c r="F22" s="20">
        <v>4</v>
      </c>
      <c r="G22" s="8" t="s">
        <v>54</v>
      </c>
      <c r="H22" s="20">
        <v>4</v>
      </c>
      <c r="I22" s="8" t="s">
        <v>58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  <c r="O22" s="8" t="s">
        <v>173</v>
      </c>
      <c r="P22" s="8" t="s">
        <v>56</v>
      </c>
    </row>
    <row r="23" spans="1:16" ht="12.75" customHeight="1" x14ac:dyDescent="0.2">
      <c r="A23" s="8" t="s">
        <v>56</v>
      </c>
      <c r="B23" s="18">
        <v>66342</v>
      </c>
      <c r="C23" s="19">
        <v>0</v>
      </c>
      <c r="D23" s="8" t="s">
        <v>79</v>
      </c>
      <c r="E23" s="20">
        <v>0</v>
      </c>
      <c r="F23" s="20">
        <v>6</v>
      </c>
      <c r="G23" s="8" t="s">
        <v>54</v>
      </c>
      <c r="H23" s="20">
        <v>6</v>
      </c>
      <c r="I23" s="8" t="s">
        <v>80</v>
      </c>
      <c r="J23" s="19">
        <v>0</v>
      </c>
      <c r="K23" s="8" t="s">
        <v>174</v>
      </c>
      <c r="L23" s="8" t="s">
        <v>55</v>
      </c>
      <c r="M23" s="8" t="s">
        <v>55</v>
      </c>
      <c r="N23" s="8" t="s">
        <v>55</v>
      </c>
      <c r="O23" s="8" t="s">
        <v>175</v>
      </c>
      <c r="P23" s="8" t="s">
        <v>56</v>
      </c>
    </row>
    <row r="24" spans="1:16" ht="12.75" customHeight="1" x14ac:dyDescent="0.2">
      <c r="A24" s="8" t="s">
        <v>56</v>
      </c>
      <c r="B24" s="18">
        <v>66343</v>
      </c>
      <c r="C24" s="19">
        <v>0</v>
      </c>
      <c r="D24" s="8" t="s">
        <v>176</v>
      </c>
      <c r="E24" s="20">
        <v>0</v>
      </c>
      <c r="F24" s="20">
        <v>2</v>
      </c>
      <c r="G24" s="8" t="s">
        <v>54</v>
      </c>
      <c r="H24" s="20">
        <v>2</v>
      </c>
      <c r="I24" s="8" t="s">
        <v>177</v>
      </c>
      <c r="J24" s="19">
        <v>0</v>
      </c>
      <c r="K24" s="8" t="s">
        <v>178</v>
      </c>
      <c r="L24" s="8" t="s">
        <v>55</v>
      </c>
      <c r="M24" s="8" t="s">
        <v>55</v>
      </c>
      <c r="N24" s="8" t="s">
        <v>55</v>
      </c>
      <c r="O24" s="8" t="s">
        <v>179</v>
      </c>
      <c r="P24" s="8" t="s">
        <v>56</v>
      </c>
    </row>
    <row r="25" spans="1:16" ht="12.75" customHeight="1" x14ac:dyDescent="0.2">
      <c r="A25" s="8" t="s">
        <v>56</v>
      </c>
      <c r="B25" s="18">
        <v>66344</v>
      </c>
      <c r="C25" s="19">
        <v>0</v>
      </c>
      <c r="D25" s="8" t="s">
        <v>180</v>
      </c>
      <c r="E25" s="20">
        <v>0</v>
      </c>
      <c r="F25" s="20">
        <v>1</v>
      </c>
      <c r="G25" s="8" t="s">
        <v>54</v>
      </c>
      <c r="H25" s="20">
        <v>1</v>
      </c>
      <c r="I25" s="8" t="s">
        <v>181</v>
      </c>
      <c r="J25" s="19">
        <v>0</v>
      </c>
      <c r="K25" s="8" t="s">
        <v>182</v>
      </c>
      <c r="L25" s="8" t="s">
        <v>55</v>
      </c>
      <c r="M25" s="8" t="s">
        <v>55</v>
      </c>
      <c r="N25" s="8" t="s">
        <v>55</v>
      </c>
      <c r="O25" s="8" t="s">
        <v>183</v>
      </c>
      <c r="P25" s="8" t="s">
        <v>56</v>
      </c>
    </row>
    <row r="26" spans="1:16" ht="12.75" customHeight="1" x14ac:dyDescent="0.2">
      <c r="A26" s="8" t="s">
        <v>56</v>
      </c>
      <c r="B26" s="18">
        <v>66345</v>
      </c>
      <c r="C26" s="19">
        <v>0</v>
      </c>
      <c r="D26" s="8" t="s">
        <v>81</v>
      </c>
      <c r="E26" s="20">
        <v>0</v>
      </c>
      <c r="F26" s="20">
        <v>2</v>
      </c>
      <c r="G26" s="8" t="s">
        <v>54</v>
      </c>
      <c r="H26" s="20">
        <v>2</v>
      </c>
      <c r="I26" s="8" t="s">
        <v>82</v>
      </c>
      <c r="J26" s="19">
        <v>0</v>
      </c>
      <c r="K26" s="8" t="s">
        <v>83</v>
      </c>
      <c r="L26" s="8" t="s">
        <v>55</v>
      </c>
      <c r="M26" s="8" t="s">
        <v>55</v>
      </c>
      <c r="N26" s="8" t="s">
        <v>55</v>
      </c>
      <c r="O26" s="8" t="s">
        <v>184</v>
      </c>
      <c r="P26" s="8" t="s">
        <v>56</v>
      </c>
    </row>
    <row r="27" spans="1:16" ht="12.75" customHeight="1" x14ac:dyDescent="0.2">
      <c r="A27" s="8" t="s">
        <v>56</v>
      </c>
      <c r="B27" s="18">
        <v>66346</v>
      </c>
      <c r="C27" s="19">
        <v>0</v>
      </c>
      <c r="D27" s="8" t="s">
        <v>84</v>
      </c>
      <c r="E27" s="20">
        <v>0</v>
      </c>
      <c r="F27" s="20">
        <v>1</v>
      </c>
      <c r="G27" s="8" t="s">
        <v>54</v>
      </c>
      <c r="H27" s="20">
        <v>1</v>
      </c>
      <c r="I27" s="8" t="s">
        <v>85</v>
      </c>
      <c r="J27" s="19">
        <v>0</v>
      </c>
      <c r="K27" s="8" t="s">
        <v>86</v>
      </c>
      <c r="L27" s="8" t="s">
        <v>55</v>
      </c>
      <c r="M27" s="8" t="s">
        <v>55</v>
      </c>
      <c r="N27" s="8" t="s">
        <v>55</v>
      </c>
      <c r="O27" s="8" t="s">
        <v>185</v>
      </c>
      <c r="P27" s="8" t="s">
        <v>56</v>
      </c>
    </row>
    <row r="28" spans="1:16" ht="12.75" customHeight="1" x14ac:dyDescent="0.2">
      <c r="A28" s="8" t="s">
        <v>56</v>
      </c>
      <c r="B28" s="18">
        <v>66347</v>
      </c>
      <c r="C28" s="19">
        <v>0</v>
      </c>
      <c r="D28" s="8" t="s">
        <v>87</v>
      </c>
      <c r="E28" s="20">
        <v>0</v>
      </c>
      <c r="F28" s="20">
        <v>2</v>
      </c>
      <c r="G28" s="8" t="s">
        <v>54</v>
      </c>
      <c r="H28" s="20">
        <v>2</v>
      </c>
      <c r="I28" s="8" t="s">
        <v>88</v>
      </c>
      <c r="J28" s="19">
        <v>0</v>
      </c>
      <c r="K28" s="8" t="s">
        <v>89</v>
      </c>
      <c r="L28" s="8" t="s">
        <v>55</v>
      </c>
      <c r="M28" s="8" t="s">
        <v>55</v>
      </c>
      <c r="N28" s="8" t="s">
        <v>55</v>
      </c>
      <c r="O28" s="8" t="s">
        <v>186</v>
      </c>
      <c r="P28" s="8" t="s">
        <v>56</v>
      </c>
    </row>
    <row r="29" spans="1:16" ht="12.75" customHeight="1" x14ac:dyDescent="0.2">
      <c r="A29" s="8" t="s">
        <v>56</v>
      </c>
      <c r="B29" s="18">
        <v>66348</v>
      </c>
      <c r="C29" s="19">
        <v>0</v>
      </c>
      <c r="D29" s="8" t="s">
        <v>90</v>
      </c>
      <c r="E29" s="20">
        <v>0</v>
      </c>
      <c r="F29" s="20">
        <v>2</v>
      </c>
      <c r="G29" s="8" t="s">
        <v>54</v>
      </c>
      <c r="H29" s="20">
        <v>2</v>
      </c>
      <c r="I29" s="8" t="s">
        <v>91</v>
      </c>
      <c r="J29" s="19">
        <v>0</v>
      </c>
      <c r="K29" s="8" t="s">
        <v>92</v>
      </c>
      <c r="L29" s="8" t="s">
        <v>55</v>
      </c>
      <c r="M29" s="8" t="s">
        <v>55</v>
      </c>
      <c r="N29" s="8" t="s">
        <v>55</v>
      </c>
      <c r="O29" s="8" t="s">
        <v>187</v>
      </c>
      <c r="P29" s="8" t="s">
        <v>56</v>
      </c>
    </row>
    <row r="30" spans="1:16" ht="12.75" customHeight="1" x14ac:dyDescent="0.2">
      <c r="A30" s="8" t="s">
        <v>56</v>
      </c>
      <c r="B30" s="18">
        <v>66349</v>
      </c>
      <c r="C30" s="19">
        <v>0</v>
      </c>
      <c r="D30" s="8" t="s">
        <v>150</v>
      </c>
      <c r="E30" s="20">
        <v>0</v>
      </c>
      <c r="F30" s="20">
        <v>10</v>
      </c>
      <c r="G30" s="8" t="s">
        <v>54</v>
      </c>
      <c r="H30" s="20">
        <v>10</v>
      </c>
      <c r="I30" s="8" t="s">
        <v>59</v>
      </c>
      <c r="J30" s="19">
        <v>0</v>
      </c>
      <c r="K30" s="8" t="s">
        <v>93</v>
      </c>
      <c r="L30" s="8" t="s">
        <v>55</v>
      </c>
      <c r="M30" s="8" t="s">
        <v>55</v>
      </c>
      <c r="N30" s="8" t="s">
        <v>55</v>
      </c>
      <c r="O30" s="8" t="s">
        <v>188</v>
      </c>
      <c r="P30" s="8" t="s">
        <v>56</v>
      </c>
    </row>
    <row r="31" spans="1:16" ht="12.75" customHeight="1" x14ac:dyDescent="0.2">
      <c r="A31" s="8" t="s">
        <v>56</v>
      </c>
      <c r="B31" s="18">
        <v>66350</v>
      </c>
      <c r="C31" s="19">
        <v>0</v>
      </c>
      <c r="D31" s="8" t="s">
        <v>151</v>
      </c>
      <c r="E31" s="20">
        <v>0</v>
      </c>
      <c r="F31" s="20">
        <v>5</v>
      </c>
      <c r="G31" s="8" t="s">
        <v>54</v>
      </c>
      <c r="H31" s="20">
        <v>5</v>
      </c>
      <c r="I31" s="8" t="s">
        <v>152</v>
      </c>
      <c r="J31" s="19">
        <v>0</v>
      </c>
      <c r="K31" s="8" t="s">
        <v>19</v>
      </c>
      <c r="L31" s="8" t="s">
        <v>55</v>
      </c>
      <c r="M31" s="8" t="s">
        <v>55</v>
      </c>
      <c r="N31" s="8" t="s">
        <v>55</v>
      </c>
      <c r="O31" s="8" t="s">
        <v>189</v>
      </c>
      <c r="P31" s="8" t="s">
        <v>56</v>
      </c>
    </row>
    <row r="32" spans="1:16" ht="12.75" customHeight="1" x14ac:dyDescent="0.2">
      <c r="A32" s="8" t="s">
        <v>56</v>
      </c>
      <c r="B32" s="18">
        <v>66351</v>
      </c>
      <c r="C32" s="19">
        <v>0</v>
      </c>
      <c r="D32" s="8" t="s">
        <v>60</v>
      </c>
      <c r="E32" s="20">
        <v>0</v>
      </c>
      <c r="F32" s="20">
        <v>6</v>
      </c>
      <c r="G32" s="8" t="s">
        <v>54</v>
      </c>
      <c r="H32" s="20">
        <v>6</v>
      </c>
      <c r="I32" s="8" t="s">
        <v>61</v>
      </c>
      <c r="J32" s="19">
        <v>0</v>
      </c>
      <c r="K32" s="8" t="s">
        <v>190</v>
      </c>
      <c r="L32" s="8" t="s">
        <v>55</v>
      </c>
      <c r="M32" s="8" t="s">
        <v>55</v>
      </c>
      <c r="N32" s="8" t="s">
        <v>55</v>
      </c>
      <c r="O32" s="8" t="s">
        <v>191</v>
      </c>
      <c r="P32" s="8" t="s">
        <v>56</v>
      </c>
    </row>
    <row r="33" spans="1:16" ht="12.75" customHeight="1" x14ac:dyDescent="0.2">
      <c r="A33" s="8" t="s">
        <v>56</v>
      </c>
      <c r="B33" s="18">
        <v>66352</v>
      </c>
      <c r="C33" s="19">
        <v>0</v>
      </c>
      <c r="D33" s="8" t="s">
        <v>94</v>
      </c>
      <c r="E33" s="20">
        <v>0</v>
      </c>
      <c r="F33" s="20">
        <v>4</v>
      </c>
      <c r="G33" s="8" t="s">
        <v>54</v>
      </c>
      <c r="H33" s="20">
        <v>4</v>
      </c>
      <c r="I33" s="8" t="s">
        <v>95</v>
      </c>
      <c r="J33" s="19">
        <v>0</v>
      </c>
      <c r="K33" s="8" t="s">
        <v>192</v>
      </c>
      <c r="L33" s="8" t="s">
        <v>55</v>
      </c>
      <c r="M33" s="8" t="s">
        <v>55</v>
      </c>
      <c r="N33" s="8" t="s">
        <v>55</v>
      </c>
      <c r="O33" s="8" t="s">
        <v>193</v>
      </c>
      <c r="P33" s="8" t="s">
        <v>56</v>
      </c>
    </row>
    <row r="34" spans="1:16" ht="12.75" customHeight="1" x14ac:dyDescent="0.2">
      <c r="A34" s="8" t="s">
        <v>56</v>
      </c>
      <c r="B34" s="18">
        <v>66353</v>
      </c>
      <c r="C34" s="19">
        <v>0</v>
      </c>
      <c r="D34" s="8" t="s">
        <v>194</v>
      </c>
      <c r="E34" s="20">
        <v>0</v>
      </c>
      <c r="F34" s="20">
        <v>1</v>
      </c>
      <c r="G34" s="8" t="s">
        <v>54</v>
      </c>
      <c r="H34" s="20">
        <v>1</v>
      </c>
      <c r="I34" s="8" t="s">
        <v>195</v>
      </c>
      <c r="J34" s="19">
        <v>0</v>
      </c>
      <c r="K34" s="8" t="s">
        <v>196</v>
      </c>
      <c r="L34" s="8" t="s">
        <v>55</v>
      </c>
      <c r="M34" s="8" t="s">
        <v>55</v>
      </c>
      <c r="N34" s="8" t="s">
        <v>55</v>
      </c>
      <c r="O34" s="8" t="s">
        <v>197</v>
      </c>
      <c r="P34" s="8" t="s">
        <v>56</v>
      </c>
    </row>
    <row r="35" spans="1:16" ht="12.75" customHeight="1" x14ac:dyDescent="0.2">
      <c r="A35" s="8" t="s">
        <v>53</v>
      </c>
      <c r="B35" s="18">
        <v>66354</v>
      </c>
      <c r="C35" s="19">
        <v>0</v>
      </c>
      <c r="D35" s="8" t="s">
        <v>96</v>
      </c>
      <c r="E35" s="20">
        <v>0</v>
      </c>
      <c r="F35" s="20">
        <v>0</v>
      </c>
      <c r="G35" s="8" t="s">
        <v>54</v>
      </c>
      <c r="H35" s="20">
        <v>0</v>
      </c>
      <c r="I35" s="8" t="s">
        <v>97</v>
      </c>
      <c r="J35" s="19">
        <v>0</v>
      </c>
      <c r="K35" s="8" t="s">
        <v>96</v>
      </c>
      <c r="L35" s="8" t="s">
        <v>55</v>
      </c>
      <c r="M35" s="8" t="s">
        <v>55</v>
      </c>
      <c r="N35" s="8" t="s">
        <v>55</v>
      </c>
      <c r="O35" s="8" t="s">
        <v>198</v>
      </c>
      <c r="P35" s="8" t="s">
        <v>53</v>
      </c>
    </row>
    <row r="36" spans="1:16" ht="12.75" customHeight="1" x14ac:dyDescent="0.2">
      <c r="A36" s="8" t="s">
        <v>56</v>
      </c>
      <c r="B36" s="18">
        <v>66355</v>
      </c>
      <c r="C36" s="19">
        <v>0</v>
      </c>
      <c r="D36" s="8" t="s">
        <v>98</v>
      </c>
      <c r="E36" s="20">
        <v>0</v>
      </c>
      <c r="F36" s="20">
        <v>2</v>
      </c>
      <c r="G36" s="8" t="s">
        <v>54</v>
      </c>
      <c r="H36" s="20">
        <v>2</v>
      </c>
      <c r="I36" s="8" t="s">
        <v>99</v>
      </c>
      <c r="J36" s="19">
        <v>0</v>
      </c>
      <c r="K36" s="8" t="s">
        <v>199</v>
      </c>
      <c r="L36" s="8" t="s">
        <v>55</v>
      </c>
      <c r="M36" s="8" t="s">
        <v>55</v>
      </c>
      <c r="N36" s="8" t="s">
        <v>55</v>
      </c>
      <c r="O36" s="8" t="s">
        <v>200</v>
      </c>
      <c r="P36" s="8" t="s">
        <v>56</v>
      </c>
    </row>
    <row r="37" spans="1:16" ht="12.75" customHeight="1" x14ac:dyDescent="0.2">
      <c r="A37" s="8" t="s">
        <v>56</v>
      </c>
      <c r="B37" s="18">
        <v>66356</v>
      </c>
      <c r="C37" s="19">
        <v>0</v>
      </c>
      <c r="D37" s="8" t="s">
        <v>100</v>
      </c>
      <c r="E37" s="20">
        <v>0</v>
      </c>
      <c r="F37" s="20">
        <v>2</v>
      </c>
      <c r="G37" s="8" t="s">
        <v>54</v>
      </c>
      <c r="H37" s="20">
        <v>2</v>
      </c>
      <c r="I37" s="8" t="s">
        <v>101</v>
      </c>
      <c r="J37" s="19">
        <v>0</v>
      </c>
      <c r="K37" s="8" t="s">
        <v>201</v>
      </c>
      <c r="L37" s="8" t="s">
        <v>55</v>
      </c>
      <c r="M37" s="8" t="s">
        <v>55</v>
      </c>
      <c r="N37" s="8" t="s">
        <v>55</v>
      </c>
      <c r="O37" s="8" t="s">
        <v>202</v>
      </c>
      <c r="P37" s="8" t="s">
        <v>56</v>
      </c>
    </row>
    <row r="38" spans="1:16" ht="12.75" customHeight="1" x14ac:dyDescent="0.2">
      <c r="A38" s="8" t="s">
        <v>53</v>
      </c>
      <c r="B38" s="18">
        <v>66357</v>
      </c>
      <c r="C38" s="19">
        <v>0</v>
      </c>
      <c r="D38" s="8" t="s">
        <v>102</v>
      </c>
      <c r="E38" s="20">
        <v>0</v>
      </c>
      <c r="F38" s="20">
        <v>0</v>
      </c>
      <c r="G38" s="8" t="s">
        <v>54</v>
      </c>
      <c r="H38" s="20">
        <v>0</v>
      </c>
      <c r="I38" s="8" t="s">
        <v>103</v>
      </c>
      <c r="J38" s="19">
        <v>0</v>
      </c>
      <c r="K38" s="8" t="s">
        <v>104</v>
      </c>
      <c r="L38" s="8" t="s">
        <v>55</v>
      </c>
      <c r="M38" s="8" t="s">
        <v>55</v>
      </c>
      <c r="N38" s="8" t="s">
        <v>55</v>
      </c>
      <c r="O38" s="8" t="s">
        <v>203</v>
      </c>
      <c r="P38" s="8" t="s">
        <v>53</v>
      </c>
    </row>
    <row r="39" spans="1:16" ht="12.75" customHeight="1" x14ac:dyDescent="0.2">
      <c r="A39" s="8" t="s">
        <v>56</v>
      </c>
      <c r="B39" s="18">
        <v>66358</v>
      </c>
      <c r="C39" s="19">
        <v>0</v>
      </c>
      <c r="D39" s="8" t="s">
        <v>105</v>
      </c>
      <c r="E39" s="20">
        <v>0</v>
      </c>
      <c r="F39" s="20">
        <v>2</v>
      </c>
      <c r="G39" s="8" t="s">
        <v>54</v>
      </c>
      <c r="H39" s="20">
        <v>2</v>
      </c>
      <c r="I39" s="8" t="s">
        <v>106</v>
      </c>
      <c r="J39" s="19">
        <v>0</v>
      </c>
      <c r="K39" s="8" t="s">
        <v>204</v>
      </c>
      <c r="L39" s="8" t="s">
        <v>55</v>
      </c>
      <c r="M39" s="8" t="s">
        <v>55</v>
      </c>
      <c r="N39" s="8" t="s">
        <v>55</v>
      </c>
      <c r="O39" s="8" t="s">
        <v>205</v>
      </c>
      <c r="P39" s="8" t="s">
        <v>56</v>
      </c>
    </row>
    <row r="40" spans="1:16" ht="12.75" customHeight="1" x14ac:dyDescent="0.2">
      <c r="A40" s="8" t="s">
        <v>56</v>
      </c>
      <c r="B40" s="18">
        <v>66359</v>
      </c>
      <c r="C40" s="19">
        <v>0</v>
      </c>
      <c r="D40" s="8" t="s">
        <v>107</v>
      </c>
      <c r="E40" s="20">
        <v>0</v>
      </c>
      <c r="F40" s="20">
        <v>7</v>
      </c>
      <c r="G40" s="8" t="s">
        <v>54</v>
      </c>
      <c r="H40" s="20">
        <v>7</v>
      </c>
      <c r="I40" s="8" t="s">
        <v>108</v>
      </c>
      <c r="J40" s="19">
        <v>0</v>
      </c>
      <c r="K40" s="8" t="s">
        <v>206</v>
      </c>
      <c r="L40" s="8" t="s">
        <v>55</v>
      </c>
      <c r="M40" s="8" t="s">
        <v>55</v>
      </c>
      <c r="N40" s="8" t="s">
        <v>55</v>
      </c>
      <c r="O40" s="8" t="s">
        <v>207</v>
      </c>
      <c r="P40" s="8" t="s">
        <v>56</v>
      </c>
    </row>
    <row r="41" spans="1:16" ht="12.75" customHeight="1" x14ac:dyDescent="0.2">
      <c r="A41" s="8" t="s">
        <v>56</v>
      </c>
      <c r="B41" s="18">
        <v>66360</v>
      </c>
      <c r="C41" s="19">
        <v>0</v>
      </c>
      <c r="D41" s="8" t="s">
        <v>109</v>
      </c>
      <c r="E41" s="20">
        <v>0</v>
      </c>
      <c r="F41" s="20">
        <v>10</v>
      </c>
      <c r="G41" s="8" t="s">
        <v>54</v>
      </c>
      <c r="H41" s="20">
        <v>10</v>
      </c>
      <c r="I41" s="8" t="s">
        <v>110</v>
      </c>
      <c r="J41" s="19">
        <v>0</v>
      </c>
      <c r="K41" s="8" t="s">
        <v>208</v>
      </c>
      <c r="L41" s="8" t="s">
        <v>55</v>
      </c>
      <c r="M41" s="8" t="s">
        <v>55</v>
      </c>
      <c r="N41" s="8" t="s">
        <v>55</v>
      </c>
      <c r="O41" s="8" t="s">
        <v>209</v>
      </c>
      <c r="P41" s="8" t="s">
        <v>56</v>
      </c>
    </row>
    <row r="42" spans="1:16" ht="12.75" customHeight="1" x14ac:dyDescent="0.2">
      <c r="A42" s="8" t="s">
        <v>56</v>
      </c>
      <c r="B42" s="18">
        <v>66361</v>
      </c>
      <c r="C42" s="19">
        <v>0</v>
      </c>
      <c r="D42" s="8" t="s">
        <v>146</v>
      </c>
      <c r="E42" s="20">
        <v>0</v>
      </c>
      <c r="F42" s="20">
        <v>3</v>
      </c>
      <c r="G42" s="8" t="s">
        <v>54</v>
      </c>
      <c r="H42" s="20">
        <v>3</v>
      </c>
      <c r="I42" s="8" t="s">
        <v>147</v>
      </c>
      <c r="J42" s="19">
        <v>0</v>
      </c>
      <c r="K42" s="8" t="s">
        <v>210</v>
      </c>
      <c r="L42" s="8" t="s">
        <v>55</v>
      </c>
      <c r="M42" s="8" t="s">
        <v>55</v>
      </c>
      <c r="N42" s="8" t="s">
        <v>55</v>
      </c>
      <c r="O42" s="8" t="s">
        <v>211</v>
      </c>
      <c r="P42" s="8" t="s">
        <v>56</v>
      </c>
    </row>
    <row r="43" spans="1:16" ht="12.75" customHeight="1" x14ac:dyDescent="0.2">
      <c r="A43" s="8" t="s">
        <v>56</v>
      </c>
      <c r="B43" s="18">
        <v>66362</v>
      </c>
      <c r="C43" s="19">
        <v>0</v>
      </c>
      <c r="D43" s="8" t="s">
        <v>212</v>
      </c>
      <c r="E43" s="20">
        <v>0</v>
      </c>
      <c r="F43" s="20">
        <v>2</v>
      </c>
      <c r="G43" s="8" t="s">
        <v>54</v>
      </c>
      <c r="H43" s="20">
        <v>2</v>
      </c>
      <c r="I43" s="8" t="s">
        <v>213</v>
      </c>
      <c r="J43" s="19">
        <v>0</v>
      </c>
      <c r="K43" s="8" t="s">
        <v>214</v>
      </c>
      <c r="L43" s="8" t="s">
        <v>55</v>
      </c>
      <c r="M43" s="8" t="s">
        <v>55</v>
      </c>
      <c r="N43" s="8" t="s">
        <v>55</v>
      </c>
      <c r="O43" s="8" t="s">
        <v>215</v>
      </c>
      <c r="P43" s="8" t="s">
        <v>56</v>
      </c>
    </row>
    <row r="44" spans="1:16" ht="12.75" customHeight="1" x14ac:dyDescent="0.2">
      <c r="A44" s="8" t="s">
        <v>56</v>
      </c>
      <c r="B44" s="18">
        <v>66363</v>
      </c>
      <c r="C44" s="19">
        <v>0</v>
      </c>
      <c r="D44" s="8" t="s">
        <v>216</v>
      </c>
      <c r="E44" s="20">
        <v>0</v>
      </c>
      <c r="F44" s="20">
        <v>6</v>
      </c>
      <c r="G44" s="8" t="s">
        <v>54</v>
      </c>
      <c r="H44" s="20">
        <v>6</v>
      </c>
      <c r="I44" s="8" t="s">
        <v>217</v>
      </c>
      <c r="J44" s="19">
        <v>0</v>
      </c>
      <c r="K44" s="8" t="s">
        <v>218</v>
      </c>
      <c r="L44" s="8" t="s">
        <v>55</v>
      </c>
      <c r="M44" s="8" t="s">
        <v>55</v>
      </c>
      <c r="N44" s="8" t="s">
        <v>55</v>
      </c>
      <c r="O44" s="8" t="s">
        <v>219</v>
      </c>
      <c r="P44" s="8" t="s">
        <v>56</v>
      </c>
    </row>
    <row r="45" spans="1:16" ht="12.75" customHeight="1" x14ac:dyDescent="0.2">
      <c r="A45" s="8" t="s">
        <v>53</v>
      </c>
      <c r="B45" s="18">
        <v>66364</v>
      </c>
      <c r="C45" s="19">
        <v>0</v>
      </c>
      <c r="D45" s="8" t="s">
        <v>102</v>
      </c>
      <c r="E45" s="20">
        <v>0</v>
      </c>
      <c r="F45" s="20">
        <v>0</v>
      </c>
      <c r="G45" s="8" t="s">
        <v>54</v>
      </c>
      <c r="H45" s="20">
        <v>0</v>
      </c>
      <c r="I45" s="8" t="s">
        <v>103</v>
      </c>
      <c r="J45" s="19">
        <v>0</v>
      </c>
      <c r="K45" s="8" t="s">
        <v>104</v>
      </c>
      <c r="L45" s="8" t="s">
        <v>55</v>
      </c>
      <c r="M45" s="8" t="s">
        <v>55</v>
      </c>
      <c r="N45" s="8" t="s">
        <v>55</v>
      </c>
      <c r="O45" s="8" t="s">
        <v>220</v>
      </c>
      <c r="P45" s="8" t="s">
        <v>53</v>
      </c>
    </row>
    <row r="46" spans="1:16" ht="12.75" customHeight="1" x14ac:dyDescent="0.2">
      <c r="A46" s="8" t="s">
        <v>56</v>
      </c>
      <c r="B46" s="18">
        <v>66365</v>
      </c>
      <c r="C46" s="19">
        <v>0</v>
      </c>
      <c r="D46" s="8" t="s">
        <v>153</v>
      </c>
      <c r="E46" s="20">
        <v>0</v>
      </c>
      <c r="F46" s="20">
        <v>1</v>
      </c>
      <c r="G46" s="8" t="s">
        <v>54</v>
      </c>
      <c r="H46" s="20">
        <v>1</v>
      </c>
      <c r="I46" s="8" t="s">
        <v>154</v>
      </c>
      <c r="J46" s="19">
        <v>0</v>
      </c>
      <c r="K46" s="8" t="s">
        <v>221</v>
      </c>
      <c r="L46" s="8" t="s">
        <v>55</v>
      </c>
      <c r="M46" s="8" t="s">
        <v>55</v>
      </c>
      <c r="N46" s="8" t="s">
        <v>55</v>
      </c>
      <c r="O46" s="8" t="s">
        <v>222</v>
      </c>
      <c r="P46" s="8" t="s">
        <v>56</v>
      </c>
    </row>
    <row r="47" spans="1:16" ht="12.75" customHeight="1" x14ac:dyDescent="0.2">
      <c r="A47" s="8" t="s">
        <v>56</v>
      </c>
      <c r="B47" s="18">
        <v>66366</v>
      </c>
      <c r="C47" s="19">
        <v>0</v>
      </c>
      <c r="D47" s="8" t="s">
        <v>223</v>
      </c>
      <c r="E47" s="20">
        <v>0</v>
      </c>
      <c r="F47" s="20">
        <v>3</v>
      </c>
      <c r="G47" s="8" t="s">
        <v>54</v>
      </c>
      <c r="H47" s="20">
        <v>3</v>
      </c>
      <c r="I47" s="8" t="s">
        <v>224</v>
      </c>
      <c r="J47" s="19">
        <v>0</v>
      </c>
      <c r="K47" s="8" t="s">
        <v>225</v>
      </c>
      <c r="L47" s="8" t="s">
        <v>55</v>
      </c>
      <c r="M47" s="8" t="s">
        <v>55</v>
      </c>
      <c r="N47" s="8" t="s">
        <v>55</v>
      </c>
      <c r="O47" s="8" t="s">
        <v>226</v>
      </c>
      <c r="P47" s="8" t="s">
        <v>56</v>
      </c>
    </row>
    <row r="48" spans="1:16" ht="12.75" customHeight="1" x14ac:dyDescent="0.2">
      <c r="A48" s="8" t="s">
        <v>56</v>
      </c>
      <c r="B48" s="18">
        <v>66367</v>
      </c>
      <c r="C48" s="19">
        <v>0</v>
      </c>
      <c r="D48" s="8" t="s">
        <v>227</v>
      </c>
      <c r="E48" s="20">
        <v>0</v>
      </c>
      <c r="F48" s="20">
        <v>3</v>
      </c>
      <c r="G48" s="8" t="s">
        <v>54</v>
      </c>
      <c r="H48" s="20">
        <v>3</v>
      </c>
      <c r="I48" s="8" t="s">
        <v>228</v>
      </c>
      <c r="J48" s="19">
        <v>0</v>
      </c>
      <c r="K48" s="8" t="s">
        <v>229</v>
      </c>
      <c r="L48" s="8" t="s">
        <v>55</v>
      </c>
      <c r="M48" s="8" t="s">
        <v>55</v>
      </c>
      <c r="N48" s="8" t="s">
        <v>55</v>
      </c>
      <c r="O48" s="8" t="s">
        <v>230</v>
      </c>
      <c r="P48" s="8" t="s">
        <v>56</v>
      </c>
    </row>
    <row r="49" spans="1:16" ht="12.75" customHeight="1" x14ac:dyDescent="0.2">
      <c r="A49" s="8" t="s">
        <v>56</v>
      </c>
      <c r="B49" s="18">
        <v>66395</v>
      </c>
      <c r="C49" s="19">
        <v>0</v>
      </c>
      <c r="D49" s="8" t="s">
        <v>231</v>
      </c>
      <c r="E49" s="20">
        <v>0</v>
      </c>
      <c r="F49" s="20">
        <v>2</v>
      </c>
      <c r="G49" s="8" t="s">
        <v>54</v>
      </c>
      <c r="H49" s="20">
        <v>2</v>
      </c>
      <c r="I49" s="8" t="s">
        <v>232</v>
      </c>
      <c r="J49" s="19">
        <v>0</v>
      </c>
      <c r="K49" s="8" t="s">
        <v>233</v>
      </c>
      <c r="L49" s="8" t="s">
        <v>55</v>
      </c>
      <c r="M49" s="8" t="s">
        <v>55</v>
      </c>
      <c r="N49" s="8" t="s">
        <v>55</v>
      </c>
      <c r="O49" s="8" t="s">
        <v>234</v>
      </c>
      <c r="P49" s="8" t="s">
        <v>56</v>
      </c>
    </row>
    <row r="50" spans="1:16" ht="12.75" customHeight="1" x14ac:dyDescent="0.2">
      <c r="A50" s="8" t="s">
        <v>53</v>
      </c>
      <c r="B50" s="18">
        <v>66368</v>
      </c>
      <c r="C50" s="19">
        <v>0</v>
      </c>
      <c r="D50" s="8" t="s">
        <v>235</v>
      </c>
      <c r="E50" s="20">
        <v>0</v>
      </c>
      <c r="F50" s="20">
        <v>0</v>
      </c>
      <c r="G50" s="8" t="s">
        <v>54</v>
      </c>
      <c r="H50" s="20">
        <v>0</v>
      </c>
      <c r="I50" s="8" t="s">
        <v>236</v>
      </c>
      <c r="J50" s="19">
        <v>0</v>
      </c>
      <c r="K50" s="8" t="s">
        <v>235</v>
      </c>
      <c r="L50" s="8" t="s">
        <v>55</v>
      </c>
      <c r="M50" s="8" t="s">
        <v>55</v>
      </c>
      <c r="N50" s="8" t="s">
        <v>55</v>
      </c>
      <c r="O50" s="8" t="s">
        <v>237</v>
      </c>
      <c r="P50" s="8" t="s">
        <v>53</v>
      </c>
    </row>
    <row r="51" spans="1:16" ht="12.75" customHeight="1" x14ac:dyDescent="0.2">
      <c r="A51" s="8" t="s">
        <v>72</v>
      </c>
      <c r="B51" s="18">
        <v>66369</v>
      </c>
      <c r="C51" s="19">
        <v>0</v>
      </c>
      <c r="D51" s="8" t="s">
        <v>111</v>
      </c>
      <c r="E51" s="20">
        <v>0</v>
      </c>
      <c r="F51" s="20">
        <v>5</v>
      </c>
      <c r="G51" s="8" t="s">
        <v>54</v>
      </c>
      <c r="H51" s="20">
        <v>5</v>
      </c>
      <c r="I51" s="8" t="s">
        <v>112</v>
      </c>
      <c r="J51" s="19">
        <v>0</v>
      </c>
      <c r="K51" s="8" t="s">
        <v>238</v>
      </c>
      <c r="L51" s="8" t="s">
        <v>55</v>
      </c>
      <c r="M51" s="8" t="s">
        <v>55</v>
      </c>
      <c r="N51" s="8" t="s">
        <v>55</v>
      </c>
      <c r="O51" s="8" t="s">
        <v>239</v>
      </c>
      <c r="P51" s="8" t="s">
        <v>72</v>
      </c>
    </row>
    <row r="52" spans="1:16" ht="12.75" customHeight="1" x14ac:dyDescent="0.2">
      <c r="A52" s="8" t="s">
        <v>72</v>
      </c>
      <c r="B52" s="18">
        <v>66370</v>
      </c>
      <c r="C52" s="19">
        <v>0</v>
      </c>
      <c r="D52" s="8" t="s">
        <v>113</v>
      </c>
      <c r="E52" s="20">
        <v>0</v>
      </c>
      <c r="F52" s="20">
        <v>1</v>
      </c>
      <c r="G52" s="8" t="s">
        <v>54</v>
      </c>
      <c r="H52" s="20">
        <v>1</v>
      </c>
      <c r="I52" s="8" t="s">
        <v>114</v>
      </c>
      <c r="J52" s="19">
        <v>0</v>
      </c>
      <c r="K52" s="8" t="s">
        <v>240</v>
      </c>
      <c r="L52" s="8" t="s">
        <v>55</v>
      </c>
      <c r="M52" s="8" t="s">
        <v>55</v>
      </c>
      <c r="N52" s="8" t="s">
        <v>55</v>
      </c>
      <c r="O52" s="8" t="s">
        <v>241</v>
      </c>
      <c r="P52" s="8" t="s">
        <v>72</v>
      </c>
    </row>
    <row r="53" spans="1:16" ht="12.75" customHeight="1" x14ac:dyDescent="0.2">
      <c r="A53" s="8" t="s">
        <v>72</v>
      </c>
      <c r="B53" s="18">
        <v>66371</v>
      </c>
      <c r="C53" s="19">
        <v>0</v>
      </c>
      <c r="D53" s="8" t="s">
        <v>242</v>
      </c>
      <c r="E53" s="20">
        <v>0</v>
      </c>
      <c r="F53" s="20">
        <v>14</v>
      </c>
      <c r="G53" s="8" t="s">
        <v>54</v>
      </c>
      <c r="H53" s="20">
        <v>14</v>
      </c>
      <c r="I53" s="8" t="s">
        <v>243</v>
      </c>
      <c r="J53" s="19">
        <v>0</v>
      </c>
      <c r="K53" s="8" t="s">
        <v>244</v>
      </c>
      <c r="L53" s="8" t="s">
        <v>55</v>
      </c>
      <c r="M53" s="8" t="s">
        <v>55</v>
      </c>
      <c r="N53" s="8" t="s">
        <v>55</v>
      </c>
      <c r="O53" s="8" t="s">
        <v>245</v>
      </c>
      <c r="P53" s="8" t="s">
        <v>72</v>
      </c>
    </row>
    <row r="54" spans="1:16" ht="12.75" customHeight="1" x14ac:dyDescent="0.2">
      <c r="A54" s="8" t="s">
        <v>53</v>
      </c>
      <c r="B54" s="18">
        <v>66372</v>
      </c>
      <c r="C54" s="19">
        <v>0</v>
      </c>
      <c r="D54" s="8" t="s">
        <v>115</v>
      </c>
      <c r="E54" s="20">
        <v>0</v>
      </c>
      <c r="F54" s="20">
        <v>0</v>
      </c>
      <c r="G54" s="8" t="s">
        <v>54</v>
      </c>
      <c r="H54" s="20">
        <v>0</v>
      </c>
      <c r="I54" s="8" t="s">
        <v>116</v>
      </c>
      <c r="J54" s="19">
        <v>0</v>
      </c>
      <c r="K54" s="8" t="s">
        <v>115</v>
      </c>
      <c r="L54" s="8" t="s">
        <v>55</v>
      </c>
      <c r="M54" s="8" t="s">
        <v>55</v>
      </c>
      <c r="N54" s="8" t="s">
        <v>55</v>
      </c>
      <c r="O54" s="8" t="s">
        <v>246</v>
      </c>
      <c r="P54" s="8" t="s">
        <v>53</v>
      </c>
    </row>
    <row r="55" spans="1:16" ht="12.75" customHeight="1" x14ac:dyDescent="0.2">
      <c r="A55" s="8" t="s">
        <v>72</v>
      </c>
      <c r="B55" s="18">
        <v>66373</v>
      </c>
      <c r="C55" s="19">
        <v>0</v>
      </c>
      <c r="D55" s="8" t="s">
        <v>117</v>
      </c>
      <c r="E55" s="20">
        <v>0</v>
      </c>
      <c r="F55" s="20">
        <v>8</v>
      </c>
      <c r="G55" s="8" t="s">
        <v>54</v>
      </c>
      <c r="H55" s="20">
        <v>8</v>
      </c>
      <c r="I55" s="8" t="s">
        <v>118</v>
      </c>
      <c r="J55" s="19">
        <v>0</v>
      </c>
      <c r="K55" s="8" t="s">
        <v>247</v>
      </c>
      <c r="L55" s="8" t="s">
        <v>55</v>
      </c>
      <c r="M55" s="8" t="s">
        <v>55</v>
      </c>
      <c r="N55" s="8" t="s">
        <v>55</v>
      </c>
      <c r="O55" s="8" t="s">
        <v>248</v>
      </c>
      <c r="P55" s="8" t="s">
        <v>72</v>
      </c>
    </row>
    <row r="56" spans="1:16" ht="12.75" customHeight="1" x14ac:dyDescent="0.2">
      <c r="A56" s="8" t="s">
        <v>119</v>
      </c>
      <c r="B56" s="18">
        <v>66374</v>
      </c>
      <c r="C56" s="19">
        <v>0</v>
      </c>
      <c r="D56" s="8" t="s">
        <v>120</v>
      </c>
      <c r="E56" s="20">
        <v>0</v>
      </c>
      <c r="F56" s="20">
        <v>1</v>
      </c>
      <c r="G56" s="8" t="s">
        <v>54</v>
      </c>
      <c r="H56" s="20">
        <v>1</v>
      </c>
      <c r="I56" s="8" t="s">
        <v>121</v>
      </c>
      <c r="J56" s="19">
        <v>0</v>
      </c>
      <c r="K56" s="8" t="s">
        <v>122</v>
      </c>
      <c r="L56" s="8" t="s">
        <v>55</v>
      </c>
      <c r="M56" s="8" t="s">
        <v>55</v>
      </c>
      <c r="N56" s="8" t="s">
        <v>55</v>
      </c>
      <c r="O56" s="8" t="s">
        <v>249</v>
      </c>
      <c r="P56" s="8" t="s">
        <v>119</v>
      </c>
    </row>
    <row r="57" spans="1:16" ht="12.75" customHeight="1" x14ac:dyDescent="0.2">
      <c r="A57" s="8" t="s">
        <v>72</v>
      </c>
      <c r="B57" s="18">
        <v>66375</v>
      </c>
      <c r="C57" s="19">
        <v>0</v>
      </c>
      <c r="D57" s="8" t="s">
        <v>250</v>
      </c>
      <c r="E57" s="20">
        <v>0</v>
      </c>
      <c r="F57" s="20">
        <v>8</v>
      </c>
      <c r="G57" s="8" t="s">
        <v>54</v>
      </c>
      <c r="H57" s="20">
        <v>8</v>
      </c>
      <c r="I57" s="8" t="s">
        <v>251</v>
      </c>
      <c r="J57" s="19">
        <v>0</v>
      </c>
      <c r="K57" s="8" t="s">
        <v>252</v>
      </c>
      <c r="L57" s="8" t="s">
        <v>55</v>
      </c>
      <c r="M57" s="8" t="s">
        <v>55</v>
      </c>
      <c r="N57" s="8" t="s">
        <v>55</v>
      </c>
      <c r="O57" s="8" t="s">
        <v>253</v>
      </c>
      <c r="P57" s="8" t="s">
        <v>72</v>
      </c>
    </row>
    <row r="58" spans="1:16" ht="12.75" customHeight="1" x14ac:dyDescent="0.2">
      <c r="A58" s="8" t="s">
        <v>72</v>
      </c>
      <c r="B58" s="18">
        <v>66376</v>
      </c>
      <c r="C58" s="19">
        <v>0</v>
      </c>
      <c r="D58" s="8" t="s">
        <v>254</v>
      </c>
      <c r="E58" s="20">
        <v>0</v>
      </c>
      <c r="F58" s="20">
        <v>16</v>
      </c>
      <c r="G58" s="8" t="s">
        <v>54</v>
      </c>
      <c r="H58" s="20">
        <v>16</v>
      </c>
      <c r="I58" s="8" t="s">
        <v>255</v>
      </c>
      <c r="J58" s="19">
        <v>0</v>
      </c>
      <c r="K58" s="8" t="s">
        <v>256</v>
      </c>
      <c r="L58" s="8" t="s">
        <v>55</v>
      </c>
      <c r="M58" s="8" t="s">
        <v>55</v>
      </c>
      <c r="N58" s="8" t="s">
        <v>55</v>
      </c>
      <c r="O58" s="8" t="s">
        <v>257</v>
      </c>
      <c r="P58" s="8" t="s">
        <v>72</v>
      </c>
    </row>
    <row r="59" spans="1:16" ht="12.75" customHeight="1" x14ac:dyDescent="0.2">
      <c r="A59" s="8" t="s">
        <v>72</v>
      </c>
      <c r="B59" s="18">
        <v>66377</v>
      </c>
      <c r="C59" s="19">
        <v>0</v>
      </c>
      <c r="D59" s="8" t="s">
        <v>258</v>
      </c>
      <c r="E59" s="20">
        <v>0</v>
      </c>
      <c r="F59" s="20">
        <v>3</v>
      </c>
      <c r="G59" s="8" t="s">
        <v>54</v>
      </c>
      <c r="H59" s="20">
        <v>3</v>
      </c>
      <c r="I59" s="8" t="s">
        <v>259</v>
      </c>
      <c r="J59" s="19">
        <v>0</v>
      </c>
      <c r="K59" s="8" t="s">
        <v>260</v>
      </c>
      <c r="L59" s="8" t="s">
        <v>55</v>
      </c>
      <c r="M59" s="8" t="s">
        <v>55</v>
      </c>
      <c r="N59" s="8" t="s">
        <v>55</v>
      </c>
      <c r="O59" s="8" t="s">
        <v>261</v>
      </c>
      <c r="P59" s="8" t="s">
        <v>72</v>
      </c>
    </row>
    <row r="60" spans="1:16" ht="12.75" customHeight="1" x14ac:dyDescent="0.2">
      <c r="A60" s="8" t="s">
        <v>72</v>
      </c>
      <c r="B60" s="18">
        <v>66378</v>
      </c>
      <c r="C60" s="19">
        <v>0</v>
      </c>
      <c r="D60" s="8" t="s">
        <v>262</v>
      </c>
      <c r="E60" s="20">
        <v>0</v>
      </c>
      <c r="F60" s="20">
        <v>3</v>
      </c>
      <c r="G60" s="8" t="s">
        <v>54</v>
      </c>
      <c r="H60" s="20">
        <v>3</v>
      </c>
      <c r="I60" s="8" t="s">
        <v>263</v>
      </c>
      <c r="J60" s="19">
        <v>0</v>
      </c>
      <c r="K60" s="8" t="s">
        <v>264</v>
      </c>
      <c r="L60" s="8" t="s">
        <v>55</v>
      </c>
      <c r="M60" s="8" t="s">
        <v>55</v>
      </c>
      <c r="N60" s="8" t="s">
        <v>55</v>
      </c>
      <c r="O60" s="8" t="s">
        <v>265</v>
      </c>
      <c r="P60" s="8" t="s">
        <v>72</v>
      </c>
    </row>
    <row r="61" spans="1:16" ht="12.75" customHeight="1" x14ac:dyDescent="0.2">
      <c r="A61" s="8" t="s">
        <v>72</v>
      </c>
      <c r="B61" s="18">
        <v>66379</v>
      </c>
      <c r="C61" s="19">
        <v>0</v>
      </c>
      <c r="D61" s="8" t="s">
        <v>266</v>
      </c>
      <c r="E61" s="20">
        <v>0</v>
      </c>
      <c r="F61" s="20">
        <v>12</v>
      </c>
      <c r="G61" s="8" t="s">
        <v>54</v>
      </c>
      <c r="H61" s="20">
        <v>12</v>
      </c>
      <c r="I61" s="8" t="s">
        <v>267</v>
      </c>
      <c r="J61" s="19">
        <v>0</v>
      </c>
      <c r="K61" s="8" t="s">
        <v>268</v>
      </c>
      <c r="L61" s="8" t="s">
        <v>55</v>
      </c>
      <c r="M61" s="8" t="s">
        <v>55</v>
      </c>
      <c r="N61" s="8" t="s">
        <v>55</v>
      </c>
      <c r="O61" s="8" t="s">
        <v>269</v>
      </c>
      <c r="P61" s="8" t="s">
        <v>72</v>
      </c>
    </row>
    <row r="62" spans="1:16" ht="12.75" customHeight="1" x14ac:dyDescent="0.2">
      <c r="A62" s="8" t="s">
        <v>72</v>
      </c>
      <c r="B62" s="18">
        <v>66380</v>
      </c>
      <c r="C62" s="19">
        <v>0</v>
      </c>
      <c r="D62" s="8" t="s">
        <v>123</v>
      </c>
      <c r="E62" s="20">
        <v>0</v>
      </c>
      <c r="F62" s="20">
        <v>8</v>
      </c>
      <c r="G62" s="8" t="s">
        <v>54</v>
      </c>
      <c r="H62" s="20">
        <v>8</v>
      </c>
      <c r="I62" s="8" t="s">
        <v>124</v>
      </c>
      <c r="J62" s="19">
        <v>0</v>
      </c>
      <c r="K62" s="8" t="s">
        <v>270</v>
      </c>
      <c r="L62" s="8" t="s">
        <v>55</v>
      </c>
      <c r="M62" s="8" t="s">
        <v>55</v>
      </c>
      <c r="N62" s="8" t="s">
        <v>55</v>
      </c>
      <c r="O62" s="8" t="s">
        <v>271</v>
      </c>
      <c r="P62" s="8" t="s">
        <v>72</v>
      </c>
    </row>
    <row r="63" spans="1:16" ht="12.75" customHeight="1" x14ac:dyDescent="0.2">
      <c r="A63" s="8" t="s">
        <v>72</v>
      </c>
      <c r="B63" s="18">
        <v>66381</v>
      </c>
      <c r="C63" s="19">
        <v>0</v>
      </c>
      <c r="D63" s="8" t="s">
        <v>148</v>
      </c>
      <c r="E63" s="20">
        <v>0</v>
      </c>
      <c r="F63" s="20">
        <v>3</v>
      </c>
      <c r="G63" s="8" t="s">
        <v>54</v>
      </c>
      <c r="H63" s="20">
        <v>3</v>
      </c>
      <c r="I63" s="8" t="s">
        <v>149</v>
      </c>
      <c r="J63" s="19">
        <v>0</v>
      </c>
      <c r="K63" s="8" t="s">
        <v>272</v>
      </c>
      <c r="L63" s="8" t="s">
        <v>55</v>
      </c>
      <c r="M63" s="8" t="s">
        <v>55</v>
      </c>
      <c r="N63" s="8" t="s">
        <v>55</v>
      </c>
      <c r="O63" s="8" t="s">
        <v>273</v>
      </c>
      <c r="P63" s="8" t="s">
        <v>72</v>
      </c>
    </row>
    <row r="64" spans="1:16" ht="12.75" customHeight="1" x14ac:dyDescent="0.2">
      <c r="A64" s="8" t="s">
        <v>62</v>
      </c>
      <c r="B64" s="18">
        <v>66382</v>
      </c>
      <c r="C64" s="19">
        <v>0</v>
      </c>
      <c r="D64" s="8" t="s">
        <v>125</v>
      </c>
      <c r="E64" s="20">
        <v>0</v>
      </c>
      <c r="F64" s="20">
        <v>1</v>
      </c>
      <c r="G64" s="8" t="s">
        <v>54</v>
      </c>
      <c r="H64" s="20">
        <v>1</v>
      </c>
      <c r="I64" s="8" t="s">
        <v>126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  <c r="O64" s="8" t="s">
        <v>274</v>
      </c>
      <c r="P64" s="8" t="s">
        <v>62</v>
      </c>
    </row>
    <row r="65" spans="1:16" ht="12.75" customHeight="1" x14ac:dyDescent="0.2">
      <c r="A65" s="8" t="s">
        <v>72</v>
      </c>
      <c r="B65" s="18">
        <v>66383</v>
      </c>
      <c r="C65" s="19">
        <v>0</v>
      </c>
      <c r="D65" s="8" t="s">
        <v>128</v>
      </c>
      <c r="E65" s="20">
        <v>0</v>
      </c>
      <c r="F65" s="20">
        <v>1</v>
      </c>
      <c r="G65" s="8" t="s">
        <v>54</v>
      </c>
      <c r="H65" s="20">
        <v>1</v>
      </c>
      <c r="I65" s="8" t="s">
        <v>129</v>
      </c>
      <c r="J65" s="19">
        <v>0</v>
      </c>
      <c r="K65" s="8" t="s">
        <v>130</v>
      </c>
      <c r="L65" s="8" t="s">
        <v>55</v>
      </c>
      <c r="M65" s="8" t="s">
        <v>55</v>
      </c>
      <c r="N65" s="8" t="s">
        <v>55</v>
      </c>
      <c r="O65" s="8" t="s">
        <v>275</v>
      </c>
      <c r="P65" s="8" t="s">
        <v>72</v>
      </c>
    </row>
    <row r="66" spans="1:16" ht="12.75" customHeight="1" x14ac:dyDescent="0.2">
      <c r="A66" s="8" t="s">
        <v>53</v>
      </c>
      <c r="B66" s="18">
        <v>66384</v>
      </c>
      <c r="C66" s="19">
        <v>0</v>
      </c>
      <c r="D66" s="8" t="s">
        <v>131</v>
      </c>
      <c r="E66" s="20">
        <v>0</v>
      </c>
      <c r="F66" s="20">
        <v>0</v>
      </c>
      <c r="G66" s="8" t="s">
        <v>54</v>
      </c>
      <c r="H66" s="20">
        <v>0</v>
      </c>
      <c r="I66" s="8" t="s">
        <v>132</v>
      </c>
      <c r="J66" s="19">
        <v>0</v>
      </c>
      <c r="K66" s="8" t="s">
        <v>133</v>
      </c>
      <c r="L66" s="8" t="s">
        <v>55</v>
      </c>
      <c r="M66" s="8" t="s">
        <v>55</v>
      </c>
      <c r="N66" s="8" t="s">
        <v>55</v>
      </c>
      <c r="O66" s="8" t="s">
        <v>276</v>
      </c>
      <c r="P66" s="8" t="s">
        <v>53</v>
      </c>
    </row>
    <row r="67" spans="1:16" ht="12.75" customHeight="1" x14ac:dyDescent="0.2">
      <c r="A67" s="8" t="s">
        <v>53</v>
      </c>
      <c r="B67" s="18">
        <v>66385</v>
      </c>
      <c r="C67" s="19">
        <v>0</v>
      </c>
      <c r="D67" s="8" t="s">
        <v>235</v>
      </c>
      <c r="E67" s="20">
        <v>0</v>
      </c>
      <c r="F67" s="20">
        <v>0</v>
      </c>
      <c r="G67" s="8" t="s">
        <v>54</v>
      </c>
      <c r="H67" s="20">
        <v>0</v>
      </c>
      <c r="I67" s="8" t="s">
        <v>236</v>
      </c>
      <c r="J67" s="19">
        <v>0</v>
      </c>
      <c r="K67" s="8" t="s">
        <v>235</v>
      </c>
      <c r="L67" s="8" t="s">
        <v>55</v>
      </c>
      <c r="M67" s="8" t="s">
        <v>55</v>
      </c>
      <c r="N67" s="8" t="s">
        <v>55</v>
      </c>
      <c r="O67" s="8" t="s">
        <v>277</v>
      </c>
      <c r="P67" s="8" t="s">
        <v>53</v>
      </c>
    </row>
    <row r="68" spans="1:16" ht="12.75" customHeight="1" x14ac:dyDescent="0.2">
      <c r="A68" s="8" t="s">
        <v>119</v>
      </c>
      <c r="B68" s="18">
        <v>66386</v>
      </c>
      <c r="C68" s="19">
        <v>0</v>
      </c>
      <c r="D68" s="8" t="s">
        <v>134</v>
      </c>
      <c r="E68" s="20">
        <v>0</v>
      </c>
      <c r="F68" s="20">
        <v>1</v>
      </c>
      <c r="G68" s="8" t="s">
        <v>54</v>
      </c>
      <c r="H68" s="20">
        <v>1</v>
      </c>
      <c r="I68" s="8" t="s">
        <v>135</v>
      </c>
      <c r="J68" s="19">
        <v>0</v>
      </c>
      <c r="K68" s="8" t="s">
        <v>136</v>
      </c>
      <c r="L68" s="8" t="s">
        <v>55</v>
      </c>
      <c r="M68" s="8" t="s">
        <v>55</v>
      </c>
      <c r="N68" s="8" t="s">
        <v>55</v>
      </c>
      <c r="O68" s="8" t="s">
        <v>278</v>
      </c>
      <c r="P68" s="8" t="s">
        <v>119</v>
      </c>
    </row>
    <row r="69" spans="1:16" ht="12.75" customHeight="1" x14ac:dyDescent="0.2">
      <c r="A69" s="8" t="s">
        <v>62</v>
      </c>
      <c r="B69" s="18">
        <v>66387</v>
      </c>
      <c r="C69" s="19">
        <v>0</v>
      </c>
      <c r="D69" s="8" t="s">
        <v>137</v>
      </c>
      <c r="E69" s="20">
        <v>0</v>
      </c>
      <c r="F69" s="20">
        <v>20</v>
      </c>
      <c r="G69" s="8" t="s">
        <v>54</v>
      </c>
      <c r="H69" s="20">
        <v>20</v>
      </c>
      <c r="I69" s="8" t="s">
        <v>138</v>
      </c>
      <c r="J69" s="19">
        <v>0</v>
      </c>
      <c r="K69" s="8" t="s">
        <v>279</v>
      </c>
      <c r="L69" s="8" t="s">
        <v>55</v>
      </c>
      <c r="M69" s="8" t="s">
        <v>55</v>
      </c>
      <c r="N69" s="8" t="s">
        <v>55</v>
      </c>
      <c r="O69" s="8" t="s">
        <v>280</v>
      </c>
      <c r="P69" s="8" t="s">
        <v>62</v>
      </c>
    </row>
    <row r="70" spans="1:16" ht="12.75" customHeight="1" x14ac:dyDescent="0.2">
      <c r="A70" s="8" t="s">
        <v>53</v>
      </c>
      <c r="B70" s="18">
        <v>66388</v>
      </c>
      <c r="C70" s="19">
        <v>0</v>
      </c>
      <c r="D70" s="8" t="s">
        <v>139</v>
      </c>
      <c r="E70" s="20">
        <v>0</v>
      </c>
      <c r="F70" s="20">
        <v>0</v>
      </c>
      <c r="G70" s="8" t="s">
        <v>54</v>
      </c>
      <c r="H70" s="20">
        <v>0</v>
      </c>
      <c r="I70" s="8" t="s">
        <v>140</v>
      </c>
      <c r="J70" s="19">
        <v>0</v>
      </c>
      <c r="K70" s="8" t="s">
        <v>139</v>
      </c>
      <c r="L70" s="8" t="s">
        <v>55</v>
      </c>
      <c r="M70" s="8" t="s">
        <v>55</v>
      </c>
      <c r="N70" s="8" t="s">
        <v>55</v>
      </c>
      <c r="O70" s="8" t="s">
        <v>281</v>
      </c>
      <c r="P70" s="8" t="s">
        <v>53</v>
      </c>
    </row>
    <row r="71" spans="1:16" ht="12.75" customHeight="1" x14ac:dyDescent="0.2">
      <c r="A71" s="8" t="s">
        <v>53</v>
      </c>
      <c r="B71" s="18">
        <v>66389</v>
      </c>
      <c r="C71" s="19">
        <v>0</v>
      </c>
      <c r="D71" s="8" t="s">
        <v>282</v>
      </c>
      <c r="E71" s="20">
        <v>0</v>
      </c>
      <c r="F71" s="20">
        <v>0</v>
      </c>
      <c r="G71" s="8" t="s">
        <v>54</v>
      </c>
      <c r="H71" s="20">
        <v>0</v>
      </c>
      <c r="I71" s="8" t="s">
        <v>283</v>
      </c>
      <c r="J71" s="19">
        <v>0</v>
      </c>
      <c r="K71" s="8" t="s">
        <v>282</v>
      </c>
      <c r="L71" s="8" t="s">
        <v>55</v>
      </c>
      <c r="M71" s="8" t="s">
        <v>55</v>
      </c>
      <c r="N71" s="8" t="s">
        <v>55</v>
      </c>
      <c r="O71" s="8" t="s">
        <v>284</v>
      </c>
      <c r="P71" s="8" t="s">
        <v>53</v>
      </c>
    </row>
    <row r="72" spans="1:16" ht="12.75" customHeight="1" x14ac:dyDescent="0.2">
      <c r="A72" s="8" t="s">
        <v>62</v>
      </c>
      <c r="B72" s="18">
        <v>66390</v>
      </c>
      <c r="C72" s="19">
        <v>0</v>
      </c>
      <c r="D72" s="8" t="s">
        <v>141</v>
      </c>
      <c r="E72" s="20">
        <v>0</v>
      </c>
      <c r="F72" s="20">
        <v>8</v>
      </c>
      <c r="G72" s="8" t="s">
        <v>54</v>
      </c>
      <c r="H72" s="20">
        <v>8</v>
      </c>
      <c r="I72" s="8" t="s">
        <v>142</v>
      </c>
      <c r="J72" s="19">
        <v>0</v>
      </c>
      <c r="K72" s="8" t="s">
        <v>143</v>
      </c>
      <c r="L72" s="8" t="s">
        <v>55</v>
      </c>
      <c r="M72" s="8" t="s">
        <v>55</v>
      </c>
      <c r="N72" s="8" t="s">
        <v>55</v>
      </c>
      <c r="O72" s="8" t="s">
        <v>285</v>
      </c>
      <c r="P72" s="8" t="s">
        <v>62</v>
      </c>
    </row>
    <row r="73" spans="1:16" ht="12.75" customHeight="1" x14ac:dyDescent="0.2">
      <c r="A73" s="8" t="s">
        <v>53</v>
      </c>
      <c r="B73" s="18">
        <v>66391</v>
      </c>
      <c r="C73" s="19">
        <v>0</v>
      </c>
      <c r="D73" s="8" t="s">
        <v>144</v>
      </c>
      <c r="E73" s="20">
        <v>0</v>
      </c>
      <c r="F73" s="20">
        <v>0</v>
      </c>
      <c r="G73" s="8" t="s">
        <v>54</v>
      </c>
      <c r="H73" s="20">
        <v>0</v>
      </c>
      <c r="I73" s="8" t="s">
        <v>145</v>
      </c>
      <c r="J73" s="19">
        <v>0</v>
      </c>
      <c r="K73" s="8" t="s">
        <v>144</v>
      </c>
      <c r="L73" s="8" t="s">
        <v>55</v>
      </c>
      <c r="M73" s="8" t="s">
        <v>55</v>
      </c>
      <c r="N73" s="8" t="s">
        <v>55</v>
      </c>
      <c r="O73" s="8" t="s">
        <v>286</v>
      </c>
      <c r="P73" s="8" t="s">
        <v>53</v>
      </c>
    </row>
    <row r="74" spans="1:16" ht="12.75" customHeight="1" x14ac:dyDescent="0.2">
      <c r="A74" s="8" t="s">
        <v>62</v>
      </c>
      <c r="B74" s="18">
        <v>66392</v>
      </c>
      <c r="C74" s="19">
        <v>0</v>
      </c>
      <c r="D74" s="8" t="s">
        <v>287</v>
      </c>
      <c r="E74" s="20">
        <v>0</v>
      </c>
      <c r="F74" s="20">
        <v>1</v>
      </c>
      <c r="G74" s="8" t="s">
        <v>54</v>
      </c>
      <c r="H74" s="20">
        <v>1</v>
      </c>
      <c r="I74" s="8" t="s">
        <v>288</v>
      </c>
      <c r="J74" s="19">
        <v>0</v>
      </c>
      <c r="K74" s="8" t="s">
        <v>289</v>
      </c>
      <c r="L74" s="8" t="s">
        <v>55</v>
      </c>
      <c r="M74" s="8" t="s">
        <v>55</v>
      </c>
      <c r="N74" s="8" t="s">
        <v>55</v>
      </c>
      <c r="O74" s="8" t="s">
        <v>290</v>
      </c>
      <c r="P74" s="8" t="s">
        <v>62</v>
      </c>
    </row>
    <row r="75" spans="1:16" ht="12.75" customHeight="1" x14ac:dyDescent="0.2">
      <c r="A75" s="8" t="s">
        <v>53</v>
      </c>
      <c r="B75" s="18">
        <v>66393</v>
      </c>
      <c r="C75" s="19">
        <v>0</v>
      </c>
      <c r="D75" s="8" t="s">
        <v>63</v>
      </c>
      <c r="E75" s="20">
        <v>0</v>
      </c>
      <c r="F75" s="20">
        <v>0</v>
      </c>
      <c r="G75" s="8" t="s">
        <v>54</v>
      </c>
      <c r="H75" s="20">
        <v>0</v>
      </c>
      <c r="I75" s="8" t="s">
        <v>64</v>
      </c>
      <c r="J75" s="19">
        <v>0</v>
      </c>
      <c r="K75" s="8" t="s">
        <v>65</v>
      </c>
      <c r="L75" s="8" t="s">
        <v>55</v>
      </c>
      <c r="M75" s="8" t="s">
        <v>55</v>
      </c>
      <c r="N75" s="8" t="s">
        <v>55</v>
      </c>
      <c r="O75" s="8" t="s">
        <v>291</v>
      </c>
      <c r="P75" s="8" t="s">
        <v>53</v>
      </c>
    </row>
    <row r="76" spans="1:16" ht="12.75" customHeight="1" x14ac:dyDescent="0.2">
      <c r="A76" s="8" t="s">
        <v>66</v>
      </c>
      <c r="B76" s="18">
        <v>66394</v>
      </c>
      <c r="C76" s="19">
        <v>0</v>
      </c>
      <c r="D76" s="8" t="s">
        <v>67</v>
      </c>
      <c r="E76" s="20">
        <v>0</v>
      </c>
      <c r="F76" s="20">
        <v>2</v>
      </c>
      <c r="G76" s="8" t="s">
        <v>54</v>
      </c>
      <c r="H76" s="20">
        <v>2</v>
      </c>
      <c r="I76" s="8" t="s">
        <v>68</v>
      </c>
      <c r="J76" s="19">
        <v>0</v>
      </c>
      <c r="K76" s="8" t="s">
        <v>69</v>
      </c>
      <c r="L76" s="8" t="s">
        <v>55</v>
      </c>
      <c r="M76" s="8" t="s">
        <v>55</v>
      </c>
      <c r="N76" s="8" t="s">
        <v>55</v>
      </c>
      <c r="O76" s="8" t="s">
        <v>292</v>
      </c>
      <c r="P76" s="8" t="s">
        <v>66</v>
      </c>
    </row>
    <row r="77" spans="1:16" ht="12.75" customHeight="1" x14ac:dyDescent="0.2"/>
    <row r="78" spans="1:16" ht="12.75" customHeight="1" x14ac:dyDescent="0.2"/>
    <row r="79" spans="1:16" ht="12.75" customHeight="1" x14ac:dyDescent="0.2">
      <c r="B79" s="8" t="s">
        <v>293</v>
      </c>
    </row>
    <row r="80" spans="1:16" ht="12.75" customHeight="1" x14ac:dyDescent="0.2"/>
    <row r="81" spans="1:13" ht="12.75" customHeight="1" x14ac:dyDescent="0.2"/>
    <row r="82" spans="1:13" ht="12.75" customHeight="1" x14ac:dyDescent="0.2">
      <c r="B82" s="8" t="s">
        <v>294</v>
      </c>
      <c r="C82" s="8" t="s">
        <v>42</v>
      </c>
      <c r="D82" s="8" t="s">
        <v>295</v>
      </c>
      <c r="E82" s="8" t="s">
        <v>296</v>
      </c>
      <c r="F82" s="8" t="s">
        <v>36</v>
      </c>
      <c r="G82" s="8" t="s">
        <v>297</v>
      </c>
      <c r="H82" s="8" t="s">
        <v>10</v>
      </c>
      <c r="I82" s="8" t="s">
        <v>298</v>
      </c>
      <c r="J82" s="8" t="s">
        <v>299</v>
      </c>
      <c r="K82" s="8" t="s">
        <v>19</v>
      </c>
      <c r="L82" s="8" t="s">
        <v>19</v>
      </c>
      <c r="M82" s="8" t="s">
        <v>19</v>
      </c>
    </row>
    <row r="83" spans="1:13" ht="12.75" customHeight="1" x14ac:dyDescent="0.2">
      <c r="M83" s="8" t="s">
        <v>300</v>
      </c>
    </row>
    <row r="84" spans="1:13" ht="12.75" customHeight="1" x14ac:dyDescent="0.2">
      <c r="A84" s="8" t="s">
        <v>19</v>
      </c>
    </row>
    <row r="85" spans="1:13" ht="12.75" customHeight="1" x14ac:dyDescent="0.2"/>
    <row r="86" spans="1:13" ht="12.75" customHeight="1" x14ac:dyDescent="0.2"/>
    <row r="87" spans="1:13" ht="12.75" customHeight="1" x14ac:dyDescent="0.2"/>
    <row r="88" spans="1:13" ht="12.75" customHeight="1" x14ac:dyDescent="0.2">
      <c r="B88" s="8" t="s">
        <v>301</v>
      </c>
      <c r="C88" s="8" t="s">
        <v>42</v>
      </c>
      <c r="D88" s="8" t="s">
        <v>302</v>
      </c>
      <c r="E88" s="8" t="s">
        <v>297</v>
      </c>
      <c r="F88" s="8" t="s">
        <v>303</v>
      </c>
      <c r="G88" s="8" t="s">
        <v>304</v>
      </c>
      <c r="H88" s="8" t="s">
        <v>36</v>
      </c>
      <c r="I88" s="8" t="s">
        <v>299</v>
      </c>
      <c r="J88" s="8" t="s">
        <v>305</v>
      </c>
      <c r="K88" s="8" t="s">
        <v>0</v>
      </c>
      <c r="L88" s="8" t="s">
        <v>1</v>
      </c>
    </row>
    <row r="89" spans="1:13" ht="12.75" customHeight="1" x14ac:dyDescent="0.2">
      <c r="A89" s="18">
        <v>35635</v>
      </c>
      <c r="B89" s="8" t="s">
        <v>19</v>
      </c>
      <c r="C89" s="8" t="s">
        <v>306</v>
      </c>
      <c r="D89" s="20">
        <v>2</v>
      </c>
      <c r="E89" s="8" t="s">
        <v>307</v>
      </c>
      <c r="F89" s="8" t="s">
        <v>308</v>
      </c>
      <c r="G89" s="8" t="s">
        <v>25</v>
      </c>
      <c r="H89" s="8" t="s">
        <v>309</v>
      </c>
      <c r="I89" s="8" t="s">
        <v>309</v>
      </c>
      <c r="J89" s="8" t="s">
        <v>309</v>
      </c>
      <c r="L89" s="8" t="s">
        <v>19</v>
      </c>
    </row>
    <row r="90" spans="1:13" ht="12.75" customHeight="1" x14ac:dyDescent="0.2">
      <c r="A90" s="8" t="s">
        <v>310</v>
      </c>
      <c r="B90" s="19">
        <v>46045</v>
      </c>
      <c r="C90" s="20">
        <v>4</v>
      </c>
    </row>
    <row r="91" spans="1:13" ht="12.75" customHeight="1" x14ac:dyDescent="0.2"/>
    <row r="92" spans="1:13" ht="12.75" customHeight="1" x14ac:dyDescent="0.2">
      <c r="A92" s="18">
        <v>35679</v>
      </c>
      <c r="B92" s="8" t="s">
        <v>19</v>
      </c>
      <c r="C92" s="8" t="s">
        <v>311</v>
      </c>
      <c r="D92" s="20">
        <v>1</v>
      </c>
      <c r="E92" s="8" t="s">
        <v>312</v>
      </c>
      <c r="F92" s="8" t="s">
        <v>313</v>
      </c>
      <c r="G92" s="8" t="s">
        <v>25</v>
      </c>
      <c r="H92" s="8" t="s">
        <v>309</v>
      </c>
      <c r="I92" s="8" t="s">
        <v>309</v>
      </c>
      <c r="J92" s="8" t="s">
        <v>309</v>
      </c>
      <c r="L92" s="8" t="s">
        <v>19</v>
      </c>
    </row>
    <row r="93" spans="1:13" ht="12.75" customHeight="1" x14ac:dyDescent="0.2">
      <c r="A93" s="8" t="s">
        <v>314</v>
      </c>
    </row>
    <row r="94" spans="1:13" ht="12.75" customHeight="1" x14ac:dyDescent="0.2">
      <c r="A94" s="8" t="s">
        <v>315</v>
      </c>
      <c r="B94" s="19">
        <v>46008</v>
      </c>
      <c r="C94" s="20">
        <v>2</v>
      </c>
    </row>
    <row r="95" spans="1:13" ht="12.75" customHeight="1" x14ac:dyDescent="0.2"/>
    <row r="96" spans="1:13" ht="12.75" customHeight="1" x14ac:dyDescent="0.2">
      <c r="A96" s="18">
        <v>35789</v>
      </c>
      <c r="B96" s="8" t="s">
        <v>19</v>
      </c>
      <c r="C96" s="8" t="s">
        <v>316</v>
      </c>
      <c r="D96" s="20">
        <v>1</v>
      </c>
      <c r="E96" s="8" t="s">
        <v>317</v>
      </c>
      <c r="F96" s="8" t="s">
        <v>318</v>
      </c>
      <c r="G96" s="8" t="s">
        <v>25</v>
      </c>
      <c r="H96" s="8" t="s">
        <v>309</v>
      </c>
      <c r="I96" s="8" t="s">
        <v>309</v>
      </c>
      <c r="J96" s="8" t="s">
        <v>309</v>
      </c>
      <c r="L96" s="8" t="s">
        <v>19</v>
      </c>
    </row>
    <row r="97" spans="1:12" ht="12.75" customHeight="1" x14ac:dyDescent="0.2">
      <c r="A97" s="8" t="s">
        <v>319</v>
      </c>
      <c r="B97" s="19">
        <v>46020</v>
      </c>
      <c r="C97" s="20">
        <v>2</v>
      </c>
    </row>
    <row r="98" spans="1:12" ht="12.75" customHeight="1" x14ac:dyDescent="0.2"/>
    <row r="99" spans="1:12" ht="12.75" customHeight="1" x14ac:dyDescent="0.2">
      <c r="A99" s="18">
        <v>35791</v>
      </c>
      <c r="B99" s="8" t="s">
        <v>19</v>
      </c>
      <c r="C99" s="8" t="s">
        <v>320</v>
      </c>
      <c r="D99" s="20">
        <v>0.5</v>
      </c>
      <c r="E99" s="8" t="s">
        <v>321</v>
      </c>
      <c r="F99" s="8" t="s">
        <v>19</v>
      </c>
      <c r="G99" s="8" t="s">
        <v>25</v>
      </c>
      <c r="H99" s="8" t="s">
        <v>309</v>
      </c>
      <c r="I99" s="8" t="s">
        <v>309</v>
      </c>
      <c r="J99" s="8" t="s">
        <v>309</v>
      </c>
      <c r="L99" s="8" t="s">
        <v>19</v>
      </c>
    </row>
    <row r="100" spans="1:12" ht="12.75" customHeight="1" x14ac:dyDescent="0.2">
      <c r="A100" s="8" t="s">
        <v>319</v>
      </c>
      <c r="B100" s="19">
        <v>46020</v>
      </c>
      <c r="C100" s="20">
        <v>1</v>
      </c>
    </row>
    <row r="101" spans="1:12" ht="12.75" customHeight="1" x14ac:dyDescent="0.2"/>
    <row r="102" spans="1:12" ht="12.75" customHeight="1" x14ac:dyDescent="0.2">
      <c r="A102" s="18">
        <v>39351</v>
      </c>
      <c r="B102" s="8" t="s">
        <v>19</v>
      </c>
      <c r="C102" s="8" t="s">
        <v>322</v>
      </c>
      <c r="D102" s="20">
        <v>1</v>
      </c>
      <c r="E102" s="8" t="s">
        <v>323</v>
      </c>
      <c r="F102" s="8" t="s">
        <v>324</v>
      </c>
      <c r="G102" s="8" t="s">
        <v>25</v>
      </c>
      <c r="H102" s="8" t="s">
        <v>309</v>
      </c>
      <c r="I102" s="8" t="s">
        <v>309</v>
      </c>
      <c r="J102" s="8" t="s">
        <v>309</v>
      </c>
      <c r="L102" s="8" t="s">
        <v>19</v>
      </c>
    </row>
    <row r="103" spans="1:12" ht="12.75" customHeight="1" x14ac:dyDescent="0.2">
      <c r="A103" s="8" t="s">
        <v>325</v>
      </c>
      <c r="B103" s="19">
        <v>46065</v>
      </c>
      <c r="C103" s="20">
        <v>3</v>
      </c>
    </row>
    <row r="104" spans="1:12" ht="12.75" customHeight="1" x14ac:dyDescent="0.2"/>
    <row r="105" spans="1:12" ht="12.75" customHeight="1" x14ac:dyDescent="0.2">
      <c r="A105" s="18">
        <v>39642</v>
      </c>
      <c r="B105" s="8" t="s">
        <v>19</v>
      </c>
      <c r="C105" s="8" t="s">
        <v>326</v>
      </c>
      <c r="D105" s="20">
        <v>0.5</v>
      </c>
      <c r="E105" s="8" t="s">
        <v>327</v>
      </c>
      <c r="F105" s="8" t="s">
        <v>328</v>
      </c>
      <c r="G105" s="8" t="s">
        <v>25</v>
      </c>
      <c r="H105" s="8" t="s">
        <v>309</v>
      </c>
      <c r="I105" s="8" t="s">
        <v>309</v>
      </c>
      <c r="J105" s="8" t="s">
        <v>309</v>
      </c>
      <c r="L105" s="8" t="s">
        <v>19</v>
      </c>
    </row>
    <row r="106" spans="1:12" ht="12.75" customHeight="1" x14ac:dyDescent="0.2">
      <c r="A106" s="8" t="s">
        <v>329</v>
      </c>
    </row>
    <row r="107" spans="1:12" ht="12.75" customHeight="1" x14ac:dyDescent="0.2">
      <c r="A107" s="8" t="s">
        <v>330</v>
      </c>
      <c r="B107" s="19">
        <v>46114</v>
      </c>
      <c r="C107" s="20">
        <v>1</v>
      </c>
    </row>
    <row r="109" spans="1:12" ht="12.75" customHeight="1" x14ac:dyDescent="0.2">
      <c r="A109" s="18">
        <v>39643</v>
      </c>
      <c r="B109" s="8" t="s">
        <v>19</v>
      </c>
      <c r="C109" s="8" t="s">
        <v>331</v>
      </c>
      <c r="D109" s="20">
        <v>0.5</v>
      </c>
      <c r="E109" s="8" t="s">
        <v>332</v>
      </c>
      <c r="F109" s="8" t="s">
        <v>333</v>
      </c>
      <c r="G109" s="8" t="s">
        <v>25</v>
      </c>
      <c r="H109" s="8" t="s">
        <v>309</v>
      </c>
      <c r="I109" s="8" t="s">
        <v>309</v>
      </c>
      <c r="J109" s="8" t="s">
        <v>309</v>
      </c>
      <c r="L109" s="8" t="s">
        <v>19</v>
      </c>
    </row>
    <row r="110" spans="1:12" ht="12.75" customHeight="1" x14ac:dyDescent="0.2">
      <c r="A110" s="8" t="s">
        <v>334</v>
      </c>
    </row>
    <row r="111" spans="1:12" ht="12.75" customHeight="1" x14ac:dyDescent="0.2">
      <c r="A111" s="8" t="s">
        <v>330</v>
      </c>
      <c r="B111" s="19">
        <v>46114</v>
      </c>
      <c r="C111" s="20">
        <v>1</v>
      </c>
    </row>
    <row r="113" spans="1:12" ht="12.75" customHeight="1" x14ac:dyDescent="0.2">
      <c r="A113" s="18">
        <v>39646</v>
      </c>
      <c r="B113" s="8" t="s">
        <v>19</v>
      </c>
      <c r="C113" s="8" t="s">
        <v>335</v>
      </c>
      <c r="D113" s="20">
        <v>1</v>
      </c>
      <c r="E113" s="8" t="s">
        <v>336</v>
      </c>
      <c r="F113" s="8" t="s">
        <v>19</v>
      </c>
      <c r="G113" s="8" t="s">
        <v>25</v>
      </c>
      <c r="H113" s="8" t="s">
        <v>309</v>
      </c>
      <c r="I113" s="8" t="s">
        <v>309</v>
      </c>
      <c r="J113" s="8" t="s">
        <v>309</v>
      </c>
      <c r="L113" s="8" t="s">
        <v>19</v>
      </c>
    </row>
    <row r="114" spans="1:12" ht="12.75" customHeight="1" x14ac:dyDescent="0.2">
      <c r="A114" s="8" t="s">
        <v>330</v>
      </c>
      <c r="B114" s="19">
        <v>46114</v>
      </c>
      <c r="C114" s="20">
        <v>1</v>
      </c>
    </row>
    <row r="116" spans="1:12" ht="12.75" customHeight="1" x14ac:dyDescent="0.2">
      <c r="A116" s="18">
        <v>39647</v>
      </c>
      <c r="B116" s="8" t="s">
        <v>19</v>
      </c>
      <c r="C116" s="8" t="s">
        <v>337</v>
      </c>
      <c r="D116" s="20">
        <v>1</v>
      </c>
      <c r="E116" s="8" t="s">
        <v>338</v>
      </c>
      <c r="F116" s="8" t="s">
        <v>339</v>
      </c>
      <c r="G116" s="8" t="s">
        <v>25</v>
      </c>
      <c r="H116" s="8" t="s">
        <v>309</v>
      </c>
      <c r="I116" s="8" t="s">
        <v>309</v>
      </c>
      <c r="J116" s="8" t="s">
        <v>309</v>
      </c>
      <c r="L116" s="8" t="s">
        <v>19</v>
      </c>
    </row>
    <row r="117" spans="1:12" ht="12.75" customHeight="1" x14ac:dyDescent="0.2">
      <c r="A117" s="8" t="s">
        <v>340</v>
      </c>
      <c r="B117" s="19">
        <v>46093</v>
      </c>
      <c r="C117" s="20">
        <v>2</v>
      </c>
    </row>
    <row r="119" spans="1:12" ht="12.75" customHeight="1" x14ac:dyDescent="0.2">
      <c r="A119" s="18">
        <v>39662</v>
      </c>
      <c r="B119" s="8" t="s">
        <v>19</v>
      </c>
      <c r="C119" s="8" t="s">
        <v>341</v>
      </c>
      <c r="D119" s="20">
        <v>16</v>
      </c>
      <c r="E119" s="8" t="s">
        <v>342</v>
      </c>
      <c r="F119" s="8" t="s">
        <v>343</v>
      </c>
      <c r="G119" s="8" t="s">
        <v>25</v>
      </c>
      <c r="H119" s="8" t="s">
        <v>309</v>
      </c>
      <c r="I119" s="8" t="s">
        <v>309</v>
      </c>
      <c r="J119" s="8" t="s">
        <v>309</v>
      </c>
      <c r="L119" s="8" t="s">
        <v>19</v>
      </c>
    </row>
    <row r="120" spans="1:12" ht="12.75" customHeight="1" x14ac:dyDescent="0.2">
      <c r="A120" s="8" t="s">
        <v>344</v>
      </c>
      <c r="B120" s="19">
        <v>46097</v>
      </c>
      <c r="C120" s="20">
        <v>32</v>
      </c>
    </row>
    <row r="122" spans="1:12" ht="12.75" customHeight="1" x14ac:dyDescent="0.2">
      <c r="A122" s="18">
        <v>39663</v>
      </c>
      <c r="B122" s="8" t="s">
        <v>19</v>
      </c>
      <c r="C122" s="8" t="s">
        <v>345</v>
      </c>
      <c r="D122" s="20">
        <v>32</v>
      </c>
      <c r="E122" s="8" t="s">
        <v>346</v>
      </c>
      <c r="F122" s="8" t="s">
        <v>347</v>
      </c>
      <c r="G122" s="8" t="s">
        <v>25</v>
      </c>
      <c r="H122" s="8" t="s">
        <v>309</v>
      </c>
      <c r="I122" s="8" t="s">
        <v>309</v>
      </c>
      <c r="J122" s="8" t="s">
        <v>309</v>
      </c>
      <c r="L122" s="8" t="s">
        <v>19</v>
      </c>
    </row>
    <row r="123" spans="1:12" ht="12.75" customHeight="1" x14ac:dyDescent="0.2">
      <c r="A123" s="8" t="s">
        <v>344</v>
      </c>
      <c r="B123" s="19">
        <v>46097</v>
      </c>
      <c r="C123" s="20">
        <v>64</v>
      </c>
    </row>
    <row r="125" spans="1:12" ht="12.75" customHeight="1" x14ac:dyDescent="0.2">
      <c r="A125" s="18">
        <v>39685</v>
      </c>
      <c r="B125" s="8" t="s">
        <v>19</v>
      </c>
      <c r="C125" s="8" t="s">
        <v>348</v>
      </c>
      <c r="D125" s="20">
        <v>1</v>
      </c>
      <c r="E125" s="8" t="s">
        <v>349</v>
      </c>
      <c r="F125" s="8" t="s">
        <v>350</v>
      </c>
      <c r="G125" s="8" t="s">
        <v>25</v>
      </c>
      <c r="H125" s="8" t="s">
        <v>309</v>
      </c>
      <c r="I125" s="8" t="s">
        <v>309</v>
      </c>
      <c r="J125" s="8" t="s">
        <v>309</v>
      </c>
      <c r="L125" s="8" t="s">
        <v>19</v>
      </c>
    </row>
    <row r="126" spans="1:12" ht="12.75" customHeight="1" x14ac:dyDescent="0.2">
      <c r="A126" s="8" t="s">
        <v>351</v>
      </c>
    </row>
    <row r="127" spans="1:12" ht="12.75" customHeight="1" x14ac:dyDescent="0.2">
      <c r="A127" s="8" t="s">
        <v>352</v>
      </c>
      <c r="B127" s="19">
        <v>46114</v>
      </c>
      <c r="C127" s="20">
        <v>1</v>
      </c>
    </row>
    <row r="129" spans="1:12" ht="12.75" customHeight="1" x14ac:dyDescent="0.2">
      <c r="A129" s="18">
        <v>39686</v>
      </c>
      <c r="B129" s="8" t="s">
        <v>19</v>
      </c>
      <c r="C129" s="8" t="s">
        <v>353</v>
      </c>
      <c r="D129" s="20">
        <v>2</v>
      </c>
      <c r="E129" s="8" t="s">
        <v>354</v>
      </c>
      <c r="F129" s="8" t="s">
        <v>355</v>
      </c>
      <c r="G129" s="8" t="s">
        <v>25</v>
      </c>
      <c r="H129" s="8" t="s">
        <v>309</v>
      </c>
      <c r="I129" s="8" t="s">
        <v>309</v>
      </c>
      <c r="J129" s="8" t="s">
        <v>309</v>
      </c>
      <c r="L129" s="8" t="s">
        <v>19</v>
      </c>
    </row>
    <row r="130" spans="1:12" ht="12.75" customHeight="1" x14ac:dyDescent="0.2">
      <c r="A130" s="8" t="s">
        <v>356</v>
      </c>
    </row>
    <row r="131" spans="1:12" ht="12.75" customHeight="1" x14ac:dyDescent="0.2">
      <c r="A131" s="8" t="s">
        <v>352</v>
      </c>
      <c r="B131" s="19">
        <v>46114</v>
      </c>
      <c r="C131" s="20">
        <v>4</v>
      </c>
    </row>
    <row r="133" spans="1:12" ht="12.75" customHeight="1" x14ac:dyDescent="0.2">
      <c r="A133" s="18">
        <v>39687</v>
      </c>
      <c r="B133" s="8" t="s">
        <v>19</v>
      </c>
      <c r="C133" s="8" t="s">
        <v>357</v>
      </c>
      <c r="D133" s="20">
        <v>0.5</v>
      </c>
      <c r="E133" s="8" t="s">
        <v>358</v>
      </c>
      <c r="F133" s="8" t="s">
        <v>359</v>
      </c>
      <c r="G133" s="8" t="s">
        <v>25</v>
      </c>
      <c r="H133" s="8" t="s">
        <v>309</v>
      </c>
      <c r="I133" s="8" t="s">
        <v>309</v>
      </c>
      <c r="J133" s="8" t="s">
        <v>309</v>
      </c>
      <c r="L133" s="8" t="s">
        <v>19</v>
      </c>
    </row>
    <row r="134" spans="1:12" ht="12.75" customHeight="1" x14ac:dyDescent="0.2">
      <c r="A134" s="8" t="s">
        <v>360</v>
      </c>
    </row>
    <row r="135" spans="1:12" ht="12.75" customHeight="1" x14ac:dyDescent="0.2">
      <c r="A135" s="8" t="s">
        <v>352</v>
      </c>
      <c r="B135" s="19">
        <v>46114</v>
      </c>
      <c r="C135" s="20">
        <v>1</v>
      </c>
    </row>
    <row r="137" spans="1:12" ht="12.75" customHeight="1" x14ac:dyDescent="0.2">
      <c r="A137" s="18">
        <v>39688</v>
      </c>
      <c r="B137" s="8" t="s">
        <v>19</v>
      </c>
      <c r="C137" s="8" t="s">
        <v>361</v>
      </c>
      <c r="D137" s="20">
        <v>1</v>
      </c>
      <c r="E137" s="8" t="s">
        <v>362</v>
      </c>
      <c r="F137" s="8" t="s">
        <v>363</v>
      </c>
      <c r="G137" s="8" t="s">
        <v>25</v>
      </c>
      <c r="H137" s="8" t="s">
        <v>309</v>
      </c>
      <c r="I137" s="8" t="s">
        <v>309</v>
      </c>
      <c r="J137" s="8" t="s">
        <v>309</v>
      </c>
      <c r="L137" s="8" t="s">
        <v>19</v>
      </c>
    </row>
    <row r="138" spans="1:12" ht="12.75" customHeight="1" x14ac:dyDescent="0.2">
      <c r="A138" s="8" t="s">
        <v>352</v>
      </c>
      <c r="B138" s="19">
        <v>46114</v>
      </c>
      <c r="C138" s="20">
        <v>2</v>
      </c>
    </row>
    <row r="140" spans="1:12" ht="12.75" customHeight="1" x14ac:dyDescent="0.2">
      <c r="A140" s="18">
        <v>39689</v>
      </c>
      <c r="B140" s="8" t="s">
        <v>19</v>
      </c>
      <c r="C140" s="8" t="s">
        <v>364</v>
      </c>
      <c r="D140" s="20">
        <v>1</v>
      </c>
      <c r="E140" s="8" t="s">
        <v>365</v>
      </c>
      <c r="F140" s="8" t="s">
        <v>366</v>
      </c>
      <c r="G140" s="8" t="s">
        <v>25</v>
      </c>
      <c r="H140" s="8" t="s">
        <v>309</v>
      </c>
      <c r="I140" s="8" t="s">
        <v>309</v>
      </c>
      <c r="J140" s="8" t="s">
        <v>309</v>
      </c>
      <c r="L140" s="8" t="s">
        <v>19</v>
      </c>
    </row>
    <row r="141" spans="1:12" ht="12.75" customHeight="1" x14ac:dyDescent="0.2">
      <c r="A141" s="8" t="s">
        <v>367</v>
      </c>
    </row>
    <row r="142" spans="1:12" ht="12.75" customHeight="1" x14ac:dyDescent="0.2">
      <c r="A142" s="8" t="s">
        <v>352</v>
      </c>
      <c r="B142" s="19">
        <v>46114</v>
      </c>
      <c r="C142" s="20">
        <v>2</v>
      </c>
    </row>
    <row r="144" spans="1:12" ht="12.75" customHeight="1" x14ac:dyDescent="0.2">
      <c r="A144" s="18">
        <v>39690</v>
      </c>
      <c r="B144" s="8" t="s">
        <v>19</v>
      </c>
      <c r="C144" s="8" t="s">
        <v>368</v>
      </c>
      <c r="D144" s="20">
        <v>3</v>
      </c>
      <c r="E144" s="8" t="s">
        <v>369</v>
      </c>
      <c r="F144" s="8" t="s">
        <v>370</v>
      </c>
      <c r="G144" s="8" t="s">
        <v>25</v>
      </c>
      <c r="H144" s="8" t="s">
        <v>309</v>
      </c>
      <c r="I144" s="8" t="s">
        <v>309</v>
      </c>
      <c r="J144" s="8" t="s">
        <v>309</v>
      </c>
      <c r="L144" s="8" t="s">
        <v>19</v>
      </c>
    </row>
    <row r="145" spans="1:12" ht="12.75" customHeight="1" x14ac:dyDescent="0.2">
      <c r="A145" s="8" t="s">
        <v>367</v>
      </c>
    </row>
    <row r="146" spans="1:12" ht="12.75" customHeight="1" x14ac:dyDescent="0.2">
      <c r="A146" s="8" t="s">
        <v>352</v>
      </c>
      <c r="B146" s="19">
        <v>46114</v>
      </c>
      <c r="C146" s="20">
        <v>6</v>
      </c>
    </row>
    <row r="148" spans="1:12" ht="12.75" customHeight="1" x14ac:dyDescent="0.2">
      <c r="A148" s="18">
        <v>39691</v>
      </c>
      <c r="B148" s="8" t="s">
        <v>19</v>
      </c>
      <c r="C148" s="8" t="s">
        <v>371</v>
      </c>
      <c r="D148" s="20">
        <v>3</v>
      </c>
      <c r="E148" s="8" t="s">
        <v>372</v>
      </c>
      <c r="F148" s="8" t="s">
        <v>373</v>
      </c>
      <c r="G148" s="8" t="s">
        <v>25</v>
      </c>
      <c r="H148" s="8" t="s">
        <v>309</v>
      </c>
      <c r="I148" s="8" t="s">
        <v>309</v>
      </c>
      <c r="J148" s="8" t="s">
        <v>309</v>
      </c>
      <c r="L148" s="8" t="s">
        <v>19</v>
      </c>
    </row>
    <row r="149" spans="1:12" ht="12.75" customHeight="1" x14ac:dyDescent="0.2">
      <c r="A149" s="8" t="s">
        <v>367</v>
      </c>
    </row>
    <row r="150" spans="1:12" ht="12.75" customHeight="1" x14ac:dyDescent="0.2">
      <c r="A150" s="8" t="s">
        <v>352</v>
      </c>
      <c r="B150" s="19">
        <v>46114</v>
      </c>
      <c r="C150" s="20">
        <v>6</v>
      </c>
    </row>
    <row r="152" spans="1:12" ht="12.75" customHeight="1" x14ac:dyDescent="0.2">
      <c r="A152" s="18">
        <v>39692</v>
      </c>
      <c r="B152" s="8" t="s">
        <v>19</v>
      </c>
      <c r="C152" s="8" t="s">
        <v>374</v>
      </c>
      <c r="D152" s="20">
        <v>1</v>
      </c>
      <c r="E152" s="8" t="s">
        <v>375</v>
      </c>
      <c r="F152" s="8" t="s">
        <v>376</v>
      </c>
      <c r="G152" s="8" t="s">
        <v>25</v>
      </c>
      <c r="H152" s="8" t="s">
        <v>309</v>
      </c>
      <c r="I152" s="8" t="s">
        <v>309</v>
      </c>
      <c r="J152" s="8" t="s">
        <v>309</v>
      </c>
      <c r="L152" s="8" t="s">
        <v>19</v>
      </c>
    </row>
    <row r="153" spans="1:12" ht="12.75" customHeight="1" x14ac:dyDescent="0.2">
      <c r="A153" s="8" t="s">
        <v>352</v>
      </c>
      <c r="B153" s="19">
        <v>46114</v>
      </c>
      <c r="C153" s="20">
        <v>2</v>
      </c>
    </row>
    <row r="155" spans="1:12" ht="12.75" customHeight="1" x14ac:dyDescent="0.2">
      <c r="A155" s="18">
        <v>39693</v>
      </c>
      <c r="B155" s="8" t="s">
        <v>19</v>
      </c>
      <c r="C155" s="8" t="s">
        <v>377</v>
      </c>
      <c r="D155" s="20">
        <v>0.5</v>
      </c>
      <c r="E155" s="8" t="s">
        <v>378</v>
      </c>
      <c r="F155" s="8" t="s">
        <v>379</v>
      </c>
      <c r="G155" s="8" t="s">
        <v>25</v>
      </c>
      <c r="H155" s="8" t="s">
        <v>309</v>
      </c>
      <c r="I155" s="8" t="s">
        <v>309</v>
      </c>
      <c r="J155" s="8" t="s">
        <v>309</v>
      </c>
      <c r="L155" s="8" t="s">
        <v>19</v>
      </c>
    </row>
    <row r="156" spans="1:12" ht="12.75" customHeight="1" x14ac:dyDescent="0.2">
      <c r="A156" s="8" t="s">
        <v>351</v>
      </c>
    </row>
    <row r="157" spans="1:12" ht="12.75" customHeight="1" x14ac:dyDescent="0.2">
      <c r="A157" s="8" t="s">
        <v>352</v>
      </c>
      <c r="B157" s="19">
        <v>46114</v>
      </c>
      <c r="C157" s="20">
        <v>1</v>
      </c>
    </row>
    <row r="159" spans="1:12" ht="12.75" customHeight="1" x14ac:dyDescent="0.2">
      <c r="A159" s="18">
        <v>39694</v>
      </c>
      <c r="B159" s="8" t="s">
        <v>19</v>
      </c>
      <c r="C159" s="8" t="s">
        <v>380</v>
      </c>
      <c r="D159" s="20">
        <v>0.5</v>
      </c>
      <c r="E159" s="8" t="s">
        <v>381</v>
      </c>
      <c r="F159" s="8" t="s">
        <v>382</v>
      </c>
      <c r="G159" s="8" t="s">
        <v>25</v>
      </c>
      <c r="H159" s="8" t="s">
        <v>309</v>
      </c>
      <c r="I159" s="8" t="s">
        <v>309</v>
      </c>
      <c r="J159" s="8" t="s">
        <v>309</v>
      </c>
      <c r="L159" s="8" t="s">
        <v>19</v>
      </c>
    </row>
    <row r="160" spans="1:12" ht="12.75" customHeight="1" x14ac:dyDescent="0.2">
      <c r="A160" s="8" t="s">
        <v>351</v>
      </c>
    </row>
    <row r="161" spans="1:10" ht="12.75" customHeight="1" x14ac:dyDescent="0.2">
      <c r="A161" s="8" t="s">
        <v>352</v>
      </c>
      <c r="B161" s="19">
        <v>46114</v>
      </c>
      <c r="C161" s="20">
        <v>1</v>
      </c>
    </row>
    <row r="165" spans="1:10" ht="12.75" customHeight="1" x14ac:dyDescent="0.2">
      <c r="B165" s="8" t="s">
        <v>383</v>
      </c>
      <c r="C165" s="8" t="s">
        <v>384</v>
      </c>
      <c r="D165" s="8" t="s">
        <v>45</v>
      </c>
      <c r="E165" s="8" t="s">
        <v>33</v>
      </c>
      <c r="F165" s="8" t="s">
        <v>385</v>
      </c>
      <c r="G165" s="8" t="s">
        <v>386</v>
      </c>
      <c r="H165" s="8" t="s">
        <v>387</v>
      </c>
      <c r="I165" s="8" t="s">
        <v>48</v>
      </c>
    </row>
    <row r="166" spans="1:10" ht="12.75" customHeight="1" x14ac:dyDescent="0.2">
      <c r="G166" s="8" t="s">
        <v>24</v>
      </c>
    </row>
    <row r="169" spans="1:10" ht="12.75" customHeight="1" x14ac:dyDescent="0.2">
      <c r="B169" s="8" t="s">
        <v>388</v>
      </c>
      <c r="C169" s="8" t="s">
        <v>303</v>
      </c>
      <c r="D169" s="8" t="s">
        <v>389</v>
      </c>
      <c r="E169" s="8" t="s">
        <v>304</v>
      </c>
      <c r="F169" s="8" t="s">
        <v>36</v>
      </c>
      <c r="H169" s="8" t="s">
        <v>47</v>
      </c>
      <c r="I169" s="8" t="s">
        <v>10</v>
      </c>
      <c r="J169" s="8" t="s">
        <v>299</v>
      </c>
    </row>
    <row r="171" spans="1:10" ht="12.75" customHeight="1" x14ac:dyDescent="0.2">
      <c r="B171" s="8" t="s">
        <v>16</v>
      </c>
      <c r="C171" s="8" t="s">
        <v>156</v>
      </c>
      <c r="E171" s="8" t="s">
        <v>19</v>
      </c>
      <c r="F171" s="8" t="s">
        <v>19</v>
      </c>
      <c r="G171" s="8" t="s">
        <v>21</v>
      </c>
      <c r="H171" s="8" t="s">
        <v>19</v>
      </c>
      <c r="J171" s="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 t="str">
        <f>'Build Plan w Hours'!E9</f>
        <v>Oper/Serv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6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.115</v>
      </c>
      <c r="C56" s="40" t="str">
        <f>'Build Plan w Hours'!D16</f>
        <v>Make manway parts: cut clips, form handles,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.125</v>
      </c>
      <c r="C62" s="40" t="str">
        <f>'Build Plan w Hours'!D17</f>
        <v>Roll manway neck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1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.130</v>
      </c>
      <c r="C68" s="40" t="str">
        <f>'Build Plan w Hours'!D18</f>
        <v>Set up and weld manway flange and neck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.135</v>
      </c>
      <c r="C74" s="40" t="str">
        <f>'Build Plan w Hours'!D19</f>
        <v>Build davit arm assembly and cover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.155</v>
      </c>
      <c r="C80" s="40" t="str">
        <f>'Build Plan w Hours'!D20</f>
        <v>Burn and clean parts:  lugs, supports, repads, base ring, etc. (CHECK!)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.156</v>
      </c>
      <c r="C86" s="40" t="str">
        <f>'Build Plan w Hours'!D21</f>
        <v/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5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.165</v>
      </c>
      <c r="C92" s="40" t="str">
        <f>'Build Plan w Hours'!D22</f>
        <v>Build supports: legs, lugs, saddles_x000D_
TACK ONLY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etc._x000D_
INCL MAKE &amp; POLISH VORTEX BREAKER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WELD OUTSIDE SEAM W/ 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CUT HOLES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(2)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7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3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.375</v>
      </c>
      <c r="C158" s="40" t="str">
        <f>'Build Plan w Hours'!D33</f>
        <v>Install top stiffeners_x000D_
GUSSETS FOR N3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.395</v>
      </c>
      <c r="C164" s="40" t="str">
        <f>'Build Plan w Hours'!D34</f>
        <v>Polish inside weld seams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.455</v>
      </c>
      <c r="C176" s="40" t="str">
        <f>'Build Plan w Hours'!D36</f>
        <v>Lay out bottom head, burn and clean holes_x000D_
CUT HOLES 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.465</v>
      </c>
      <c r="C182" s="40" t="str">
        <f>'Build Plan w Hours'!D37</f>
        <v>Set  nozzles in bottom head - tack_x000D_
INCL VORTEX BREAKER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3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.466</v>
      </c>
      <c r="C188" s="40" t="str">
        <f>'Build Plan w Hours'!D38</f>
        <v>Weld nozzles in bottom head; weld complete_x000D_
INCL VORTEX BREAKER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3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.495</v>
      </c>
      <c r="C194" s="40" t="str">
        <f>'Build Plan w Hours'!D39</f>
        <v>Polish inside weld seams - bottom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.OI2</v>
      </c>
      <c r="C200" s="40" t="str">
        <f>'Build Plan w Hours'!D40</f>
        <v>ASME Inspection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.620</v>
      </c>
      <c r="C212" s="40" t="str">
        <f>'Build Plan w Hours'!D42</f>
        <v>Lay out shell, burn and clean holes_x000D_
ON BURN TABLE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.638</v>
      </c>
      <c r="C218" s="40" t="str">
        <f>'Build Plan w Hours'!D43</f>
        <v>Polish inside weld seams - shell_x000D_
INCL HOLE WATCH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tack_x000D_
AND WELD INSIDE (INCL HOLE WATCH)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8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.700</v>
      </c>
      <c r="C242" s="40" t="str">
        <f>'Build Plan w Hours'!D47</f>
        <v>Fit jacket to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8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.705</v>
      </c>
      <c r="C248" s="40" t="str">
        <f>'Build Plan w Hours'!D48</f>
        <v>Weld jacket to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16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.710</v>
      </c>
      <c r="C254" s="40" t="str">
        <f>'Build Plan w Hours'!D49</f>
        <v>Install jacket nozzles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3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.711</v>
      </c>
      <c r="C260" s="40" t="str">
        <f>'Build Plan w Hours'!D50</f>
        <v>Weld jacket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3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12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8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.735</v>
      </c>
      <c r="C278" s="40" t="str">
        <f>'Build Plan w Hours'!D53</f>
        <v>Install dip pipe supports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.765</v>
      </c>
      <c r="C284" s="40" t="str">
        <f>'Build Plan w Hours'!D54</f>
        <v>Install name tag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.770</v>
      </c>
      <c r="C290" s="40" t="str">
        <f>'Build Plan w Hours'!D55</f>
        <v>Inspect tank, make repairs, get QC inspector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.QC6</v>
      </c>
      <c r="C296" s="40" t="str">
        <f>'Build Plan w Hours'!D56</f>
        <v>QC Inspection - Fabrication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1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tank_x000D_
FOR TANK AND JACKET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20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.920</v>
      </c>
      <c r="C332" s="40" t="str">
        <f>'Build Plan w Hours'!D62</f>
        <v>Clean tank complete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8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.QC8</v>
      </c>
      <c r="C338" s="40" t="str">
        <f>'Build Plan w Hours'!D63</f>
        <v>QC Inspection - Clean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.940</v>
      </c>
      <c r="C344" s="40" t="str">
        <f>'Build Plan w Hours'!D64</f>
        <v>Prepare tank for shipment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1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111-25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111-25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111-25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111-25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111-25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111-25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Location</v>
      </c>
      <c r="C392" s="40" t="str">
        <f>'Build Plan w Hours'!D72</f>
        <v/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 t="str">
        <f>'Build Plan w Hours'!E72</f>
        <v>Due Date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 t="str">
        <f>'Build Plan w Hours'!C78</f>
        <v>Quantity</v>
      </c>
      <c r="C428" s="40" t="str">
        <f>'Build Plan w Hours'!D78</f>
        <v>Name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 t="str">
        <f>'Build Plan w Hours'!E78</f>
        <v>Vendor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 t="str">
        <f>'Build Plan w Hours'!C79</f>
        <v>______________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 t="str">
        <f>'Build Plan w Hours'!E79</f>
        <v>Build Head to Specifications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 t="str">
        <f>'Build Plan w Hours'!C82</f>
        <v>______________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 t="str">
        <f>'Build Plan w Hours'!E82</f>
        <v>Plate 316L 3/16"x 72"x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 t="str">
        <f>'Build Plan w Hours'!E86</f>
        <v>Build Dipple Jacket to Specs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.115</v>
      </c>
      <c r="C56" s="40" t="str">
        <f>'Build Plan w Hours'!D16</f>
        <v>Make manway parts: cut clips, form handles,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.125</v>
      </c>
      <c r="C62" s="40" t="str">
        <f>'Build Plan w Hours'!D17</f>
        <v>Roll manway neck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.130</v>
      </c>
      <c r="C68" s="40" t="str">
        <f>'Build Plan w Hours'!D18</f>
        <v>Set up and weld manway flange and neck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.135</v>
      </c>
      <c r="C74" s="40" t="str">
        <f>'Build Plan w Hours'!D19</f>
        <v>Build davit arm assembly and cover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.155</v>
      </c>
      <c r="C80" s="40" t="str">
        <f>'Build Plan w Hours'!D20</f>
        <v>Burn and clean parts:  lugs, supports, repads, base ring, etc. (CHECK!)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.156</v>
      </c>
      <c r="C86" s="40" t="str">
        <f>'Build Plan w Hours'!D21</f>
        <v/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.165</v>
      </c>
      <c r="C92" s="40" t="str">
        <f>'Build Plan w Hours'!D22</f>
        <v>Build supports: legs, lugs, saddles_x000D_
TACK ONLY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.200</v>
      </c>
      <c r="C98" s="40" t="str">
        <f>'Build Plan w Hours'!D23</f>
        <v>Make lift lugs, ground lugs, etc._x000D_
INCL MAKE &amp; POLISH VORTEX BREAKER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.300</v>
      </c>
      <c r="C104" s="40" t="str">
        <f>'Build Plan w Hours'!D24</f>
        <v>Wrap top and bottom heads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.QC3</v>
      </c>
      <c r="C110" s="40" t="str">
        <f>'Build Plan w Hours'!D25</f>
        <v>UT Shells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.305</v>
      </c>
      <c r="C116" s="40" t="str">
        <f>'Build Plan w Hours'!D26</f>
        <v>Shells: bring in plate, square, trim and clean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.315</v>
      </c>
      <c r="C122" s="40" t="str">
        <f>'Build Plan w Hours'!D27</f>
        <v>Roll shells, tack and weld inside seams_x000D_
WELD OUTSIDE SEAM W/ COBOT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.355</v>
      </c>
      <c r="C134" s="40" t="str">
        <f>'Build Plan w Hours'!D29</f>
        <v>Lay out top head, burn and clean holes_x000D_
CUT HOLES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.365</v>
      </c>
      <c r="C140" s="40" t="str">
        <f>'Build Plan w Hours'!D30</f>
        <v>Set  nozzles, lift lugs, etc. in top head - tack_x000D_
INCL (2) LIFT LUGS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.366</v>
      </c>
      <c r="C146" s="40" t="str">
        <f>'Build Plan w Hours'!D31</f>
        <v>Weld out top head nozzles, etc. _x000D_
INCL (2) LIFT LUGS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.370</v>
      </c>
      <c r="C152" s="40" t="str">
        <f>'Build Plan w Hours'!D32</f>
        <v>Install and weld out repads - top head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.375</v>
      </c>
      <c r="C158" s="40" t="str">
        <f>'Build Plan w Hours'!D33</f>
        <v>Install top stiffeners_x000D_
GUSSETS FOR N3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.395</v>
      </c>
      <c r="C164" s="40" t="str">
        <f>'Build Plan w Hours'!D34</f>
        <v>Polish inside weld seams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.QC4</v>
      </c>
      <c r="C170" s="40" t="str">
        <f>'Build Plan w Hours'!D35</f>
        <v>QC Inspection - Top/Bottom/Cones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.455</v>
      </c>
      <c r="C176" s="40" t="str">
        <f>'Build Plan w Hours'!D36</f>
        <v>Lay out bottom head, burn and clean holes_x000D_
CUT HOLES ON BURN TABLE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.465</v>
      </c>
      <c r="C182" s="40" t="str">
        <f>'Build Plan w Hours'!D37</f>
        <v>Set  nozzles in bottom head - tack_x000D_
INCL VORTEX BREAKER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.466</v>
      </c>
      <c r="C188" s="40" t="str">
        <f>'Build Plan w Hours'!D38</f>
        <v>Weld nozzles in bottom head; weld complete_x000D_
INCL VORTEX BREAKER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.495</v>
      </c>
      <c r="C194" s="40" t="str">
        <f>'Build Plan w Hours'!D39</f>
        <v>Polish inside weld seams - bottom head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.OI2</v>
      </c>
      <c r="C200" s="40" t="str">
        <f>'Build Plan w Hours'!D40</f>
        <v>ASME Inspection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.620</v>
      </c>
      <c r="C212" s="40" t="str">
        <f>'Build Plan w Hours'!D42</f>
        <v>Lay out shell, burn and clean holes_x000D_
ON BURN TABLE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.638</v>
      </c>
      <c r="C218" s="40" t="str">
        <f>'Build Plan w Hours'!D43</f>
        <v>Polish inside weld seams - shell_x000D_
INCL HOLE WATCH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.QC5</v>
      </c>
      <c r="C224" s="40" t="str">
        <f>'Build Plan w Hours'!D44</f>
        <v>QC Inspection - Internal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.640</v>
      </c>
      <c r="C230" s="40" t="str">
        <f>'Build Plan w Hours'!D45</f>
        <v>Fit top head to shell - tack_x000D_
AND WELD INSIDE (INCL HOLE WATCH)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.800</v>
      </c>
      <c r="C236" s="40" t="str">
        <f>'Build Plan w Hours'!D46</f>
        <v>Move tank to detail rolls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.700</v>
      </c>
      <c r="C242" s="40" t="str">
        <f>'Build Plan w Hours'!D47</f>
        <v>Fit jacket to shell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.705</v>
      </c>
      <c r="C248" s="40" t="str">
        <f>'Build Plan w Hours'!D48</f>
        <v>Weld jacket to shell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.710</v>
      </c>
      <c r="C254" s="40" t="str">
        <f>'Build Plan w Hours'!D49</f>
        <v>Install jacket nozzles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.711</v>
      </c>
      <c r="C260" s="40" t="str">
        <f>'Build Plan w Hours'!D50</f>
        <v>Weld jacket nozzles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.735</v>
      </c>
      <c r="C278" s="40" t="str">
        <f>'Build Plan w Hours'!D53</f>
        <v>Install dip pipe supports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.765</v>
      </c>
      <c r="C284" s="40" t="str">
        <f>'Build Plan w Hours'!D54</f>
        <v>Install name tag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.770</v>
      </c>
      <c r="C290" s="40" t="str">
        <f>'Build Plan w Hours'!D55</f>
        <v>Inspect tank, make repairs, get QC inspector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.QC6</v>
      </c>
      <c r="C296" s="40" t="str">
        <f>'Build Plan w Hours'!D56</f>
        <v>QC Inspection - Fabrication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tank_x000D_
FOR TANK AND JACKET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.920</v>
      </c>
      <c r="C332" s="40" t="str">
        <f>'Build Plan w Hours'!D62</f>
        <v>Clean tank complete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.QC8</v>
      </c>
      <c r="C338" s="40" t="str">
        <f>'Build Plan w Hours'!D63</f>
        <v>QC Inspection - Clean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.940</v>
      </c>
      <c r="C344" s="40" t="str">
        <f>'Build Plan w Hours'!D64</f>
        <v>Prepare tank for shipment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.QC95</v>
      </c>
      <c r="C350" s="40" t="str">
        <f>'Build Plan w Hours'!D65</f>
        <v>QC Inspection - Final &amp; Loose Items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.960</v>
      </c>
      <c r="C356" s="40" t="str">
        <f>'Build Plan w Hours'!D66</f>
        <v>Load on truck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111-25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111-25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111-25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111-25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111-25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111-25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 t="str">
        <f>'Build Plan w Hours'!C72</f>
        <v>Location</v>
      </c>
      <c r="C392" s="40" t="str">
        <f>'Build Plan w Hours'!D72</f>
        <v/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 t="str">
        <f>'Build Plan w Hours'!C78</f>
        <v>Quantity</v>
      </c>
      <c r="C428" s="40" t="str">
        <f>'Build Plan w Hours'!D78</f>
        <v>Name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 t="str">
        <f>'Build Plan w Hours'!C79</f>
        <v>______________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 t="str">
        <f>'Build Plan w Hours'!C82</f>
        <v>______________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111-25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111-25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2026-04-03T12:24:22Z</cp:lastPrinted>
  <dcterms:created xsi:type="dcterms:W3CDTF">2016-06-28T20:53:17Z</dcterms:created>
  <dcterms:modified xsi:type="dcterms:W3CDTF">2026-04-03T12:25:03Z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