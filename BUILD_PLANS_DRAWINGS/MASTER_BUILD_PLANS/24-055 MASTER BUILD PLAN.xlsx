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5-24 - Geocycle - 40K Gallon Tank #5\"/>
    </mc:Choice>
  </mc:AlternateContent>
  <xr:revisionPtr revIDLastSave="0" documentId="8_{2B678EE5-5EAF-4F1F-A115-4C4D5D3FF8A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<sst xmlns="http://schemas.openxmlformats.org/spreadsheetml/2006/main" count="1878" uniqueCount="273">
  <si>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</si>
  <si>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</si>
  <si>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</si>
  <si>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</si>
  <si>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</si>
  <si>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</si>
  <si>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</si>
  <si>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</si>
  <si>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</si>
  <si>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</si>
  <si>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</si>
  <si>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</si>
  <si>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</si>
  <si>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</si>
  <si>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</si>
  <si>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</si>
  <si>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</si>
  <si>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</si>
  <si>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</si>
  <si>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</si>
  <si>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</si>
  <si>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</si>
  <si>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</si>
  <si>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</si>
  <si>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</si>
  <si>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</si>
  <si>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</si>
  <si>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</si>
  <si>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</si>
  <si>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</si>
  <si>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</si>
  <si>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</si>
  <si>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</si>
  <si>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</si>
  <si>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</si>
  <si>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</si>
  <si>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</si>
  <si>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</si>
  <si>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</si>
  <si>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</si>
  <si>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</si>
  <si>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</si>
  <si>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</si>
  <si>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</si>
  <si>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</si>
  <si>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</si>
  <si>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</si>
  <si>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</si>
  <si>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</si>
  <si>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</si>
  <si>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</si>
  <si>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</si>
  <si>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</si>
  <si>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</si>
  <si>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</si>
  <si>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</si>
  <si>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</si>
  <si>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</si>
  <si>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</si>
  <si>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</si>
  <si>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</si>
  <si>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</si>
  <si>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</si>
  <si>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</si>
  <si>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</si>
  <si>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</si>
  <si>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</si>
  <si>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</si>
  <si>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</si>
  <si>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</si>
  <si>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</si>
  <si>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</si>
  <si>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</si>
  <si>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</si>
  <si>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</si>
  <si>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</si>
  <si>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</si>
  <si>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</si>
  <si>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</si>
  <si>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</si>
  <si>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</si>
  <si>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</si>
  <si>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</si>
  <si>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</si>
  <si>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</si>
  <si>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</si>
  <si>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</si>
  <si>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</si>
  <si>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</si>
  <si>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</si>
  <si>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</si>
  <si>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</si>
  <si>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</si>
  <si>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</si>
  <si>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</si>
  <si>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</si>
  <si>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</si>
  <si>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</si>
  <si>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</si>
  <si>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</si>
  <si>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</si>
  <si>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</si>
  <si>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</si>
  <si>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</si>
  <si>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</si>
  <si>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</si>
  <si>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</si>
  <si>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</si>
  <si>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</si>
  <si>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</si>
  <si>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</si>
  <si>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</si>
  <si>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</si>
  <si>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</si>
  <si>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</si>
  <si>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</si>
  <si>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</si>
  <si>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</si>
  <si>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</si>
  <si>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</si>
  <si>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</si>
  <si>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</si>
  <si>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</si>
  <si>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</si>
  <si>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</si>
  <si>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</si>
  <si>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</si>
  <si>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</si>
  <si>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</si>
  <si>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</si>
  <si>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</si>
  <si>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</si>
  <si>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</si>
  <si>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</si>
  <si>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</si>
  <si>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</si>
  <si>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</si>
  <si>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</si>
  <si>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</si>
  <si>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</si>
  <si>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</si>
  <si>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</si>
  <si>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</si>
  <si>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</si>
  <si>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</si>
  <si>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</si>
  <si>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</si>
  <si>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</si>
  <si>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</si>
  <si>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</si>
  <si>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</si>
  <si>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</si>
  <si>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</si>
  <si>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</si>
  <si>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</si>
  <si>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</si>
  <si>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</si>
  <si>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</si>
  <si>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</si>
  <si>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</si>
  <si>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</si>
  <si>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</si>
  <si>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Fab Miscellaneous Parts</t>
  </si>
  <si>
    <t>.252</t>
  </si>
  <si>
    <t>I&amp;W Repads -Top</t>
  </si>
  <si>
    <t>.370</t>
  </si>
  <si>
    <t>40K GALLON TANK #5</t>
  </si>
  <si>
    <t>4501905971</t>
  </si>
  <si>
    <t>8981</t>
  </si>
  <si>
    <t>Cut Parts on Burn Table</t>
  </si>
  <si>
    <t>Clean &amp; Prep Parts</t>
  </si>
  <si>
    <t>.156</t>
  </si>
  <si>
    <t>Roll repads: drill and tap _x000D_
ROLL (11) REPADS &amp; WELDMENT PADS FOR SHELL</t>
  </si>
  <si>
    <t>B&amp;W Base Ring, Skirt</t>
  </si>
  <si>
    <t>.175</t>
  </si>
  <si>
    <t>Build and weld base ring - skirt</t>
  </si>
  <si>
    <t>Skirt-BI, SQ, T&amp;C</t>
  </si>
  <si>
    <t>.180</t>
  </si>
  <si>
    <t>Skirt: bring in plate, square, trim and clean</t>
  </si>
  <si>
    <t>Roll Skirt Shells</t>
  </si>
  <si>
    <t>.185</t>
  </si>
  <si>
    <t>Roll skirt shells</t>
  </si>
  <si>
    <t>Cut, Make Baffle Supports</t>
  </si>
  <si>
    <t>.225</t>
  </si>
  <si>
    <t>Cut and make baffle supports</t>
  </si>
  <si>
    <t>Build Baffles-Weld</t>
  </si>
  <si>
    <t>.230</t>
  </si>
  <si>
    <t>Build baffles and weld</t>
  </si>
  <si>
    <t>Fabricate miscellaneous parts_x000D_
ROLL (3) SKIRT OPENINGS</t>
  </si>
  <si>
    <t>Cut, Build Handrail Parts</t>
  </si>
  <si>
    <t>.272</t>
  </si>
  <si>
    <t>Cut/Build parts for handrail</t>
  </si>
  <si>
    <t>Roll Handrail Pipe</t>
  </si>
  <si>
    <t>.275</t>
  </si>
  <si>
    <t>Roll handrail pipe_x000D_
***NOTE EXTRA MID RAIL***</t>
  </si>
  <si>
    <t>Roll Handrail Toe Plate</t>
  </si>
  <si>
    <t>.280</t>
  </si>
  <si>
    <t>Roll handrail toe plate</t>
  </si>
  <si>
    <t>Build Handrail-Weld</t>
  </si>
  <si>
    <t>.282</t>
  </si>
  <si>
    <t>Build handrail - weld out_x000D_
***NOTE EXTRA MID RAIL***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</si>
  <si>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</si>
  <si>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</si>
  <si>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</si>
  <si>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</si>
  <si>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</si>
  <si>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</si>
  <si>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</si>
  <si>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</t>
  </si>
  <si>
    <t>Lay out top head, burn and clean holes_x000D_
INCL PREP HOLES FOR FULL PEN WELDS</t>
  </si>
  <si>
    <t>Weld out top head nozzles, etc. _x000D_
INCL (4) LIFT LUGS AND (2) 12"X12" PADS</t>
  </si>
  <si>
    <t>Install and weld out repads - top head</t>
  </si>
  <si>
    <t>Install Top Stiffeners</t>
  </si>
  <si>
    <t>.375</t>
  </si>
  <si>
    <t>Install top stiffeners_x000D_
(4) GUSSETS &amp; (4) STIFFENERS.  WELD COMPLETE.</t>
  </si>
  <si>
    <t>L/O Bottom, B&amp;C Holes</t>
  </si>
  <si>
    <t>.455</t>
  </si>
  <si>
    <t>Lay out bottom head, burn and clean holes_x000D_
INCL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</si>
  <si>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</si>
  <si>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</si>
  <si>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</si>
  <si>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</si>
  <si>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</si>
  <si>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</si>
  <si>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I&amp;W Bottom Repads</t>
  </si>
  <si>
    <t>.470</t>
  </si>
  <si>
    <t>Install and weld out repads - bottom head</t>
  </si>
  <si>
    <t>Bld Skirt, F&amp;T to Base</t>
  </si>
  <si>
    <t>.510</t>
  </si>
  <si>
    <t>Build skirt; fit base ring to shell and weld_x000D_
AND WELD INSIDE &amp; OUTSIDE</t>
  </si>
  <si>
    <t>L/O Skirt, B&amp;C Holes</t>
  </si>
  <si>
    <t>.520</t>
  </si>
  <si>
    <t>Lay out skirt, burn and clean holes_x000D_
CUT HOLES ON BURN TABLE</t>
  </si>
  <si>
    <t>Bld Skirt, Fit Anchor/Gst</t>
  </si>
  <si>
    <t>.530</t>
  </si>
  <si>
    <t>Build skirt - fit anchors / gussets_x000D_
AND WELD COMPLETE</t>
  </si>
  <si>
    <t>Set Nzl/MW in Skirt-Tack</t>
  </si>
  <si>
    <t>.540</t>
  </si>
  <si>
    <t>Set  nozzles / manway in skirt - tack_x000D_
INSTALL (7) SKIRT OPENINGS</t>
  </si>
  <si>
    <t>Fit bottom head to shell_x000D_
AND WELD INSIDE</t>
  </si>
  <si>
    <t>Tack shell courses together</t>
  </si>
  <si>
    <t>Weld inside round seams</t>
  </si>
  <si>
    <t>Lay out shell, burn and clean holes_x000D_
PREP FOR FULL PEN WELDS</t>
  </si>
  <si>
    <t>Install Baffles-Weld</t>
  </si>
  <si>
    <t>.625</t>
  </si>
  <si>
    <t>Install baffles and weld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</si>
  <si>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</si>
  <si>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</si>
  <si>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</si>
  <si>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</si>
  <si>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</si>
  <si>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</si>
  <si>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</si>
  <si>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supports - legs, lugs, anchors, saddles, skirt_x000D_
INSTALL SKIRT &amp; WELD TO BOTTOM HEAD</t>
  </si>
  <si>
    <t>Set nozzles in shell - tack</t>
  </si>
  <si>
    <t>Weld shell nozzles, manways, etc._x000D_
INCL HOLE WATCH</t>
  </si>
  <si>
    <t>Add Repads-Weld</t>
  </si>
  <si>
    <t>.730</t>
  </si>
  <si>
    <t>Add repads and weld_x000D_
(4) WELDMENT PADS; (5) LADDER CLIPS; (2) PLATFORM CLIPS</t>
  </si>
  <si>
    <t>Fit Handrail, I&amp;W Clips</t>
  </si>
  <si>
    <t>.750</t>
  </si>
  <si>
    <t>Fit handrail - install and weld clips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</si>
  <si>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</si>
  <si>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</si>
  <si>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</si>
  <si>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</si>
  <si>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</si>
  <si>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</si>
  <si>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</si>
  <si>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</si>
  <si>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</si>
  <si>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</si>
  <si>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055-24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</si>
</sst>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40K GALLON TANK #5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35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ROLL (11) REPADS &amp; WELDMENT PADS FOR SHELL</v>
      </c>
      <c r="E19" s="13">
        <f>'Sheet2-PASTE HERE!'!F29</f>
        <v>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.175</v>
      </c>
      <c r="D20" s="22" t="str">
        <f>'Sheet2-PASTE HERE!'!K30</f>
        <v>Build and weld base ring - skirt</v>
      </c>
      <c r="E20" s="13">
        <f>'Sheet2-PASTE HERE!'!F30</f>
        <v>8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.180</v>
      </c>
      <c r="D21" s="22" t="str">
        <f>'Sheet2-PASTE HERE!'!K31</f>
        <v>Skirt: bring in plate, square, trim and clean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.185</v>
      </c>
      <c r="D22" s="22" t="str">
        <f>'Sheet2-PASTE HERE!'!K32</f>
        <v>Roll skirt shells</v>
      </c>
      <c r="E22" s="13">
        <f>'Sheet2-PASTE HERE!'!F32</f>
        <v>4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.200</v>
      </c>
      <c r="D23" s="22" t="str">
        <f>'Sheet2-PASTE HERE!'!K33</f>
        <v>Make lift lugs, ground lugs,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.225</v>
      </c>
      <c r="D24" s="22" t="str">
        <f>'Sheet2-PASTE HERE!'!K34</f>
        <v>Cut and make baffle supports</v>
      </c>
      <c r="E24" s="13">
        <f>'Sheet2-PASTE HERE!'!F34</f>
        <v>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.230</v>
      </c>
      <c r="D25" s="22" t="str">
        <f>'Sheet2-PASTE HERE!'!K35</f>
        <v>Build baffles and weld</v>
      </c>
      <c r="E25" s="13">
        <f>'Sheet2-PASTE HERE!'!F35</f>
        <v>36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.252</v>
      </c>
      <c r="D26" s="22" t="str">
        <f>'Sheet2-PASTE HERE!'!K36</f>
        <v>Fabricate miscellaneous parts_x000D_
ROLL (3) SKIRT OPENINGS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.272</v>
      </c>
      <c r="D27" s="22" t="str">
        <f>'Sheet2-PASTE HERE!'!K37</f>
        <v>Cut/Build parts for handrail</v>
      </c>
      <c r="E27" s="13">
        <f>'Sheet2-PASTE HERE!'!F37</f>
        <v>8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.275</v>
      </c>
      <c r="D28" s="22" t="str">
        <f>'Sheet2-PASTE HERE!'!K38</f>
        <v>Roll handrail pipe_x000D_
***NOTE EXTRA MID RAIL***</v>
      </c>
      <c r="E28" s="13">
        <f>'Sheet2-PASTE HERE!'!F38</f>
        <v>4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.280</v>
      </c>
      <c r="D29" s="22" t="str">
        <f>'Sheet2-PASTE HERE!'!K39</f>
        <v>Roll handrail toe plate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.282</v>
      </c>
      <c r="D30" s="22" t="str">
        <f>'Sheet2-PASTE HERE!'!K40</f>
        <v>Build handrail - weld out_x000D_
***NOTE EXTRA MID RAIL***</v>
      </c>
      <c r="E30" s="13">
        <f>'Sheet2-PASTE HERE!'!F40</f>
        <v>32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.300</v>
      </c>
      <c r="D31" s="22" t="str">
        <f>'Sheet2-PASTE HERE!'!K41</f>
        <v>Wrap top and bottom heads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.QC3</v>
      </c>
      <c r="D32" s="22" t="str">
        <f>'Sheet2-PASTE HERE!'!K42</f>
        <v>UT Shells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.305</v>
      </c>
      <c r="D33" s="22" t="str">
        <f>'Sheet2-PASTE HERE!'!K43</f>
        <v>Shells: bring in plate, square, trim and clean</v>
      </c>
      <c r="E33" s="13">
        <f>'Sheet2-PASTE HERE!'!F43</f>
        <v>20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.310</v>
      </c>
      <c r="D34" s="22" t="str">
        <f>'Sheet2-PASTE HERE!'!K44</f>
        <v>Bevel shell plates</v>
      </c>
      <c r="E34" s="13">
        <f>'Sheet2-PASTE HERE!'!F44</f>
        <v>24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</v>
      </c>
      <c r="E35" s="13">
        <f>'Sheet2-PASTE HERE!'!F45</f>
        <v>16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.QC4</v>
      </c>
      <c r="D36" s="22" t="str">
        <f>'Sheet2-PASTE HERE!'!K46</f>
        <v>QC Inspection - Top/Bottom/Cones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.355</v>
      </c>
      <c r="D37" s="22" t="str">
        <f>'Sheet2-PASTE HERE!'!K47</f>
        <v>Lay out top head, burn and clean holes_x000D_
INCL PREP HOLES FOR FULL PEN WELDS</v>
      </c>
      <c r="E37" s="13">
        <f>'Sheet2-PASTE HERE!'!F47</f>
        <v>20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.365</v>
      </c>
      <c r="D38" s="22" t="str">
        <f>'Sheet2-PASTE HERE!'!K48</f>
        <v>Set  nozzles, lift lugs, etc. in top head - tack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.366</v>
      </c>
      <c r="D39" s="22" t="str">
        <f>'Sheet2-PASTE HERE!'!K49</f>
        <v>Weld out top head nozzles, etc. _x000D_
INCL (4) LIFT LUGS AND (2) 12"X12" PADS</v>
      </c>
      <c r="E39" s="13">
        <f>'Sheet2-PASTE HERE!'!F49</f>
        <v>32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.370</v>
      </c>
      <c r="D40" s="22" t="str">
        <f>'Sheet2-PASTE HERE!'!K50</f>
        <v>Install and weld out repads - top head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stiffeners_x000D_
(4) GUSSETS &amp; (4) STIFFENERS.  WELD COMPLETE.</v>
      </c>
      <c r="E41" s="13">
        <f>'Sheet2-PASTE HERE!'!F51</f>
        <v>14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.QC4</v>
      </c>
      <c r="D42" s="22" t="str">
        <f>'Sheet2-PASTE HERE!'!K52</f>
        <v>QC Inspection - Top/Bottom/Cones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.455</v>
      </c>
      <c r="D43" s="22" t="str">
        <f>'Sheet2-PASTE HERE!'!K53</f>
        <v>Lay out bottom head, burn and clean holes_x000D_
INCL PREP FOR FULL PEN WELD</v>
      </c>
      <c r="E43" s="13">
        <f>'Sheet2-PASTE HERE!'!F53</f>
        <v>6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.465</v>
      </c>
      <c r="D44" s="22" t="str">
        <f>'Sheet2-PASTE HERE!'!K54</f>
        <v>Set  nozzles in bottom head - tack</v>
      </c>
      <c r="E44" s="13">
        <f>'Sheet2-PASTE HERE!'!F54</f>
        <v>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.466</v>
      </c>
      <c r="D45" s="22" t="str">
        <f>'Sheet2-PASTE HERE!'!K55</f>
        <v>Weld nozzles in bottom head; weld complete</v>
      </c>
      <c r="E45" s="13">
        <f>'Sheet2-PASTE HERE!'!F55</f>
        <v>7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.470</v>
      </c>
      <c r="D46" s="22" t="str">
        <f>'Sheet2-PASTE HERE!'!K56</f>
        <v>Install and weld out repads - bottom head</v>
      </c>
      <c r="E46" s="13">
        <f>'Sheet2-PASTE HERE!'!F56</f>
        <v>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.510</v>
      </c>
      <c r="D47" s="22" t="str">
        <f>'Sheet2-PASTE HERE!'!K57</f>
        <v>Build skirt; fit base ring to shell and weld_x000D_
AND WELD INSIDE &amp; OUTSIDE</v>
      </c>
      <c r="E47" s="13">
        <f>'Sheet2-PASTE HERE!'!F57</f>
        <v>8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.520</v>
      </c>
      <c r="D48" s="22" t="str">
        <f>'Sheet2-PASTE HERE!'!K58</f>
        <v>Lay out skirt, burn and clean holes_x000D_
CUT HOLES ON BURN TABLE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.530</v>
      </c>
      <c r="D49" s="22" t="str">
        <f>'Sheet2-PASTE HERE!'!K59</f>
        <v>Build skirt - fit anchors / gussets_x000D_
AND WELD COMPLETE</v>
      </c>
      <c r="E49" s="13">
        <f>'Sheet2-PASTE HERE!'!F59</f>
        <v>18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.540</v>
      </c>
      <c r="D50" s="22" t="str">
        <f>'Sheet2-PASTE HERE!'!K60</f>
        <v>Set  nozzles / manway in skirt - tack_x000D_
INSTALL (7) SKIRT OPENINGS</v>
      </c>
      <c r="E50" s="13">
        <f>'Sheet2-PASTE HERE!'!F60</f>
        <v>14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.600</v>
      </c>
      <c r="D51" s="22" t="str">
        <f>'Sheet2-PASTE HERE!'!K61</f>
        <v>Fit bottom head to shell_x000D_
AND WELD INSIDE</v>
      </c>
      <c r="E51" s="13">
        <f>'Sheet2-PASTE HERE!'!F61</f>
        <v>10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.605</v>
      </c>
      <c r="D52" s="22" t="str">
        <f>'Sheet2-PASTE HERE!'!K62</f>
        <v>Tack shell courses together</v>
      </c>
      <c r="E52" s="13">
        <f>'Sheet2-PASTE HERE!'!F62</f>
        <v>20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.610</v>
      </c>
      <c r="D53" s="22" t="str">
        <f>'Sheet2-PASTE HERE!'!K63</f>
        <v>Weld inside round seams</v>
      </c>
      <c r="E53" s="13">
        <f>'Sheet2-PASTE HERE!'!F63</f>
        <v>20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.620</v>
      </c>
      <c r="D54" s="22" t="str">
        <f>'Sheet2-PASTE HERE!'!K64</f>
        <v>Lay out shell, burn and clean holes_x000D_
PREP FOR FULL PEN WELDS</v>
      </c>
      <c r="E54" s="13">
        <f>'Sheet2-PASTE HERE!'!F64</f>
        <v>16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.625</v>
      </c>
      <c r="D55" s="22" t="str">
        <f>'Sheet2-PASTE HERE!'!K65</f>
        <v>Install baffles and weld</v>
      </c>
      <c r="E55" s="13">
        <f>'Sheet2-PASTE HERE!'!F65</f>
        <v>20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.QC5</v>
      </c>
      <c r="D56" s="22" t="str">
        <f>'Sheet2-PASTE HERE!'!K66</f>
        <v>QC Inspection - Internal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.640</v>
      </c>
      <c r="D57" s="22" t="str">
        <f>'Sheet2-PASTE HERE!'!K67</f>
        <v>Fit top head to shell - tack</v>
      </c>
      <c r="E57" s="13">
        <f>'Sheet2-PASTE HERE!'!F67</f>
        <v>4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.641</v>
      </c>
      <c r="D58" s="22" t="str">
        <f>'Sheet2-PASTE HERE!'!K68</f>
        <v>Weld top head to shell - inside_x000D_
INCL HOLE WATCH</v>
      </c>
      <c r="E58" s="13">
        <f>'Sheet2-PASTE HERE!'!F68</f>
        <v>14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.645</v>
      </c>
      <c r="D59" s="22" t="str">
        <f>'Sheet2-PASTE HERE!'!K69</f>
        <v>Weld all outside seams</v>
      </c>
      <c r="E59" s="13">
        <f>'Sheet2-PASTE HERE!'!F69</f>
        <v>40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.800</v>
      </c>
      <c r="D60" s="22" t="str">
        <f>'Sheet2-PASTE HERE!'!K70</f>
        <v>Move tank to detail rolls</v>
      </c>
      <c r="E60" s="13">
        <f>'Sheet2-PASTE HERE!'!F70</f>
        <v>2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.720</v>
      </c>
      <c r="D61" s="22" t="str">
        <f>'Sheet2-PASTE HERE!'!K71</f>
        <v>Install supports - legs, lugs, anchors, saddles, skirt_x000D_
INSTALL SKIRT &amp; WELD TO BOTTOM HEAD</v>
      </c>
      <c r="E61" s="13">
        <f>'Sheet2-PASTE HERE!'!F71</f>
        <v>24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</v>
      </c>
      <c r="E62" s="13">
        <f>'Sheet2-PASTE HERE!'!F72</f>
        <v>10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HOLE WATCH</v>
      </c>
      <c r="E63" s="13">
        <f>'Sheet2-PASTE HERE!'!F73</f>
        <v>20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.730</v>
      </c>
      <c r="D64" s="22" t="str">
        <f>'Sheet2-PASTE HERE!'!K74</f>
        <v>Add repads and weld_x000D_
(4) WELDMENT PADS; (5) LADDER CLIPS; (2) PLATFORM CLIPS</v>
      </c>
      <c r="E64" s="13">
        <f>'Sheet2-PASTE HERE!'!F74</f>
        <v>33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.750</v>
      </c>
      <c r="D65" s="22" t="str">
        <f>'Sheet2-PASTE HERE!'!K75</f>
        <v>Fit handrail - install and weld clips</v>
      </c>
      <c r="E65" s="13">
        <f>'Sheet2-PASTE HERE!'!F75</f>
        <v>8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.765</v>
      </c>
      <c r="D66" s="22" t="str">
        <f>'Sheet2-PASTE HERE!'!K76</f>
        <v>Install name tag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.770</v>
      </c>
      <c r="D67" s="22" t="str">
        <f>'Sheet2-PASTE HERE!'!K77</f>
        <v>Inspect tank, make repairs, get QC inspector</v>
      </c>
      <c r="E67" s="13">
        <f>'Sheet2-PASTE HERE!'!F77</f>
        <v>1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.QC6</v>
      </c>
      <c r="D68" s="22" t="str">
        <f>'Sheet2-PASTE HERE!'!K78</f>
        <v>QC Inspection - Fabrication</v>
      </c>
      <c r="E68" s="13">
        <f>'Sheet2-PASTE HERE!'!F78</f>
        <v>0</v>
      </c>
      <c r="F68" s="12"/>
      <c r="G68" s="12"/>
      <c r="H68" s="12"/>
      <c r="K68">
        <f t="shared" si="2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MOVE TANK</v>
      </c>
      <c r="B69" s="11"/>
      <c r="C69" s="17" t="str">
        <f>'Sheet2-PASTE HERE!'!I79</f>
        <v>.801</v>
      </c>
      <c r="D69" s="22" t="str">
        <f>'Sheet2-PASTE HERE!'!K79</f>
        <v>Move to shop test area</v>
      </c>
      <c r="E69" s="13">
        <f>'Sheet2-PASTE HERE!'!F79</f>
        <v>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.910</v>
      </c>
      <c r="D70" s="22" t="str">
        <f>'Sheet2-PASTE HERE!'!K80</f>
        <v>Test tank</v>
      </c>
      <c r="E70" s="13">
        <f>'Sheet2-PASTE HERE!'!F80</f>
        <v>24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.QC7</v>
      </c>
      <c r="D71" s="22" t="str">
        <f>'Sheet2-PASTE HERE!'!K81</f>
        <v>QC Inspection - Test</v>
      </c>
      <c r="E71" s="13">
        <f>'Sheet2-PASTE HERE!'!F81</f>
        <v>0</v>
      </c>
      <c r="F71" s="12"/>
      <c r="G71" s="12"/>
      <c r="H71" s="12"/>
      <c r="K71">
        <f t="shared" si="2"/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MOVE TANK</v>
      </c>
      <c r="B72" s="11"/>
      <c r="C72" s="17" t="str">
        <f>'Sheet2-PASTE HERE!'!I82</f>
        <v>.802</v>
      </c>
      <c r="D72" s="22" t="str">
        <f>'Sheet2-PASTE HERE!'!K82</f>
        <v>Move to paint area</v>
      </c>
      <c r="E72" s="13">
        <f>'Sheet2-PASTE HERE!'!F82</f>
        <v>2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</v>
      </c>
      <c r="D73" s="22" t="str">
        <f>'Sheet2-PASTE HERE!'!K83</f>
        <v>QC Inspection - Sandblast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.QC90</v>
      </c>
      <c r="D74" s="22" t="str">
        <f>'Sheet2-PASTE HERE!'!K84</f>
        <v>QC Inspection - Paint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.940</v>
      </c>
      <c r="D75" s="22" t="str">
        <f>'Sheet2-PASTE HERE!'!K85</f>
        <v>Prepare tank for shipment</v>
      </c>
      <c r="E75" s="13">
        <f>'Sheet2-PASTE HERE!'!F85</f>
        <v>8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.950</v>
      </c>
      <c r="D76" s="22" t="str">
        <f>'Sheet2-PASTE HERE!'!K86</f>
        <v>Check bill of materials and pack loose parts</v>
      </c>
      <c r="E76" s="13">
        <f>'Sheet2-PASTE HERE!'!F86</f>
        <v>2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.QC95</v>
      </c>
      <c r="D77" s="22" t="str">
        <f>'Sheet2-PASTE HERE!'!K87</f>
        <v>QC Inspection - Final &amp; Loose Items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.960</v>
      </c>
      <c r="D78" s="22" t="str">
        <f>'Sheet2-PASTE HERE!'!K88</f>
        <v>Load on truck</v>
      </c>
      <c r="E78" s="13">
        <f>'Sheet2-PASTE HERE!'!F88</f>
        <v>8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40K GALLON TANK #5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35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ROLL (11) REPADS &amp; WELDMENT PADS FOR SHELL</v>
      </c>
      <c r="E19" s="13">
        <f>'Sheet2-PASTE HERE!'!F29</f>
        <v>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.175</v>
      </c>
      <c r="D20" s="22" t="str">
        <f>'Sheet2-PASTE HERE!'!K30</f>
        <v>Build and weld base ring - skirt</v>
      </c>
      <c r="E20" s="13">
        <f>'Sheet2-PASTE HERE!'!F30</f>
        <v>8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.180</v>
      </c>
      <c r="D21" s="22" t="str">
        <f>'Sheet2-PASTE HERE!'!K31</f>
        <v>Skirt: bring in plate, square, trim and clean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.185</v>
      </c>
      <c r="D22" s="22" t="str">
        <f>'Sheet2-PASTE HERE!'!K32</f>
        <v>Roll skirt shells</v>
      </c>
      <c r="E22" s="13">
        <f>'Sheet2-PASTE HERE!'!F32</f>
        <v>4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.200</v>
      </c>
      <c r="D23" s="22" t="str">
        <f>'Sheet2-PASTE HERE!'!K33</f>
        <v>Make lift lugs, ground lugs,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.225</v>
      </c>
      <c r="D24" s="22" t="str">
        <f>'Sheet2-PASTE HERE!'!K34</f>
        <v>Cut and make baffle supports</v>
      </c>
      <c r="E24" s="13">
        <f>'Sheet2-PASTE HERE!'!F34</f>
        <v>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.230</v>
      </c>
      <c r="D25" s="22" t="str">
        <f>'Sheet2-PASTE HERE!'!K35</f>
        <v>Build baffles and weld</v>
      </c>
      <c r="E25" s="13">
        <f>'Sheet2-PASTE HERE!'!F35</f>
        <v>36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.252</v>
      </c>
      <c r="D26" s="22" t="str">
        <f>'Sheet2-PASTE HERE!'!K36</f>
        <v>Fabricate miscellaneous parts_x000D_
ROLL (3) SKIRT OPENINGS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.272</v>
      </c>
      <c r="D27" s="22" t="str">
        <f>'Sheet2-PASTE HERE!'!K37</f>
        <v>Cut/Build parts for handrail</v>
      </c>
      <c r="E27" s="13">
        <f>'Sheet2-PASTE HERE!'!F37</f>
        <v>8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.275</v>
      </c>
      <c r="D28" s="22" t="str">
        <f>'Sheet2-PASTE HERE!'!K38</f>
        <v>Roll handrail pipe_x000D_
***NOTE EXTRA MID RAIL***</v>
      </c>
      <c r="E28" s="13">
        <f>'Sheet2-PASTE HERE!'!F38</f>
        <v>4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.280</v>
      </c>
      <c r="D29" s="22" t="str">
        <f>'Sheet2-PASTE HERE!'!K39</f>
        <v>Roll handrail toe plate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.282</v>
      </c>
      <c r="D30" s="22" t="str">
        <f>'Sheet2-PASTE HERE!'!K40</f>
        <v>Build handrail - weld out_x000D_
***NOTE EXTRA MID RAIL***</v>
      </c>
      <c r="E30" s="13">
        <f>'Sheet2-PASTE HERE!'!F40</f>
        <v>32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.300</v>
      </c>
      <c r="D31" s="22" t="str">
        <f>'Sheet2-PASTE HERE!'!K41</f>
        <v>Wrap top and bottom heads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.QC3</v>
      </c>
      <c r="D32" s="22" t="str">
        <f>'Sheet2-PASTE HERE!'!K42</f>
        <v>UT Shells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.305</v>
      </c>
      <c r="D33" s="22" t="str">
        <f>'Sheet2-PASTE HERE!'!K43</f>
        <v>Shells: bring in plate, square, trim and clean</v>
      </c>
      <c r="E33" s="13">
        <f>'Sheet2-PASTE HERE!'!F43</f>
        <v>20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.310</v>
      </c>
      <c r="D34" s="22" t="str">
        <f>'Sheet2-PASTE HERE!'!K44</f>
        <v>Bevel shell plates</v>
      </c>
      <c r="E34" s="13">
        <f>'Sheet2-PASTE HERE!'!F44</f>
        <v>24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</v>
      </c>
      <c r="E35" s="13">
        <f>'Sheet2-PASTE HERE!'!F45</f>
        <v>16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.QC4</v>
      </c>
      <c r="D36" s="22" t="str">
        <f>'Sheet2-PASTE HERE!'!K46</f>
        <v>QC Inspection - Top/Bottom/Cones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.355</v>
      </c>
      <c r="D37" s="22" t="str">
        <f>'Sheet2-PASTE HERE!'!K47</f>
        <v>Lay out top head, burn and clean holes_x000D_
INCL PREP HOLES FOR FULL PEN WELDS</v>
      </c>
      <c r="E37" s="13">
        <f>'Sheet2-PASTE HERE!'!F47</f>
        <v>20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.365</v>
      </c>
      <c r="D38" s="22" t="str">
        <f>'Sheet2-PASTE HERE!'!K48</f>
        <v>Set  nozzles, lift lugs, etc. in top head - tack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.366</v>
      </c>
      <c r="D39" s="22" t="str">
        <f>'Sheet2-PASTE HERE!'!K49</f>
        <v>Weld out top head nozzles, etc. _x000D_
INCL (4) LIFT LUGS AND (2) 12"X12" PADS</v>
      </c>
      <c r="E39" s="13">
        <f>'Sheet2-PASTE HERE!'!F49</f>
        <v>32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.370</v>
      </c>
      <c r="D40" s="22" t="str">
        <f>'Sheet2-PASTE HERE!'!K50</f>
        <v>Install and weld out repads - top head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stiffeners_x000D_
(4) GUSSETS &amp; (4) STIFFENERS.  WELD COMPLETE.</v>
      </c>
      <c r="E41" s="13">
        <f>'Sheet2-PASTE HERE!'!F51</f>
        <v>14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.QC4</v>
      </c>
      <c r="D42" s="22" t="str">
        <f>'Sheet2-PASTE HERE!'!K52</f>
        <v>QC Inspection - Top/Bottom/Cones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.455</v>
      </c>
      <c r="D43" s="22" t="str">
        <f>'Sheet2-PASTE HERE!'!K53</f>
        <v>Lay out bottom head, burn and clean holes_x000D_
INCL PREP FOR FULL PEN WELD</v>
      </c>
      <c r="E43" s="13">
        <f>'Sheet2-PASTE HERE!'!F53</f>
        <v>6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.465</v>
      </c>
      <c r="D44" s="22" t="str">
        <f>'Sheet2-PASTE HERE!'!K54</f>
        <v>Set  nozzles in bottom head - tack</v>
      </c>
      <c r="E44" s="13">
        <f>'Sheet2-PASTE HERE!'!F54</f>
        <v>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.466</v>
      </c>
      <c r="D45" s="22" t="str">
        <f>'Sheet2-PASTE HERE!'!K55</f>
        <v>Weld nozzles in bottom head; weld complete</v>
      </c>
      <c r="E45" s="13">
        <f>'Sheet2-PASTE HERE!'!F55</f>
        <v>7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.470</v>
      </c>
      <c r="D46" s="22" t="str">
        <f>'Sheet2-PASTE HERE!'!K56</f>
        <v>Install and weld out repads - bottom head</v>
      </c>
      <c r="E46" s="13">
        <f>'Sheet2-PASTE HERE!'!F56</f>
        <v>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.510</v>
      </c>
      <c r="D47" s="22" t="str">
        <f>'Sheet2-PASTE HERE!'!K57</f>
        <v>Build skirt; fit base ring to shell and weld_x000D_
AND WELD INSIDE &amp; OUTSIDE</v>
      </c>
      <c r="E47" s="13">
        <f>'Sheet2-PASTE HERE!'!F57</f>
        <v>8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.520</v>
      </c>
      <c r="D48" s="22" t="str">
        <f>'Sheet2-PASTE HERE!'!K58</f>
        <v>Lay out skirt, burn and clean holes_x000D_
CUT HOLES ON BURN TABLE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.530</v>
      </c>
      <c r="D49" s="22" t="str">
        <f>'Sheet2-PASTE HERE!'!K59</f>
        <v>Build skirt - fit anchors / gussets_x000D_
AND WELD COMPLETE</v>
      </c>
      <c r="E49" s="13">
        <f>'Sheet2-PASTE HERE!'!F59</f>
        <v>18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.540</v>
      </c>
      <c r="D50" s="22" t="str">
        <f>'Sheet2-PASTE HERE!'!K60</f>
        <v>Set  nozzles / manway in skirt - tack_x000D_
INSTALL (7) SKIRT OPENINGS</v>
      </c>
      <c r="E50" s="13">
        <f>'Sheet2-PASTE HERE!'!F60</f>
        <v>14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.600</v>
      </c>
      <c r="D51" s="22" t="str">
        <f>'Sheet2-PASTE HERE!'!K61</f>
        <v>Fit bottom head to shell_x000D_
AND WELD INSIDE</v>
      </c>
      <c r="E51" s="13">
        <f>'Sheet2-PASTE HERE!'!F61</f>
        <v>10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.605</v>
      </c>
      <c r="D52" s="22" t="str">
        <f>'Sheet2-PASTE HERE!'!K62</f>
        <v>Tack shell courses together</v>
      </c>
      <c r="E52" s="13">
        <f>'Sheet2-PASTE HERE!'!F62</f>
        <v>20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.610</v>
      </c>
      <c r="D53" s="22" t="str">
        <f>'Sheet2-PASTE HERE!'!K63</f>
        <v>Weld inside round seams</v>
      </c>
      <c r="E53" s="13">
        <f>'Sheet2-PASTE HERE!'!F63</f>
        <v>20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.620</v>
      </c>
      <c r="D54" s="22" t="str">
        <f>'Sheet2-PASTE HERE!'!K64</f>
        <v>Lay out shell, burn and clean holes_x000D_
PREP FOR FULL PEN WELDS</v>
      </c>
      <c r="E54" s="13">
        <f>'Sheet2-PASTE HERE!'!F64</f>
        <v>16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.625</v>
      </c>
      <c r="D55" s="22" t="str">
        <f>'Sheet2-PASTE HERE!'!K65</f>
        <v>Install baffles and weld</v>
      </c>
      <c r="E55" s="13">
        <f>'Sheet2-PASTE HERE!'!F65</f>
        <v>20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.QC5</v>
      </c>
      <c r="D56" s="22" t="str">
        <f>'Sheet2-PASTE HERE!'!K66</f>
        <v>QC Inspection - Internal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.640</v>
      </c>
      <c r="D57" s="22" t="str">
        <f>'Sheet2-PASTE HERE!'!K67</f>
        <v>Fit top head to shell - tack</v>
      </c>
      <c r="E57" s="13">
        <f>'Sheet2-PASTE HERE!'!F67</f>
        <v>4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.641</v>
      </c>
      <c r="D58" s="22" t="str">
        <f>'Sheet2-PASTE HERE!'!K68</f>
        <v>Weld top head to shell - inside_x000D_
INCL HOLE WATCH</v>
      </c>
      <c r="E58" s="13">
        <f>'Sheet2-PASTE HERE!'!F68</f>
        <v>14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.645</v>
      </c>
      <c r="D59" s="22" t="str">
        <f>'Sheet2-PASTE HERE!'!K69</f>
        <v>Weld all outside seams</v>
      </c>
      <c r="E59" s="13">
        <f>'Sheet2-PASTE HERE!'!F69</f>
        <v>40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.800</v>
      </c>
      <c r="D60" s="22" t="str">
        <f>'Sheet2-PASTE HERE!'!K70</f>
        <v>Move tank to detail rolls</v>
      </c>
      <c r="E60" s="13">
        <f>'Sheet2-PASTE HERE!'!F70</f>
        <v>2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.720</v>
      </c>
      <c r="D61" s="22" t="str">
        <f>'Sheet2-PASTE HERE!'!K71</f>
        <v>Install supports - legs, lugs, anchors, saddles, skirt_x000D_
INSTALL SKIRT &amp; WELD TO BOTTOM HEAD</v>
      </c>
      <c r="E61" s="13">
        <f>'Sheet2-PASTE HERE!'!F71</f>
        <v>24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</v>
      </c>
      <c r="E62" s="13">
        <f>'Sheet2-PASTE HERE!'!F72</f>
        <v>10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HOLE WATCH</v>
      </c>
      <c r="E63" s="13">
        <f>'Sheet2-PASTE HERE!'!F73</f>
        <v>20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.730</v>
      </c>
      <c r="D64" s="22" t="str">
        <f>'Sheet2-PASTE HERE!'!K74</f>
        <v>Add repads and weld_x000D_
(4) WELDMENT PADS; (5) LADDER CLIPS; (2) PLATFORM CLIPS</v>
      </c>
      <c r="E64" s="13">
        <f>'Sheet2-PASTE HERE!'!F74</f>
        <v>33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.750</v>
      </c>
      <c r="D65" s="22" t="str">
        <f>'Sheet2-PASTE HERE!'!K75</f>
        <v>Fit handrail - install and weld clips</v>
      </c>
      <c r="E65" s="13">
        <f>'Sheet2-PASTE HERE!'!F75</f>
        <v>8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.765</v>
      </c>
      <c r="D66" s="22" t="str">
        <f>'Sheet2-PASTE HERE!'!K76</f>
        <v>Install name tag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.770</v>
      </c>
      <c r="D67" s="22" t="str">
        <f>'Sheet2-PASTE HERE!'!K77</f>
        <v>Inspect tank, make repairs, get QC inspector</v>
      </c>
      <c r="E67" s="13">
        <f>'Sheet2-PASTE HERE!'!F77</f>
        <v>1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.QC6</v>
      </c>
      <c r="D68" s="22" t="str">
        <f>'Sheet2-PASTE HERE!'!K78</f>
        <v>QC Inspection - Fabrication</v>
      </c>
      <c r="E68" s="13">
        <f>'Sheet2-PASTE HERE!'!F78</f>
        <v>0</v>
      </c>
      <c r="F68" s="12"/>
      <c r="G68" s="12"/>
      <c r="H68" s="12"/>
      <c r="K68">
        <f t="shared" si="0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MOVE TANK</v>
      </c>
      <c r="B69" s="11"/>
      <c r="C69" s="17" t="str">
        <f>'Sheet2-PASTE HERE!'!I79</f>
        <v>.801</v>
      </c>
      <c r="D69" s="22" t="str">
        <f>'Sheet2-PASTE HERE!'!K79</f>
        <v>Move to shop test area</v>
      </c>
      <c r="E69" s="13">
        <f>'Sheet2-PASTE HERE!'!F79</f>
        <v>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.910</v>
      </c>
      <c r="D70" s="22" t="str">
        <f>'Sheet2-PASTE HERE!'!K80</f>
        <v>Test tank</v>
      </c>
      <c r="E70" s="13">
        <f>'Sheet2-PASTE HERE!'!F80</f>
        <v>24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.QC7</v>
      </c>
      <c r="D71" s="22" t="str">
        <f>'Sheet2-PASTE HERE!'!K81</f>
        <v>QC Inspection - Test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MOVE TANK</v>
      </c>
      <c r="B72" s="11"/>
      <c r="C72" s="17" t="str">
        <f>'Sheet2-PASTE HERE!'!I82</f>
        <v>.802</v>
      </c>
      <c r="D72" s="22" t="str">
        <f>'Sheet2-PASTE HERE!'!K82</f>
        <v>Move to paint area</v>
      </c>
      <c r="E72" s="13">
        <f>'Sheet2-PASTE HERE!'!F82</f>
        <v>2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</v>
      </c>
      <c r="D73" s="22" t="str">
        <f>'Sheet2-PASTE HERE!'!K83</f>
        <v>QC Inspection - Sandblast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.QC90</v>
      </c>
      <c r="D74" s="22" t="str">
        <f>'Sheet2-PASTE HERE!'!K84</f>
        <v>QC Inspection - Paint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.940</v>
      </c>
      <c r="D75" s="22" t="str">
        <f>'Sheet2-PASTE HERE!'!K85</f>
        <v>Prepare tank for shipment</v>
      </c>
      <c r="E75" s="13">
        <f>'Sheet2-PASTE HERE!'!F85</f>
        <v>8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.950</v>
      </c>
      <c r="D76" s="22" t="str">
        <f>'Sheet2-PASTE HERE!'!K86</f>
        <v>Check bill of materials and pack loose parts</v>
      </c>
      <c r="E76" s="13">
        <f>'Sheet2-PASTE HERE!'!F86</f>
        <v>2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.QC95</v>
      </c>
      <c r="D77" s="22" t="str">
        <f>'Sheet2-PASTE HERE!'!K87</f>
        <v>QC Inspection - Final &amp; Loose Items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.960</v>
      </c>
      <c r="D78" s="22" t="str">
        <f>'Sheet2-PASTE HERE!'!K88</f>
        <v>Load on truck</v>
      </c>
      <c r="E78" s="13">
        <f>'Sheet2-PASTE HERE!'!F88</f>
        <v>8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166</v>
      </c>
      <c r="C1" s="8" t="s">
        <v>17</v>
      </c>
      <c r="D1" s="8" t="s">
        <v>167</v>
      </c>
      <c r="E1" s="8" t="s">
        <v>18</v>
      </c>
      <c r="F1" s="8" t="s">
        <v>168</v>
      </c>
      <c r="G1" s="8" t="s">
        <v>166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45533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710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50202</v>
      </c>
      <c r="C17" s="19">
        <v>0</v>
      </c>
      <c r="D17" s="8" t="s">
        <v>73</v>
      </c>
      <c r="E17" s="20">
        <v>0</v>
      </c>
      <c r="F17" s="20">
        <v>0</v>
      </c>
      <c r="G17" s="8" t="s">
        <v>54</v>
      </c>
      <c r="H17" s="20">
        <v>0</v>
      </c>
      <c r="I17" s="8" t="s">
        <v>74</v>
      </c>
      <c r="J17" s="19">
        <v>0</v>
      </c>
      <c r="K17" s="8" t="s">
        <v>73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50203</v>
      </c>
      <c r="C18" s="19">
        <v>0</v>
      </c>
      <c r="D18" s="8" t="s">
        <v>75</v>
      </c>
      <c r="E18" s="20">
        <v>0</v>
      </c>
      <c r="F18" s="20">
        <v>0</v>
      </c>
      <c r="G18" s="8" t="s">
        <v>54</v>
      </c>
      <c r="H18" s="20">
        <v>0</v>
      </c>
      <c r="I18" s="8" t="s">
        <v>76</v>
      </c>
      <c r="J18" s="19">
        <v>0</v>
      </c>
      <c r="K18" s="8" t="s">
        <v>77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50204</v>
      </c>
      <c r="C19" s="19">
        <v>0</v>
      </c>
      <c r="D19" s="8" t="s">
        <v>57</v>
      </c>
      <c r="E19" s="20">
        <v>0</v>
      </c>
      <c r="F19" s="20">
        <v>13</v>
      </c>
      <c r="G19" s="8" t="s">
        <v>54</v>
      </c>
      <c r="H19" s="20">
        <v>13</v>
      </c>
      <c r="I19" s="8" t="s">
        <v>58</v>
      </c>
      <c r="J19" s="19">
        <v>0</v>
      </c>
      <c r="K19" s="8" t="s">
        <v>78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50205</v>
      </c>
      <c r="C20" s="19">
        <v>0</v>
      </c>
      <c r="D20" s="8" t="s">
        <v>79</v>
      </c>
      <c r="E20" s="20">
        <v>0</v>
      </c>
      <c r="F20" s="20">
        <v>18</v>
      </c>
      <c r="G20" s="8" t="s">
        <v>54</v>
      </c>
      <c r="H20" s="20">
        <v>18</v>
      </c>
      <c r="I20" s="8" t="s">
        <v>80</v>
      </c>
      <c r="J20" s="19">
        <v>0</v>
      </c>
      <c r="K20" s="8" t="s">
        <v>81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50206</v>
      </c>
      <c r="C21" s="19">
        <v>0</v>
      </c>
      <c r="D21" s="8" t="s">
        <v>159</v>
      </c>
      <c r="E21" s="20">
        <v>0</v>
      </c>
      <c r="F21" s="20">
        <v>3</v>
      </c>
      <c r="G21" s="8" t="s">
        <v>54</v>
      </c>
      <c r="H21" s="20">
        <v>3</v>
      </c>
      <c r="I21" s="8" t="s">
        <v>160</v>
      </c>
      <c r="J21" s="19">
        <v>0</v>
      </c>
      <c r="K21" s="8" t="s">
        <v>161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50207</v>
      </c>
      <c r="C22" s="19">
        <v>0</v>
      </c>
      <c r="D22" s="8" t="s">
        <v>82</v>
      </c>
      <c r="E22" s="20">
        <v>0</v>
      </c>
      <c r="F22" s="20">
        <v>2</v>
      </c>
      <c r="G22" s="8" t="s">
        <v>54</v>
      </c>
      <c r="H22" s="20">
        <v>2</v>
      </c>
      <c r="I22" s="8" t="s">
        <v>83</v>
      </c>
      <c r="J22" s="19">
        <v>0</v>
      </c>
      <c r="K22" s="8" t="s">
        <v>84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50208</v>
      </c>
      <c r="C23" s="19">
        <v>0</v>
      </c>
      <c r="D23" s="8" t="s">
        <v>85</v>
      </c>
      <c r="E23" s="20">
        <v>0</v>
      </c>
      <c r="F23" s="20">
        <v>2</v>
      </c>
      <c r="G23" s="8" t="s">
        <v>54</v>
      </c>
      <c r="H23" s="20">
        <v>2</v>
      </c>
      <c r="I23" s="8" t="s">
        <v>86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50209</v>
      </c>
      <c r="C24" s="19">
        <v>0</v>
      </c>
      <c r="D24" s="8" t="s">
        <v>88</v>
      </c>
      <c r="E24" s="20">
        <v>0</v>
      </c>
      <c r="F24" s="20">
        <v>2</v>
      </c>
      <c r="G24" s="8" t="s">
        <v>54</v>
      </c>
      <c r="H24" s="20">
        <v>2</v>
      </c>
      <c r="I24" s="8" t="s">
        <v>89</v>
      </c>
      <c r="J24" s="19">
        <v>0</v>
      </c>
      <c r="K24" s="8" t="s">
        <v>90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50210</v>
      </c>
      <c r="C25" s="19">
        <v>0</v>
      </c>
      <c r="D25" s="8" t="s">
        <v>91</v>
      </c>
      <c r="E25" s="20">
        <v>0</v>
      </c>
      <c r="F25" s="20">
        <v>4</v>
      </c>
      <c r="G25" s="8" t="s">
        <v>54</v>
      </c>
      <c r="H25" s="20">
        <v>4</v>
      </c>
      <c r="I25" s="8" t="s">
        <v>92</v>
      </c>
      <c r="J25" s="19">
        <v>0</v>
      </c>
      <c r="K25" s="8" t="s">
        <v>93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50211</v>
      </c>
      <c r="C26" s="19">
        <v>0</v>
      </c>
      <c r="D26" s="8" t="s">
        <v>94</v>
      </c>
      <c r="E26" s="20">
        <v>0</v>
      </c>
      <c r="F26" s="20">
        <v>4</v>
      </c>
      <c r="G26" s="8" t="s">
        <v>54</v>
      </c>
      <c r="H26" s="20">
        <v>4</v>
      </c>
      <c r="I26" s="8" t="s">
        <v>95</v>
      </c>
      <c r="J26" s="19">
        <v>0</v>
      </c>
      <c r="K26" s="8" t="s">
        <v>96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50212</v>
      </c>
      <c r="C27" s="19">
        <v>0</v>
      </c>
      <c r="D27" s="8" t="s">
        <v>169</v>
      </c>
      <c r="E27" s="20">
        <v>0</v>
      </c>
      <c r="F27" s="20">
        <v>35</v>
      </c>
      <c r="G27" s="8" t="s">
        <v>54</v>
      </c>
      <c r="H27" s="20">
        <v>35</v>
      </c>
      <c r="I27" s="8" t="s">
        <v>59</v>
      </c>
      <c r="J27" s="19">
        <v>0</v>
      </c>
      <c r="K27" s="8" t="s">
        <v>97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50213</v>
      </c>
      <c r="C28" s="19">
        <v>0</v>
      </c>
      <c r="D28" s="8" t="s">
        <v>170</v>
      </c>
      <c r="E28" s="20">
        <v>0</v>
      </c>
      <c r="F28" s="20">
        <v>25</v>
      </c>
      <c r="G28" s="8" t="s">
        <v>54</v>
      </c>
      <c r="H28" s="20">
        <v>25</v>
      </c>
      <c r="I28" s="8" t="s">
        <v>171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50273</v>
      </c>
      <c r="C29" s="19">
        <v>0</v>
      </c>
      <c r="D29" s="8" t="s">
        <v>98</v>
      </c>
      <c r="E29" s="20">
        <v>0</v>
      </c>
      <c r="F29" s="20">
        <v>5</v>
      </c>
      <c r="G29" s="8" t="s">
        <v>54</v>
      </c>
      <c r="H29" s="20">
        <v>5</v>
      </c>
      <c r="I29" s="8" t="s">
        <v>99</v>
      </c>
      <c r="J29" s="19">
        <v>0</v>
      </c>
      <c r="K29" s="8" t="s">
        <v>172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50214</v>
      </c>
      <c r="C30" s="19">
        <v>0</v>
      </c>
      <c r="D30" s="8" t="s">
        <v>173</v>
      </c>
      <c r="E30" s="20">
        <v>0</v>
      </c>
      <c r="F30" s="20">
        <v>8</v>
      </c>
      <c r="G30" s="8" t="s">
        <v>54</v>
      </c>
      <c r="H30" s="20">
        <v>8</v>
      </c>
      <c r="I30" s="8" t="s">
        <v>174</v>
      </c>
      <c r="J30" s="19">
        <v>0</v>
      </c>
      <c r="K30" s="8" t="s">
        <v>175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50215</v>
      </c>
      <c r="C31" s="19">
        <v>0</v>
      </c>
      <c r="D31" s="8" t="s">
        <v>176</v>
      </c>
      <c r="E31" s="20">
        <v>0</v>
      </c>
      <c r="F31" s="20">
        <v>6</v>
      </c>
      <c r="G31" s="8" t="s">
        <v>54</v>
      </c>
      <c r="H31" s="20">
        <v>6</v>
      </c>
      <c r="I31" s="8" t="s">
        <v>177</v>
      </c>
      <c r="J31" s="19">
        <v>0</v>
      </c>
      <c r="K31" s="8" t="s">
        <v>178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50216</v>
      </c>
      <c r="C32" s="19">
        <v>0</v>
      </c>
      <c r="D32" s="8" t="s">
        <v>179</v>
      </c>
      <c r="E32" s="20">
        <v>0</v>
      </c>
      <c r="F32" s="20">
        <v>4</v>
      </c>
      <c r="G32" s="8" t="s">
        <v>54</v>
      </c>
      <c r="H32" s="20">
        <v>4</v>
      </c>
      <c r="I32" s="8" t="s">
        <v>180</v>
      </c>
      <c r="J32" s="19">
        <v>0</v>
      </c>
      <c r="K32" s="8" t="s">
        <v>181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50217</v>
      </c>
      <c r="C33" s="19">
        <v>0</v>
      </c>
      <c r="D33" s="8" t="s">
        <v>100</v>
      </c>
      <c r="E33" s="20">
        <v>0</v>
      </c>
      <c r="F33" s="20">
        <v>2</v>
      </c>
      <c r="G33" s="8" t="s">
        <v>54</v>
      </c>
      <c r="H33" s="20">
        <v>2</v>
      </c>
      <c r="I33" s="8" t="s">
        <v>101</v>
      </c>
      <c r="J33" s="19">
        <v>0</v>
      </c>
      <c r="K33" s="8" t="s">
        <v>102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50218</v>
      </c>
      <c r="C34" s="19">
        <v>0</v>
      </c>
      <c r="D34" s="8" t="s">
        <v>182</v>
      </c>
      <c r="E34" s="20">
        <v>0</v>
      </c>
      <c r="F34" s="20">
        <v>4</v>
      </c>
      <c r="G34" s="8" t="s">
        <v>54</v>
      </c>
      <c r="H34" s="20">
        <v>4</v>
      </c>
      <c r="I34" s="8" t="s">
        <v>183</v>
      </c>
      <c r="J34" s="19">
        <v>0</v>
      </c>
      <c r="K34" s="8" t="s">
        <v>184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50219</v>
      </c>
      <c r="C35" s="19">
        <v>0</v>
      </c>
      <c r="D35" s="8" t="s">
        <v>185</v>
      </c>
      <c r="E35" s="20">
        <v>0</v>
      </c>
      <c r="F35" s="20">
        <v>36</v>
      </c>
      <c r="G35" s="8" t="s">
        <v>54</v>
      </c>
      <c r="H35" s="20">
        <v>36</v>
      </c>
      <c r="I35" s="8" t="s">
        <v>186</v>
      </c>
      <c r="J35" s="19">
        <v>0</v>
      </c>
      <c r="K35" s="8" t="s">
        <v>187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50220</v>
      </c>
      <c r="C36" s="19">
        <v>0</v>
      </c>
      <c r="D36" s="8" t="s">
        <v>162</v>
      </c>
      <c r="E36" s="20">
        <v>0</v>
      </c>
      <c r="F36" s="20">
        <v>3</v>
      </c>
      <c r="G36" s="8" t="s">
        <v>54</v>
      </c>
      <c r="H36" s="20">
        <v>3</v>
      </c>
      <c r="I36" s="8" t="s">
        <v>163</v>
      </c>
      <c r="J36" s="19">
        <v>0</v>
      </c>
      <c r="K36" s="8" t="s">
        <v>188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50221</v>
      </c>
      <c r="C37" s="19">
        <v>0</v>
      </c>
      <c r="D37" s="8" t="s">
        <v>189</v>
      </c>
      <c r="E37" s="20">
        <v>0</v>
      </c>
      <c r="F37" s="20">
        <v>8</v>
      </c>
      <c r="G37" s="8" t="s">
        <v>54</v>
      </c>
      <c r="H37" s="20">
        <v>8</v>
      </c>
      <c r="I37" s="8" t="s">
        <v>190</v>
      </c>
      <c r="J37" s="19">
        <v>0</v>
      </c>
      <c r="K37" s="8" t="s">
        <v>191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50222</v>
      </c>
      <c r="C38" s="19">
        <v>0</v>
      </c>
      <c r="D38" s="8" t="s">
        <v>192</v>
      </c>
      <c r="E38" s="20">
        <v>0</v>
      </c>
      <c r="F38" s="20">
        <v>4</v>
      </c>
      <c r="G38" s="8" t="s">
        <v>54</v>
      </c>
      <c r="H38" s="20">
        <v>4</v>
      </c>
      <c r="I38" s="8" t="s">
        <v>193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50223</v>
      </c>
      <c r="C39" s="19">
        <v>0</v>
      </c>
      <c r="D39" s="8" t="s">
        <v>195</v>
      </c>
      <c r="E39" s="20">
        <v>0</v>
      </c>
      <c r="F39" s="20">
        <v>1</v>
      </c>
      <c r="G39" s="8" t="s">
        <v>54</v>
      </c>
      <c r="H39" s="20">
        <v>1</v>
      </c>
      <c r="I39" s="8" t="s">
        <v>196</v>
      </c>
      <c r="J39" s="19">
        <v>0</v>
      </c>
      <c r="K39" s="8" t="s">
        <v>197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50224</v>
      </c>
      <c r="C40" s="19">
        <v>0</v>
      </c>
      <c r="D40" s="8" t="s">
        <v>198</v>
      </c>
      <c r="E40" s="20">
        <v>0</v>
      </c>
      <c r="F40" s="20">
        <v>32</v>
      </c>
      <c r="G40" s="8" t="s">
        <v>54</v>
      </c>
      <c r="H40" s="20">
        <v>32</v>
      </c>
      <c r="I40" s="8" t="s">
        <v>199</v>
      </c>
      <c r="J40" s="19">
        <v>0</v>
      </c>
      <c r="K40" s="8" t="s">
        <v>200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50225</v>
      </c>
      <c r="C41" s="19">
        <v>0</v>
      </c>
      <c r="D41" s="8" t="s">
        <v>201</v>
      </c>
      <c r="E41" s="20">
        <v>0</v>
      </c>
      <c r="F41" s="20">
        <v>2</v>
      </c>
      <c r="G41" s="8" t="s">
        <v>54</v>
      </c>
      <c r="H41" s="20">
        <v>2</v>
      </c>
      <c r="I41" s="8" t="s">
        <v>202</v>
      </c>
      <c r="J41" s="19">
        <v>0</v>
      </c>
      <c r="K41" s="8" t="s">
        <v>203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50226</v>
      </c>
      <c r="C42" s="19">
        <v>0</v>
      </c>
      <c r="D42" s="8" t="s">
        <v>103</v>
      </c>
      <c r="E42" s="20">
        <v>0</v>
      </c>
      <c r="F42" s="20">
        <v>0</v>
      </c>
      <c r="G42" s="8" t="s">
        <v>54</v>
      </c>
      <c r="H42" s="20">
        <v>0</v>
      </c>
      <c r="I42" s="8" t="s">
        <v>104</v>
      </c>
      <c r="J42" s="19">
        <v>0</v>
      </c>
      <c r="K42" s="8" t="s">
        <v>103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50227</v>
      </c>
      <c r="C43" s="19">
        <v>0</v>
      </c>
      <c r="D43" s="8" t="s">
        <v>105</v>
      </c>
      <c r="E43" s="20">
        <v>0</v>
      </c>
      <c r="F43" s="20">
        <v>20</v>
      </c>
      <c r="G43" s="8" t="s">
        <v>54</v>
      </c>
      <c r="H43" s="20">
        <v>20</v>
      </c>
      <c r="I43" s="8" t="s">
        <v>106</v>
      </c>
      <c r="J43" s="19">
        <v>0</v>
      </c>
      <c r="K43" s="8" t="s">
        <v>204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50228</v>
      </c>
      <c r="C44" s="19">
        <v>0</v>
      </c>
      <c r="D44" s="8" t="s">
        <v>205</v>
      </c>
      <c r="E44" s="20">
        <v>0</v>
      </c>
      <c r="F44" s="20">
        <v>24</v>
      </c>
      <c r="G44" s="8" t="s">
        <v>54</v>
      </c>
      <c r="H44" s="20">
        <v>24</v>
      </c>
      <c r="I44" s="8" t="s">
        <v>206</v>
      </c>
      <c r="J44" s="19">
        <v>0</v>
      </c>
      <c r="K44" s="8" t="s">
        <v>207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50229</v>
      </c>
      <c r="C45" s="19">
        <v>0</v>
      </c>
      <c r="D45" s="8" t="s">
        <v>107</v>
      </c>
      <c r="E45" s="20">
        <v>0</v>
      </c>
      <c r="F45" s="20">
        <v>16</v>
      </c>
      <c r="G45" s="8" t="s">
        <v>54</v>
      </c>
      <c r="H45" s="20">
        <v>16</v>
      </c>
      <c r="I45" s="8" t="s">
        <v>108</v>
      </c>
      <c r="J45" s="19">
        <v>0</v>
      </c>
      <c r="K45" s="8" t="s">
        <v>208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50230</v>
      </c>
      <c r="C46" s="19">
        <v>0</v>
      </c>
      <c r="D46" s="8" t="s">
        <v>109</v>
      </c>
      <c r="E46" s="20">
        <v>0</v>
      </c>
      <c r="F46" s="20">
        <v>0</v>
      </c>
      <c r="G46" s="8" t="s">
        <v>54</v>
      </c>
      <c r="H46" s="20">
        <v>0</v>
      </c>
      <c r="I46" s="8" t="s">
        <v>110</v>
      </c>
      <c r="J46" s="19">
        <v>0</v>
      </c>
      <c r="K46" s="8" t="s">
        <v>111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50231</v>
      </c>
      <c r="C47" s="19">
        <v>0</v>
      </c>
      <c r="D47" s="8" t="s">
        <v>112</v>
      </c>
      <c r="E47" s="20">
        <v>0</v>
      </c>
      <c r="F47" s="20">
        <v>20</v>
      </c>
      <c r="G47" s="8" t="s">
        <v>54</v>
      </c>
      <c r="H47" s="20">
        <v>20</v>
      </c>
      <c r="I47" s="8" t="s">
        <v>113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50232</v>
      </c>
      <c r="C48" s="19">
        <v>0</v>
      </c>
      <c r="D48" s="8" t="s">
        <v>114</v>
      </c>
      <c r="E48" s="20">
        <v>0</v>
      </c>
      <c r="F48" s="20">
        <v>8</v>
      </c>
      <c r="G48" s="8" t="s">
        <v>54</v>
      </c>
      <c r="H48" s="20">
        <v>8</v>
      </c>
      <c r="I48" s="8" t="s">
        <v>115</v>
      </c>
      <c r="J48" s="19">
        <v>0</v>
      </c>
      <c r="K48" s="8" t="s">
        <v>116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50233</v>
      </c>
      <c r="C49" s="19">
        <v>0</v>
      </c>
      <c r="D49" s="8" t="s">
        <v>117</v>
      </c>
      <c r="E49" s="20">
        <v>0</v>
      </c>
      <c r="F49" s="20">
        <v>32</v>
      </c>
      <c r="G49" s="8" t="s">
        <v>54</v>
      </c>
      <c r="H49" s="20">
        <v>32</v>
      </c>
      <c r="I49" s="8" t="s">
        <v>118</v>
      </c>
      <c r="J49" s="19">
        <v>0</v>
      </c>
      <c r="K49" s="8" t="s">
        <v>210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50234</v>
      </c>
      <c r="C50" s="19">
        <v>0</v>
      </c>
      <c r="D50" s="8" t="s">
        <v>164</v>
      </c>
      <c r="E50" s="20">
        <v>0</v>
      </c>
      <c r="F50" s="20">
        <v>4</v>
      </c>
      <c r="G50" s="8" t="s">
        <v>54</v>
      </c>
      <c r="H50" s="20">
        <v>4</v>
      </c>
      <c r="I50" s="8" t="s">
        <v>165</v>
      </c>
      <c r="J50" s="19">
        <v>0</v>
      </c>
      <c r="K50" s="8" t="s">
        <v>211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50235</v>
      </c>
      <c r="C51" s="19">
        <v>0</v>
      </c>
      <c r="D51" s="8" t="s">
        <v>212</v>
      </c>
      <c r="E51" s="20">
        <v>0</v>
      </c>
      <c r="F51" s="20">
        <v>14</v>
      </c>
      <c r="G51" s="8" t="s">
        <v>54</v>
      </c>
      <c r="H51" s="20">
        <v>14</v>
      </c>
      <c r="I51" s="8" t="s">
        <v>213</v>
      </c>
      <c r="J51" s="19">
        <v>0</v>
      </c>
      <c r="K51" s="8" t="s">
        <v>214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50236</v>
      </c>
      <c r="C52" s="19">
        <v>0</v>
      </c>
      <c r="D52" s="8" t="s">
        <v>109</v>
      </c>
      <c r="E52" s="20">
        <v>0</v>
      </c>
      <c r="F52" s="20">
        <v>0</v>
      </c>
      <c r="G52" s="8" t="s">
        <v>54</v>
      </c>
      <c r="H52" s="20">
        <v>0</v>
      </c>
      <c r="I52" s="8" t="s">
        <v>110</v>
      </c>
      <c r="J52" s="19">
        <v>0</v>
      </c>
      <c r="K52" s="8" t="s">
        <v>111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50237</v>
      </c>
      <c r="C53" s="19">
        <v>0</v>
      </c>
      <c r="D53" s="8" t="s">
        <v>215</v>
      </c>
      <c r="E53" s="20">
        <v>0</v>
      </c>
      <c r="F53" s="20">
        <v>6</v>
      </c>
      <c r="G53" s="8" t="s">
        <v>54</v>
      </c>
      <c r="H53" s="20">
        <v>6</v>
      </c>
      <c r="I53" s="8" t="s">
        <v>216</v>
      </c>
      <c r="J53" s="19">
        <v>0</v>
      </c>
      <c r="K53" s="8" t="s">
        <v>217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50238</v>
      </c>
      <c r="C54" s="19">
        <v>0</v>
      </c>
      <c r="D54" s="8" t="s">
        <v>218</v>
      </c>
      <c r="E54" s="20">
        <v>0</v>
      </c>
      <c r="F54" s="20">
        <v>2</v>
      </c>
      <c r="G54" s="8" t="s">
        <v>54</v>
      </c>
      <c r="H54" s="20">
        <v>2</v>
      </c>
      <c r="I54" s="8" t="s">
        <v>219</v>
      </c>
      <c r="J54" s="19">
        <v>0</v>
      </c>
      <c r="K54" s="8" t="s">
        <v>220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50239</v>
      </c>
      <c r="C55" s="19">
        <v>0</v>
      </c>
      <c r="D55" s="8" t="s">
        <v>221</v>
      </c>
      <c r="E55" s="20">
        <v>0</v>
      </c>
      <c r="F55" s="20">
        <v>7</v>
      </c>
      <c r="G55" s="8" t="s">
        <v>54</v>
      </c>
      <c r="H55" s="20">
        <v>7</v>
      </c>
      <c r="I55" s="8" t="s">
        <v>222</v>
      </c>
      <c r="J55" s="19">
        <v>0</v>
      </c>
      <c r="K55" s="8" t="s">
        <v>223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50240</v>
      </c>
      <c r="C56" s="19">
        <v>0</v>
      </c>
      <c r="D56" s="8" t="s">
        <v>224</v>
      </c>
      <c r="E56" s="20">
        <v>0</v>
      </c>
      <c r="F56" s="20">
        <v>4</v>
      </c>
      <c r="G56" s="8" t="s">
        <v>54</v>
      </c>
      <c r="H56" s="20">
        <v>4</v>
      </c>
      <c r="I56" s="8" t="s">
        <v>225</v>
      </c>
      <c r="J56" s="19">
        <v>0</v>
      </c>
      <c r="K56" s="8" t="s">
        <v>226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56</v>
      </c>
      <c r="B57" s="18">
        <v>50241</v>
      </c>
      <c r="C57" s="19">
        <v>0</v>
      </c>
      <c r="D57" s="8" t="s">
        <v>227</v>
      </c>
      <c r="E57" s="20">
        <v>0</v>
      </c>
      <c r="F57" s="20">
        <v>8</v>
      </c>
      <c r="G57" s="8" t="s">
        <v>54</v>
      </c>
      <c r="H57" s="20">
        <v>8</v>
      </c>
      <c r="I57" s="8" t="s">
        <v>228</v>
      </c>
      <c r="J57" s="19">
        <v>0</v>
      </c>
      <c r="K57" s="8" t="s">
        <v>229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72</v>
      </c>
      <c r="B58" s="18">
        <v>50242</v>
      </c>
      <c r="C58" s="19">
        <v>0</v>
      </c>
      <c r="D58" s="8" t="s">
        <v>230</v>
      </c>
      <c r="E58" s="20">
        <v>0</v>
      </c>
      <c r="F58" s="20">
        <v>1</v>
      </c>
      <c r="G58" s="8" t="s">
        <v>54</v>
      </c>
      <c r="H58" s="20">
        <v>1</v>
      </c>
      <c r="I58" s="8" t="s">
        <v>231</v>
      </c>
      <c r="J58" s="19">
        <v>0</v>
      </c>
      <c r="K58" s="8" t="s">
        <v>232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72</v>
      </c>
      <c r="B59" s="18">
        <v>50243</v>
      </c>
      <c r="C59" s="19">
        <v>0</v>
      </c>
      <c r="D59" s="8" t="s">
        <v>233</v>
      </c>
      <c r="E59" s="20">
        <v>0</v>
      </c>
      <c r="F59" s="20">
        <v>18</v>
      </c>
      <c r="G59" s="8" t="s">
        <v>54</v>
      </c>
      <c r="H59" s="20">
        <v>18</v>
      </c>
      <c r="I59" s="8" t="s">
        <v>234</v>
      </c>
      <c r="J59" s="19">
        <v>0</v>
      </c>
      <c r="K59" s="8" t="s">
        <v>235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72</v>
      </c>
      <c r="B60" s="18">
        <v>50244</v>
      </c>
      <c r="C60" s="19">
        <v>0</v>
      </c>
      <c r="D60" s="8" t="s">
        <v>236</v>
      </c>
      <c r="E60" s="20">
        <v>0</v>
      </c>
      <c r="F60" s="20">
        <v>14</v>
      </c>
      <c r="G60" s="8" t="s">
        <v>54</v>
      </c>
      <c r="H60" s="20">
        <v>14</v>
      </c>
      <c r="I60" s="8" t="s">
        <v>237</v>
      </c>
      <c r="J60" s="19">
        <v>0</v>
      </c>
      <c r="K60" s="8" t="s">
        <v>238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72</v>
      </c>
      <c r="B61" s="18">
        <v>50245</v>
      </c>
      <c r="C61" s="19">
        <v>0</v>
      </c>
      <c r="D61" s="8" t="s">
        <v>119</v>
      </c>
      <c r="E61" s="20">
        <v>0</v>
      </c>
      <c r="F61" s="20">
        <v>10</v>
      </c>
      <c r="G61" s="8" t="s">
        <v>54</v>
      </c>
      <c r="H61" s="20">
        <v>10</v>
      </c>
      <c r="I61" s="8" t="s">
        <v>120</v>
      </c>
      <c r="J61" s="19">
        <v>0</v>
      </c>
      <c r="K61" s="8" t="s">
        <v>239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72</v>
      </c>
      <c r="B62" s="18">
        <v>50246</v>
      </c>
      <c r="C62" s="19">
        <v>0</v>
      </c>
      <c r="D62" s="8" t="s">
        <v>121</v>
      </c>
      <c r="E62" s="20">
        <v>0</v>
      </c>
      <c r="F62" s="20">
        <v>20</v>
      </c>
      <c r="G62" s="8" t="s">
        <v>54</v>
      </c>
      <c r="H62" s="20">
        <v>20</v>
      </c>
      <c r="I62" s="8" t="s">
        <v>122</v>
      </c>
      <c r="J62" s="19">
        <v>0</v>
      </c>
      <c r="K62" s="8" t="s">
        <v>240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72</v>
      </c>
      <c r="B63" s="18">
        <v>50247</v>
      </c>
      <c r="C63" s="19">
        <v>0</v>
      </c>
      <c r="D63" s="8" t="s">
        <v>123</v>
      </c>
      <c r="E63" s="20">
        <v>0</v>
      </c>
      <c r="F63" s="20">
        <v>20</v>
      </c>
      <c r="G63" s="8" t="s">
        <v>54</v>
      </c>
      <c r="H63" s="20">
        <v>20</v>
      </c>
      <c r="I63" s="8" t="s">
        <v>124</v>
      </c>
      <c r="J63" s="19">
        <v>0</v>
      </c>
      <c r="K63" s="8" t="s">
        <v>241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72</v>
      </c>
      <c r="B64" s="18">
        <v>50248</v>
      </c>
      <c r="C64" s="19">
        <v>0</v>
      </c>
      <c r="D64" s="8" t="s">
        <v>125</v>
      </c>
      <c r="E64" s="20">
        <v>0</v>
      </c>
      <c r="F64" s="20">
        <v>16</v>
      </c>
      <c r="G64" s="8" t="s">
        <v>54</v>
      </c>
      <c r="H64" s="20">
        <v>16</v>
      </c>
      <c r="I64" s="8" t="s">
        <v>126</v>
      </c>
      <c r="J64" s="19">
        <v>0</v>
      </c>
      <c r="K64" s="8" t="s">
        <v>242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72</v>
      </c>
      <c r="B65" s="18">
        <v>50249</v>
      </c>
      <c r="C65" s="19">
        <v>0</v>
      </c>
      <c r="D65" s="8" t="s">
        <v>243</v>
      </c>
      <c r="E65" s="20">
        <v>0</v>
      </c>
      <c r="F65" s="20">
        <v>20</v>
      </c>
      <c r="G65" s="8" t="s">
        <v>54</v>
      </c>
      <c r="H65" s="20">
        <v>20</v>
      </c>
      <c r="I65" s="8" t="s">
        <v>244</v>
      </c>
      <c r="J65" s="19">
        <v>0</v>
      </c>
      <c r="K65" s="8" t="s">
        <v>245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50250</v>
      </c>
      <c r="C66" s="19">
        <v>0</v>
      </c>
      <c r="D66" s="8" t="s">
        <v>127</v>
      </c>
      <c r="E66" s="20">
        <v>0</v>
      </c>
      <c r="F66" s="20">
        <v>0</v>
      </c>
      <c r="G66" s="8" t="s">
        <v>54</v>
      </c>
      <c r="H66" s="20">
        <v>0</v>
      </c>
      <c r="I66" s="8" t="s">
        <v>128</v>
      </c>
      <c r="J66" s="19">
        <v>0</v>
      </c>
      <c r="K66" s="8" t="s">
        <v>127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72</v>
      </c>
      <c r="B67" s="18">
        <v>50251</v>
      </c>
      <c r="C67" s="19">
        <v>0</v>
      </c>
      <c r="D67" s="8" t="s">
        <v>129</v>
      </c>
      <c r="E67" s="20">
        <v>0</v>
      </c>
      <c r="F67" s="20">
        <v>4</v>
      </c>
      <c r="G67" s="8" t="s">
        <v>54</v>
      </c>
      <c r="H67" s="20">
        <v>4</v>
      </c>
      <c r="I67" s="8" t="s">
        <v>130</v>
      </c>
      <c r="J67" s="19">
        <v>0</v>
      </c>
      <c r="K67" s="8" t="s">
        <v>246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72</v>
      </c>
      <c r="B68" s="18">
        <v>50252</v>
      </c>
      <c r="C68" s="19">
        <v>0</v>
      </c>
      <c r="D68" s="8" t="s">
        <v>247</v>
      </c>
      <c r="E68" s="20">
        <v>0</v>
      </c>
      <c r="F68" s="20">
        <v>14</v>
      </c>
      <c r="G68" s="8" t="s">
        <v>54</v>
      </c>
      <c r="H68" s="20">
        <v>14</v>
      </c>
      <c r="I68" s="8" t="s">
        <v>248</v>
      </c>
      <c r="J68" s="19">
        <v>0</v>
      </c>
      <c r="K68" s="8" t="s">
        <v>249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72</v>
      </c>
      <c r="B69" s="18">
        <v>50253</v>
      </c>
      <c r="C69" s="19">
        <v>0</v>
      </c>
      <c r="D69" s="8" t="s">
        <v>250</v>
      </c>
      <c r="E69" s="20">
        <v>0</v>
      </c>
      <c r="F69" s="20">
        <v>40</v>
      </c>
      <c r="G69" s="8" t="s">
        <v>54</v>
      </c>
      <c r="H69" s="20">
        <v>40</v>
      </c>
      <c r="I69" s="8" t="s">
        <v>251</v>
      </c>
      <c r="J69" s="19">
        <v>0</v>
      </c>
      <c r="K69" s="8" t="s">
        <v>252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131</v>
      </c>
      <c r="B70" s="18">
        <v>50254</v>
      </c>
      <c r="C70" s="19">
        <v>0</v>
      </c>
      <c r="D70" s="8" t="s">
        <v>132</v>
      </c>
      <c r="E70" s="20">
        <v>0</v>
      </c>
      <c r="F70" s="20">
        <v>2</v>
      </c>
      <c r="G70" s="8" t="s">
        <v>54</v>
      </c>
      <c r="H70" s="20">
        <v>2</v>
      </c>
      <c r="I70" s="8" t="s">
        <v>133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72</v>
      </c>
      <c r="B71" s="18">
        <v>50255</v>
      </c>
      <c r="C71" s="19">
        <v>0</v>
      </c>
      <c r="D71" s="8" t="s">
        <v>135</v>
      </c>
      <c r="E71" s="20">
        <v>0</v>
      </c>
      <c r="F71" s="20">
        <v>24</v>
      </c>
      <c r="G71" s="8" t="s">
        <v>54</v>
      </c>
      <c r="H71" s="20">
        <v>24</v>
      </c>
      <c r="I71" s="8" t="s">
        <v>136</v>
      </c>
      <c r="J71" s="19">
        <v>0</v>
      </c>
      <c r="K71" s="8" t="s">
        <v>253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72</v>
      </c>
      <c r="B72" s="18">
        <v>50256</v>
      </c>
      <c r="C72" s="19">
        <v>0</v>
      </c>
      <c r="D72" s="8" t="s">
        <v>137</v>
      </c>
      <c r="E72" s="20">
        <v>0</v>
      </c>
      <c r="F72" s="20">
        <v>10</v>
      </c>
      <c r="G72" s="8" t="s">
        <v>54</v>
      </c>
      <c r="H72" s="20">
        <v>10</v>
      </c>
      <c r="I72" s="8" t="s">
        <v>138</v>
      </c>
      <c r="J72" s="19">
        <v>0</v>
      </c>
      <c r="K72" s="8" t="s">
        <v>254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72</v>
      </c>
      <c r="B73" s="18">
        <v>50257</v>
      </c>
      <c r="C73" s="19">
        <v>0</v>
      </c>
      <c r="D73" s="8" t="s">
        <v>139</v>
      </c>
      <c r="E73" s="20">
        <v>0</v>
      </c>
      <c r="F73" s="20">
        <v>20</v>
      </c>
      <c r="G73" s="8" t="s">
        <v>54</v>
      </c>
      <c r="H73" s="20">
        <v>20</v>
      </c>
      <c r="I73" s="8" t="s">
        <v>140</v>
      </c>
      <c r="J73" s="19">
        <v>0</v>
      </c>
      <c r="K73" s="8" t="s">
        <v>255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72</v>
      </c>
      <c r="B74" s="18">
        <v>50258</v>
      </c>
      <c r="C74" s="19">
        <v>0</v>
      </c>
      <c r="D74" s="8" t="s">
        <v>256</v>
      </c>
      <c r="E74" s="20">
        <v>0</v>
      </c>
      <c r="F74" s="20">
        <v>33</v>
      </c>
      <c r="G74" s="8" t="s">
        <v>54</v>
      </c>
      <c r="H74" s="20">
        <v>33</v>
      </c>
      <c r="I74" s="8" t="s">
        <v>257</v>
      </c>
      <c r="J74" s="19">
        <v>0</v>
      </c>
      <c r="K74" s="8" t="s">
        <v>258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72</v>
      </c>
      <c r="B75" s="18">
        <v>50259</v>
      </c>
      <c r="C75" s="19">
        <v>0</v>
      </c>
      <c r="D75" s="8" t="s">
        <v>259</v>
      </c>
      <c r="E75" s="20">
        <v>0</v>
      </c>
      <c r="F75" s="20">
        <v>8</v>
      </c>
      <c r="G75" s="8" t="s">
        <v>54</v>
      </c>
      <c r="H75" s="20">
        <v>8</v>
      </c>
      <c r="I75" s="8" t="s">
        <v>260</v>
      </c>
      <c r="J75" s="19">
        <v>0</v>
      </c>
      <c r="K75" s="8" t="s">
        <v>261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60</v>
      </c>
      <c r="B76" s="18">
        <v>50260</v>
      </c>
      <c r="C76" s="19">
        <v>0</v>
      </c>
      <c r="D76" s="8" t="s">
        <v>141</v>
      </c>
      <c r="E76" s="20">
        <v>0</v>
      </c>
      <c r="F76" s="20">
        <v>1</v>
      </c>
      <c r="G76" s="8" t="s">
        <v>54</v>
      </c>
      <c r="H76" s="20">
        <v>1</v>
      </c>
      <c r="I76" s="8" t="s">
        <v>142</v>
      </c>
      <c r="J76" s="19">
        <v>0</v>
      </c>
      <c r="K76" s="8" t="s">
        <v>143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72</v>
      </c>
      <c r="B77" s="18">
        <v>50261</v>
      </c>
      <c r="C77" s="19">
        <v>0</v>
      </c>
      <c r="D77" s="8" t="s">
        <v>144</v>
      </c>
      <c r="E77" s="20">
        <v>0</v>
      </c>
      <c r="F77" s="20">
        <v>1</v>
      </c>
      <c r="G77" s="8" t="s">
        <v>54</v>
      </c>
      <c r="H77" s="20">
        <v>1</v>
      </c>
      <c r="I77" s="8" t="s">
        <v>145</v>
      </c>
      <c r="J77" s="19">
        <v>0</v>
      </c>
      <c r="K77" s="8" t="s">
        <v>146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53</v>
      </c>
      <c r="B78" s="18">
        <v>50262</v>
      </c>
      <c r="C78" s="19">
        <v>0</v>
      </c>
      <c r="D78" s="8" t="s">
        <v>147</v>
      </c>
      <c r="E78" s="20">
        <v>0</v>
      </c>
      <c r="F78" s="20">
        <v>0</v>
      </c>
      <c r="G78" s="8" t="s">
        <v>54</v>
      </c>
      <c r="H78" s="20">
        <v>0</v>
      </c>
      <c r="I78" s="8" t="s">
        <v>148</v>
      </c>
      <c r="J78" s="19">
        <v>0</v>
      </c>
      <c r="K78" s="8" t="s">
        <v>149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131</v>
      </c>
      <c r="B79" s="18">
        <v>50263</v>
      </c>
      <c r="C79" s="19">
        <v>0</v>
      </c>
      <c r="D79" s="8" t="s">
        <v>150</v>
      </c>
      <c r="E79" s="20">
        <v>0</v>
      </c>
      <c r="F79" s="20">
        <v>2</v>
      </c>
      <c r="G79" s="8" t="s">
        <v>54</v>
      </c>
      <c r="H79" s="20">
        <v>2</v>
      </c>
      <c r="I79" s="8" t="s">
        <v>151</v>
      </c>
      <c r="J79" s="19">
        <v>0</v>
      </c>
      <c r="K79" s="8" t="s">
        <v>152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60</v>
      </c>
      <c r="B80" s="18">
        <v>50264</v>
      </c>
      <c r="C80" s="19">
        <v>0</v>
      </c>
      <c r="D80" s="8" t="s">
        <v>153</v>
      </c>
      <c r="E80" s="20">
        <v>0</v>
      </c>
      <c r="F80" s="20">
        <v>24</v>
      </c>
      <c r="G80" s="8" t="s">
        <v>54</v>
      </c>
      <c r="H80" s="20">
        <v>24</v>
      </c>
      <c r="I80" s="8" t="s">
        <v>154</v>
      </c>
      <c r="J80" s="19">
        <v>0</v>
      </c>
      <c r="K80" s="8" t="s">
        <v>155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53</v>
      </c>
      <c r="B81" s="18">
        <v>50265</v>
      </c>
      <c r="C81" s="19">
        <v>0</v>
      </c>
      <c r="D81" s="8" t="s">
        <v>156</v>
      </c>
      <c r="E81" s="20">
        <v>0</v>
      </c>
      <c r="F81" s="20">
        <v>0</v>
      </c>
      <c r="G81" s="8" t="s">
        <v>54</v>
      </c>
      <c r="H81" s="20">
        <v>0</v>
      </c>
      <c r="I81" s="8" t="s">
        <v>157</v>
      </c>
      <c r="J81" s="19">
        <v>0</v>
      </c>
      <c r="K81" s="8" t="s">
        <v>156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131</v>
      </c>
      <c r="B82" s="18">
        <v>50266</v>
      </c>
      <c r="C82" s="19">
        <v>0</v>
      </c>
      <c r="D82" s="8" t="s">
        <v>262</v>
      </c>
      <c r="E82" s="20">
        <v>0</v>
      </c>
      <c r="F82" s="20">
        <v>2</v>
      </c>
      <c r="G82" s="8" t="s">
        <v>54</v>
      </c>
      <c r="H82" s="20">
        <v>2</v>
      </c>
      <c r="I82" s="8" t="s">
        <v>263</v>
      </c>
      <c r="J82" s="19">
        <v>0</v>
      </c>
      <c r="K82" s="8" t="s">
        <v>264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50267</v>
      </c>
      <c r="C83" s="19">
        <v>0</v>
      </c>
      <c r="D83" s="8" t="s">
        <v>265</v>
      </c>
      <c r="E83" s="20">
        <v>0</v>
      </c>
      <c r="F83" s="20">
        <v>0</v>
      </c>
      <c r="G83" s="8" t="s">
        <v>54</v>
      </c>
      <c r="H83" s="20">
        <v>0</v>
      </c>
      <c r="I83" s="8" t="s">
        <v>266</v>
      </c>
      <c r="J83" s="19">
        <v>0</v>
      </c>
      <c r="K83" s="8" t="s">
        <v>265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53</v>
      </c>
      <c r="B84" s="18">
        <v>50268</v>
      </c>
      <c r="C84" s="19">
        <v>0</v>
      </c>
      <c r="D84" s="8" t="s">
        <v>267</v>
      </c>
      <c r="E84" s="20">
        <v>0</v>
      </c>
      <c r="F84" s="20">
        <v>0</v>
      </c>
      <c r="G84" s="8" t="s">
        <v>54</v>
      </c>
      <c r="H84" s="20">
        <v>0</v>
      </c>
      <c r="I84" s="8" t="s">
        <v>268</v>
      </c>
      <c r="J84" s="19">
        <v>0</v>
      </c>
      <c r="K84" s="8" t="s">
        <v>267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60</v>
      </c>
      <c r="B85" s="18">
        <v>50269</v>
      </c>
      <c r="C85" s="19">
        <v>0</v>
      </c>
      <c r="D85" s="8" t="s">
        <v>61</v>
      </c>
      <c r="E85" s="20">
        <v>0</v>
      </c>
      <c r="F85" s="20">
        <v>8</v>
      </c>
      <c r="G85" s="8" t="s">
        <v>54</v>
      </c>
      <c r="H85" s="20">
        <v>8</v>
      </c>
      <c r="I85" s="8" t="s">
        <v>62</v>
      </c>
      <c r="J85" s="19">
        <v>0</v>
      </c>
      <c r="K85" s="8" t="s">
        <v>158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60</v>
      </c>
      <c r="B86" s="18">
        <v>50270</v>
      </c>
      <c r="C86" s="19">
        <v>0</v>
      </c>
      <c r="D86" s="8" t="s">
        <v>269</v>
      </c>
      <c r="E86" s="20">
        <v>0</v>
      </c>
      <c r="F86" s="20">
        <v>2</v>
      </c>
      <c r="G86" s="8" t="s">
        <v>54</v>
      </c>
      <c r="H86" s="20">
        <v>2</v>
      </c>
      <c r="I86" s="8" t="s">
        <v>270</v>
      </c>
      <c r="J86" s="19">
        <v>0</v>
      </c>
      <c r="K86" s="8" t="s">
        <v>271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53</v>
      </c>
      <c r="B87" s="18">
        <v>50271</v>
      </c>
      <c r="C87" s="19">
        <v>0</v>
      </c>
      <c r="D87" s="8" t="s">
        <v>63</v>
      </c>
      <c r="E87" s="20">
        <v>0</v>
      </c>
      <c r="F87" s="20">
        <v>0</v>
      </c>
      <c r="G87" s="8" t="s">
        <v>54</v>
      </c>
      <c r="H87" s="20">
        <v>0</v>
      </c>
      <c r="I87" s="8" t="s">
        <v>64</v>
      </c>
      <c r="J87" s="19">
        <v>0</v>
      </c>
      <c r="K87" s="8" t="s">
        <v>65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66</v>
      </c>
      <c r="B88" s="18">
        <v>50272</v>
      </c>
      <c r="C88" s="19">
        <v>0</v>
      </c>
      <c r="D88" s="8" t="s">
        <v>67</v>
      </c>
      <c r="E88" s="20">
        <v>0</v>
      </c>
      <c r="F88" s="20">
        <v>8</v>
      </c>
      <c r="G88" s="8" t="s">
        <v>54</v>
      </c>
      <c r="H88" s="20">
        <v>8</v>
      </c>
      <c r="I88" s="8" t="s">
        <v>68</v>
      </c>
      <c r="J88" s="19">
        <v>0</v>
      </c>
      <c r="K88" s="8" t="s">
        <v>69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166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13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18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35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25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ROLL (11) REPADS &amp; WELDMENT PADS FOR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.175</v>
      </c>
      <c r="C80" s="40" t="str">
        <f>'Build Plan w Hours'!D20</f>
        <v>Build and weld base ring - skirt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8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.180</v>
      </c>
      <c r="C86" s="40" t="str">
        <f>'Build Plan w Hours'!D21</f>
        <v>Skirt: bring in plate, square, trim and clean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.185</v>
      </c>
      <c r="C92" s="40" t="str">
        <f>'Build Plan w Hours'!D22</f>
        <v>Roll skirt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4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.200</v>
      </c>
      <c r="C98" s="40" t="str">
        <f>'Build Plan w Hours'!D23</f>
        <v>Make lift lugs, ground lugs,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.225</v>
      </c>
      <c r="C104" s="40" t="str">
        <f>'Build Plan w Hours'!D24</f>
        <v>Cut and make baffle supports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.230</v>
      </c>
      <c r="C110" s="40" t="str">
        <f>'Build Plan w Hours'!D25</f>
        <v>Build baffles 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36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.252</v>
      </c>
      <c r="C116" s="40" t="str">
        <f>'Build Plan w Hours'!D26</f>
        <v>Fabricate miscellaneous parts_x000D_
ROLL (3) SKIRT OPENINGS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.272</v>
      </c>
      <c r="C122" s="40" t="str">
        <f>'Build Plan w Hours'!D27</f>
        <v>Cut/Build parts for handrail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8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.275</v>
      </c>
      <c r="C128" s="40" t="str">
        <f>'Build Plan w Hours'!D28</f>
        <v>Roll handrail pipe_x000D_
***NOTE EXTRA MID RAIL***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4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.280</v>
      </c>
      <c r="C134" s="40" t="str">
        <f>'Build Plan w Hours'!D29</f>
        <v>Roll handrail toe plate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.282</v>
      </c>
      <c r="C140" s="40" t="str">
        <f>'Build Plan w Hours'!D30</f>
        <v>Build handrail - weld out_x000D_
***NOTE EXTRA MID RAIL***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32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.300</v>
      </c>
      <c r="C146" s="40" t="str">
        <f>'Build Plan w Hours'!D31</f>
        <v>Wrap top and bottom heads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.QC3</v>
      </c>
      <c r="C152" s="40" t="str">
        <f>'Build Plan w Hours'!D32</f>
        <v>UT Shells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.305</v>
      </c>
      <c r="C158" s="40" t="str">
        <f>'Build Plan w Hours'!D33</f>
        <v>Shells: bring in plate, square, trim and clean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20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.310</v>
      </c>
      <c r="C164" s="40" t="str">
        <f>'Build Plan w Hours'!D34</f>
        <v>Bevel shell plates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24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16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.QC4</v>
      </c>
      <c r="C176" s="40" t="str">
        <f>'Build Plan w Hours'!D36</f>
        <v>QC Inspection - Top/Bottom/Cones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.355</v>
      </c>
      <c r="C182" s="40" t="str">
        <f>'Build Plan w Hours'!D37</f>
        <v>Lay out top head, burn and clean holes_x000D_
INCL PREP HOLES FOR FULL PEN WELDS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20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.365</v>
      </c>
      <c r="C188" s="40" t="str">
        <f>'Build Plan w Hours'!D38</f>
        <v>Set  nozzles, lift lugs, etc. in top head -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.366</v>
      </c>
      <c r="C194" s="40" t="str">
        <f>'Build Plan w Hours'!D39</f>
        <v>Weld out top head nozzles, etc. _x000D_
INCL (4) LIFT LUGS AND (2) 12"X12" PADS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32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.370</v>
      </c>
      <c r="C200" s="40" t="str">
        <f>'Build Plan w Hours'!D40</f>
        <v>Install and weld out repads - top head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stiffeners_x000D_
(4) GUSSETS &amp; (4) STIFFENERS.  WELD COMPLETE.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14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.QC4</v>
      </c>
      <c r="C212" s="40" t="str">
        <f>'Build Plan w Hours'!D42</f>
        <v>QC Inspection - Top/Bottom/Cones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.455</v>
      </c>
      <c r="C218" s="40" t="str">
        <f>'Build Plan w Hours'!D43</f>
        <v>Lay out bottom head, burn and clean holes_x000D_
INCL PREP FOR FULL PEN WELD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6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.465</v>
      </c>
      <c r="C224" s="40" t="str">
        <f>'Build Plan w Hours'!D44</f>
        <v>Set  nozzles in bottom head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.466</v>
      </c>
      <c r="C230" s="40" t="str">
        <f>'Build Plan w Hours'!D45</f>
        <v>Weld nozzles in bottom head; weld complete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7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.470</v>
      </c>
      <c r="C236" s="40" t="str">
        <f>'Build Plan w Hours'!D46</f>
        <v>Install and weld out repads - bottom head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.510</v>
      </c>
      <c r="C242" s="40" t="str">
        <f>'Build Plan w Hours'!D47</f>
        <v>Build skirt; fit base ring to shell and weld_x000D_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8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.520</v>
      </c>
      <c r="C248" s="40" t="str">
        <f>'Build Plan w Hours'!D48</f>
        <v>Lay out skirt, burn and clean holes_x000D_
CUT HOLES ON BURN TABLE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.530</v>
      </c>
      <c r="C254" s="40" t="str">
        <f>'Build Plan w Hours'!D49</f>
        <v>Build skirt - fit anchors / gussets_x000D_
AND WELD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18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.540</v>
      </c>
      <c r="C260" s="40" t="str">
        <f>'Build Plan w Hours'!D50</f>
        <v>Set  nozzles / manway in skirt - tack_x000D_
INSTALL (7) SKIRT OPENINGS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14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.600</v>
      </c>
      <c r="C266" s="40" t="str">
        <f>'Build Plan w Hours'!D51</f>
        <v>Fit bottom head to shell_x000D_
AND WELD INSIDE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10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.605</v>
      </c>
      <c r="C272" s="40" t="str">
        <f>'Build Plan w Hours'!D52</f>
        <v>Tack shell courses together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20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.610</v>
      </c>
      <c r="C278" s="40" t="str">
        <f>'Build Plan w Hours'!D53</f>
        <v>Weld inside round seams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20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.620</v>
      </c>
      <c r="C284" s="40" t="str">
        <f>'Build Plan w Hours'!D54</f>
        <v>Lay out shell, burn and clean holes_x000D_
PREP FOR FULL PEN WELDS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16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.625</v>
      </c>
      <c r="C290" s="40" t="str">
        <f>'Build Plan w Hours'!D55</f>
        <v>Install baffles and weld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20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.QC5</v>
      </c>
      <c r="C296" s="40" t="str">
        <f>'Build Plan w Hours'!D56</f>
        <v>QC Inspection -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.640</v>
      </c>
      <c r="C302" s="40" t="str">
        <f>'Build Plan w Hours'!D57</f>
        <v>Fit top head to shell - tack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4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.641</v>
      </c>
      <c r="C308" s="40" t="str">
        <f>'Build Plan w Hours'!D58</f>
        <v>Weld top head to shell - inside_x000D_
INCL HOLE WATCH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14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.645</v>
      </c>
      <c r="C314" s="40" t="str">
        <f>'Build Plan w Hours'!D59</f>
        <v>Weld all outside seams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40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.800</v>
      </c>
      <c r="C320" s="40" t="str">
        <f>'Build Plan w Hours'!D60</f>
        <v>Move tank to detail rolls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2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.720</v>
      </c>
      <c r="C326" s="40" t="str">
        <f>'Build Plan w Hours'!D61</f>
        <v>Install supports - legs, lugs, anchors, saddles, skirt_x000D_
INSTALL SKIRT &amp; WELD TO BOTTOM HEAD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24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10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HOLE WATCH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20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.730</v>
      </c>
      <c r="C344" s="40" t="str">
        <f>'Build Plan w Hours'!D64</f>
        <v>Add repads and weld_x000D_
(4) WELDMENT PADS; (5) LADDER CLIPS; (2) PLATFORM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33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.750</v>
      </c>
      <c r="C350" s="40" t="str">
        <f>'Build Plan w Hours'!D65</f>
        <v>Fit handrail - install and weld clips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8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.765</v>
      </c>
      <c r="C356" s="40" t="str">
        <f>'Build Plan w Hours'!D66</f>
        <v>Install name tag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 t="str">
        <f>'Build Plan w Hours'!C67</f>
        <v>.770</v>
      </c>
      <c r="C362" s="40" t="str">
        <f>'Build Plan w Hours'!D67</f>
        <v>Inspect tank, make repairs, get QC inspector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1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 t="str">
        <f>'Build Plan w Hours'!C68</f>
        <v>.QC6</v>
      </c>
      <c r="C368" s="40" t="str">
        <f>'Build Plan w Hours'!D68</f>
        <v>QC Inspection - Fabrication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 t="str">
        <f>'Build Plan w Hours'!C69</f>
        <v>.801</v>
      </c>
      <c r="C374" s="40" t="str">
        <f>'Build Plan w Hours'!D69</f>
        <v>Move to shop test area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 t="str">
        <f>'Build Plan w Hours'!C70</f>
        <v>.910</v>
      </c>
      <c r="C380" s="40" t="str">
        <f>'Build Plan w Hours'!D70</f>
        <v>Test tank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24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 t="str">
        <f>'Build Plan w Hours'!C71</f>
        <v>.QC7</v>
      </c>
      <c r="C386" s="40" t="str">
        <f>'Build Plan w Hours'!D71</f>
        <v>QC Inspection - Test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.802</v>
      </c>
      <c r="C392" s="40" t="str">
        <f>'Build Plan w Hours'!D72</f>
        <v>Move to paint area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2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 t="str">
        <f>'Build Plan w Hours'!C73</f>
        <v>.QC9</v>
      </c>
      <c r="C398" s="40" t="str">
        <f>'Build Plan w Hours'!D73</f>
        <v>QC Inspection - Sandblast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 t="str">
        <f>'Build Plan w Hours'!C74</f>
        <v>.QC90</v>
      </c>
      <c r="C404" s="40" t="str">
        <f>'Build Plan w Hours'!D74</f>
        <v>QC Inspection - Paint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.940</v>
      </c>
      <c r="C410" s="40" t="str">
        <f>'Build Plan w Hours'!D75</f>
        <v>Prepare tank for shipment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8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.950</v>
      </c>
      <c r="C416" s="40" t="str">
        <f>'Build Plan w Hours'!D76</f>
        <v>Check bill of materials and pack loose parts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2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 t="str">
        <f>'Build Plan w Hours'!C77</f>
        <v>.QC95</v>
      </c>
      <c r="C422" s="40" t="str">
        <f>'Build Plan w Hours'!D77</f>
        <v>QC Inspection - Final &amp; Loose Items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 t="str">
        <f>'Build Plan w Hours'!C78</f>
        <v>.960</v>
      </c>
      <c r="C428" s="40" t="str">
        <f>'Build Plan w Hours'!D78</f>
        <v>Load on truck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8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055-24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055-24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055-24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055-24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055-24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055-24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055-24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055-24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055-24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055-24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055-24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055-24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055-24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ROLL (11) REPADS &amp; WELDMENT PADS FOR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055-24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.175</v>
      </c>
      <c r="C80" s="40" t="str">
        <f>'Build Plan w Hours'!D20</f>
        <v>Build and weld base ring - skirt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055-24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.180</v>
      </c>
      <c r="C86" s="40" t="str">
        <f>'Build Plan w Hours'!D21</f>
        <v>Skirt: bring in plate, square, trim and clean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055-24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.185</v>
      </c>
      <c r="C92" s="40" t="str">
        <f>'Build Plan w Hours'!D22</f>
        <v>Roll skirt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055-24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.200</v>
      </c>
      <c r="C98" s="40" t="str">
        <f>'Build Plan w Hours'!D23</f>
        <v>Make lift lugs, ground lugs,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055-24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.225</v>
      </c>
      <c r="C104" s="40" t="str">
        <f>'Build Plan w Hours'!D24</f>
        <v>Cut and make baffle supports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055-24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.230</v>
      </c>
      <c r="C110" s="40" t="str">
        <f>'Build Plan w Hours'!D25</f>
        <v>Build baffles 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055-24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.252</v>
      </c>
      <c r="C116" s="40" t="str">
        <f>'Build Plan w Hours'!D26</f>
        <v>Fabricate miscellaneous parts_x000D_
ROLL (3) SKIRT OPENINGS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055-24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.272</v>
      </c>
      <c r="C122" s="40" t="str">
        <f>'Build Plan w Hours'!D27</f>
        <v>Cut/Build parts for handrail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055-24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.275</v>
      </c>
      <c r="C128" s="40" t="str">
        <f>'Build Plan w Hours'!D28</f>
        <v>Roll handrail pipe_x000D_
***NOTE EXTRA MID RAIL***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055-24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.280</v>
      </c>
      <c r="C134" s="40" t="str">
        <f>'Build Plan w Hours'!D29</f>
        <v>Roll handrail toe plate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055-24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.282</v>
      </c>
      <c r="C140" s="40" t="str">
        <f>'Build Plan w Hours'!D30</f>
        <v>Build handrail - weld out_x000D_
***NOTE EXTRA MID RAIL***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055-24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.300</v>
      </c>
      <c r="C146" s="40" t="str">
        <f>'Build Plan w Hours'!D31</f>
        <v>Wrap top and bottom heads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055-24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.QC3</v>
      </c>
      <c r="C152" s="40" t="str">
        <f>'Build Plan w Hours'!D32</f>
        <v>UT Shells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055-24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.305</v>
      </c>
      <c r="C158" s="40" t="str">
        <f>'Build Plan w Hours'!D33</f>
        <v>Shells: bring in plate, square, trim and clean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055-24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.310</v>
      </c>
      <c r="C164" s="40" t="str">
        <f>'Build Plan w Hours'!D34</f>
        <v>Bevel shell plates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055-24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055-24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.QC4</v>
      </c>
      <c r="C176" s="40" t="str">
        <f>'Build Plan w Hours'!D36</f>
        <v>QC Inspection - Top/Bottom/Cones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055-24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.355</v>
      </c>
      <c r="C182" s="40" t="str">
        <f>'Build Plan w Hours'!D37</f>
        <v>Lay out top head, burn and clean holes_x000D_
INCL PREP HOLES FOR FULL PEN WELDS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055-24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.365</v>
      </c>
      <c r="C188" s="40" t="str">
        <f>'Build Plan w Hours'!D38</f>
        <v>Set  nozzles, lift lugs, etc. in top head -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055-24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.366</v>
      </c>
      <c r="C194" s="40" t="str">
        <f>'Build Plan w Hours'!D39</f>
        <v>Weld out top head nozzles, etc. _x000D_
INCL (4) LIFT LUGS AND (2) 12"X12" PADS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055-24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.370</v>
      </c>
      <c r="C200" s="40" t="str">
        <f>'Build Plan w Hours'!D40</f>
        <v>Install and weld out repads - top head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055-24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stiffeners_x000D_
(4) GUSSETS &amp; (4) STIFFENERS.  WELD COMPLETE.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055-24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.QC4</v>
      </c>
      <c r="C212" s="40" t="str">
        <f>'Build Plan w Hours'!D42</f>
        <v>QC Inspection - Top/Bottom/Cones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055-24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.455</v>
      </c>
      <c r="C218" s="40" t="str">
        <f>'Build Plan w Hours'!D43</f>
        <v>Lay out bottom head, burn and clean holes_x000D_
INCL PREP FOR FULL PEN WELD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055-24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.465</v>
      </c>
      <c r="C224" s="40" t="str">
        <f>'Build Plan w Hours'!D44</f>
        <v>Set  nozzles in bottom head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055-24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.466</v>
      </c>
      <c r="C230" s="40" t="str">
        <f>'Build Plan w Hours'!D45</f>
        <v>Weld nozzles in bottom head; weld complete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055-24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.470</v>
      </c>
      <c r="C236" s="40" t="str">
        <f>'Build Plan w Hours'!D46</f>
        <v>Install and weld out repads - bottom head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055-24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.510</v>
      </c>
      <c r="C242" s="40" t="str">
        <f>'Build Plan w Hours'!D47</f>
        <v>Build skirt; fit base ring to shell and weld_x000D_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055-24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.520</v>
      </c>
      <c r="C248" s="40" t="str">
        <f>'Build Plan w Hours'!D48</f>
        <v>Lay out skirt, burn and clean holes_x000D_
CUT HOLES ON BURN TABLE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055-24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.530</v>
      </c>
      <c r="C254" s="40" t="str">
        <f>'Build Plan w Hours'!D49</f>
        <v>Build skirt - fit anchors / gussets_x000D_
AND WELD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055-24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.540</v>
      </c>
      <c r="C260" s="40" t="str">
        <f>'Build Plan w Hours'!D50</f>
        <v>Set  nozzles / manway in skirt - tack_x000D_
INSTALL (7) SKIRT OPENINGS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055-24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.600</v>
      </c>
      <c r="C266" s="40" t="str">
        <f>'Build Plan w Hours'!D51</f>
        <v>Fit bottom head to shell_x000D_
AND WELD INSIDE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055-24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.605</v>
      </c>
      <c r="C272" s="40" t="str">
        <f>'Build Plan w Hours'!D52</f>
        <v>Tack shell courses together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055-24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.610</v>
      </c>
      <c r="C278" s="40" t="str">
        <f>'Build Plan w Hours'!D53</f>
        <v>Weld inside round seams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055-24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.620</v>
      </c>
      <c r="C284" s="40" t="str">
        <f>'Build Plan w Hours'!D54</f>
        <v>Lay out shell, burn and clean holes_x000D_
PREP FOR FULL PEN WELDS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055-24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.625</v>
      </c>
      <c r="C290" s="40" t="str">
        <f>'Build Plan w Hours'!D55</f>
        <v>Install baffles and weld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055-24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.QC5</v>
      </c>
      <c r="C296" s="40" t="str">
        <f>'Build Plan w Hours'!D56</f>
        <v>QC Inspection -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055-24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.640</v>
      </c>
      <c r="C302" s="40" t="str">
        <f>'Build Plan w Hours'!D57</f>
        <v>Fit top head to shell - tack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055-24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.641</v>
      </c>
      <c r="C308" s="40" t="str">
        <f>'Build Plan w Hours'!D58</f>
        <v>Weld top head to shell - inside_x000D_
INCL HOLE WATCH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055-24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.645</v>
      </c>
      <c r="C314" s="40" t="str">
        <f>'Build Plan w Hours'!D59</f>
        <v>Weld all outside seams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055-24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.800</v>
      </c>
      <c r="C320" s="40" t="str">
        <f>'Build Plan w Hours'!D60</f>
        <v>Move tank to detail rolls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055-24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.720</v>
      </c>
      <c r="C326" s="40" t="str">
        <f>'Build Plan w Hours'!D61</f>
        <v>Install supports - legs, lugs, anchors, saddles, skirt_x000D_
INSTALL SKIRT &amp; WELD TO BOTTOM HEAD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055-24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055-24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HOLE WATCH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055-24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.730</v>
      </c>
      <c r="C344" s="40" t="str">
        <f>'Build Plan w Hours'!D64</f>
        <v>Add repads and weld_x000D_
(4) WELDMENT PADS; (5) LADDER CLIPS; (2) PLATFORM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055-24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.750</v>
      </c>
      <c r="C350" s="40" t="str">
        <f>'Build Plan w Hours'!D65</f>
        <v>Fit handrail - install and weld clips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055-24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.765</v>
      </c>
      <c r="C356" s="40" t="str">
        <f>'Build Plan w Hours'!D66</f>
        <v>Install name tag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055-24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 t="str">
        <f>'Build Plan w Hours'!C67</f>
        <v>.770</v>
      </c>
      <c r="C362" s="40" t="str">
        <f>'Build Plan w Hours'!D67</f>
        <v>Inspect tank, make repairs, get QC inspector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055-24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 t="str">
        <f>'Build Plan w Hours'!C68</f>
        <v>.QC6</v>
      </c>
      <c r="C368" s="40" t="str">
        <f>'Build Plan w Hours'!D68</f>
        <v>QC Inspection - Fabrication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055-24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 t="str">
        <f>'Build Plan w Hours'!C69</f>
        <v>.801</v>
      </c>
      <c r="C374" s="40" t="str">
        <f>'Build Plan w Hours'!D69</f>
        <v>Move to shop test area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055-24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 t="str">
        <f>'Build Plan w Hours'!C70</f>
        <v>.910</v>
      </c>
      <c r="C380" s="40" t="str">
        <f>'Build Plan w Hours'!D70</f>
        <v>Test tank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055-24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 t="str">
        <f>'Build Plan w Hours'!C71</f>
        <v>.QC7</v>
      </c>
      <c r="C386" s="40" t="str">
        <f>'Build Plan w Hours'!D71</f>
        <v>QC Inspection - Test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055-24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.802</v>
      </c>
      <c r="C392" s="40" t="str">
        <f>'Build Plan w Hours'!D72</f>
        <v>Move to paint area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055-24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 t="str">
        <f>'Build Plan w Hours'!C73</f>
        <v>.QC9</v>
      </c>
      <c r="C398" s="40" t="str">
        <f>'Build Plan w Hours'!D73</f>
        <v>QC Inspection - Sandblast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055-24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 t="str">
        <f>'Build Plan w Hours'!C74</f>
        <v>.QC90</v>
      </c>
      <c r="C404" s="40" t="str">
        <f>'Build Plan w Hours'!D74</f>
        <v>QC Inspection - Paint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055-24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.940</v>
      </c>
      <c r="C410" s="40" t="str">
        <f>'Build Plan w Hours'!D75</f>
        <v>Prepare tank for shipment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055-24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.950</v>
      </c>
      <c r="C416" s="40" t="str">
        <f>'Build Plan w Hours'!D76</f>
        <v>Check bill of materials and pack loose parts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055-24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 t="str">
        <f>'Build Plan w Hours'!C77</f>
        <v>.QC95</v>
      </c>
      <c r="C422" s="40" t="str">
        <f>'Build Plan w Hours'!D77</f>
        <v>QC Inspection - Final &amp; Loose Items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055-24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 t="str">
        <f>'Build Plan w Hours'!C78</f>
        <v>.960</v>
      </c>
      <c r="C428" s="40" t="str">
        <f>'Build Plan w Hours'!D78</f>
        <v>Load on truck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055-24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055-24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055-24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055-24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055-24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055-24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055-24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055-24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055-24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055-24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2024-11-05T19:19:35Z</cp:lastPrinted>
  <dcterms:created xsi:type="dcterms:W3CDTF">2016-06-28T20:53:17Z</dcterms:created>
  <dcterms:modified xsi:type="dcterms:W3CDTF">2024-11-05T19:20:08Z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