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4-25 - Irving Tissue - TAD Seal Pot\"/>
    </mc:Choice>
  </mc:AlternateContent>
  <xr:revisionPtr revIDLastSave="0" documentId="8_{098C2760-6D63-44BE-9E52-2729F585640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<sst xmlns="http://schemas.openxmlformats.org/spreadsheetml/2006/main" count="1606" uniqueCount="175">
  <si>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</si>
  <si>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</si>
  <si>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</si>
  <si>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</si>
  <si>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</si>
  <si>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</si>
  <si>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</si>
  <si>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</si>
  <si>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</si>
  <si>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</si>
  <si>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</si>
  <si>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</si>
  <si>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</si>
  <si>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</si>
  <si>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</si>
  <si>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</si>
  <si>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</si>
  <si>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</si>
  <si>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</si>
  <si>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</si>
  <si>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</si>
  <si>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</si>
  <si>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</si>
  <si>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</si>
  <si>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</si>
  <si>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</si>
  <si>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</si>
  <si>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</si>
  <si>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</si>
  <si>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</si>
  <si>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</si>
  <si>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</si>
  <si>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</si>
  <si>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</si>
  <si>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</si>
  <si>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</si>
  <si>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</si>
  <si>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</si>
  <si>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</si>
  <si>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</si>
  <si>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</si>
  <si>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</si>
  <si>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</si>
  <si>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</si>
  <si>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</si>
  <si>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</si>
  <si>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</si>
  <si>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</si>
  <si>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</si>
  <si>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</si>
  <si>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</si>
  <si>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</si>
  <si>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</si>
  <si>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</si>
  <si>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</si>
  <si>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</si>
  <si>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</si>
  <si>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</si>
  <si>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</si>
  <si>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</si>
  <si>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</si>
  <si>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</si>
  <si>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</si>
  <si>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</si>
  <si>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</si>
  <si>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</si>
  <si>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</si>
  <si>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</si>
  <si>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</si>
  <si>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</si>
  <si>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</si>
  <si>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</si>
  <si>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</si>
  <si>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</si>
  <si>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</si>
  <si>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</si>
  <si>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</si>
  <si>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</si>
  <si>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</si>
  <si>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</si>
  <si>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</si>
  <si>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</si>
  <si>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</si>
  <si>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</si>
  <si>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</si>
  <si>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</si>
  <si>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</si>
  <si>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</si>
  <si>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</si>
  <si>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</si>
  <si>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</si>
  <si>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</si>
  <si>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</si>
  <si>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</si>
  <si>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</si>
  <si>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</si>
  <si>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</si>
  <si>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</si>
  <si>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</si>
  <si>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</si>
  <si>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</si>
  <si>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</si>
  <si>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</si>
  <si>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</si>
  <si>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</si>
  <si>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</si>
  <si>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</si>
  <si>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</si>
  <si>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</si>
  <si>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</si>
  <si>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</si>
  <si>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</si>
  <si>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</si>
  <si>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</si>
  <si>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</si>
  <si>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</si>
  <si>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</si>
  <si>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</si>
  <si>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</si>
  <si>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</si>
  <si>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</si>
  <si>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</si>
  <si>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</si>
  <si>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</si>
  <si>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</si>
  <si>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</si>
  <si>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</si>
  <si>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</si>
  <si>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</si>
  <si>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</si>
  <si>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</si>
  <si>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</si>
  <si>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</si>
  <si>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</si>
  <si>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</si>
  <si>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</si>
  <si>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</si>
  <si>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</si>
  <si>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</si>
  <si>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</si>
  <si>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20615990 OP</t>
  </si>
  <si>
    <t>9032.4</t>
  </si>
  <si>
    <t>Cut Parts on Burn Table</t>
  </si>
  <si>
    <t>Clean &amp; Prep Parts</t>
  </si>
  <si>
    <t>.156</t>
  </si>
  <si>
    <t>Misc Fabrication</t>
  </si>
  <si>
    <t>.261</t>
  </si>
  <si>
    <t>Build bottom head/cone</t>
  </si>
  <si>
    <t>Weld all Outside Seams</t>
  </si>
  <si>
    <t>.645</t>
  </si>
  <si>
    <t>Weld all outside seams</t>
  </si>
  <si>
    <t>Weld rings, lugs, suppts</t>
  </si>
  <si>
    <t>.721</t>
  </si>
  <si>
    <t>TAD SEAL POT</t>
  </si>
  <si>
    <t>10.000</t>
  </si>
  <si>
    <t>Build nozzles and weld_x000D_
N2 ONLY</t>
  </si>
  <si>
    <t>Make lift lugs, ground lugs, etc.</t>
  </si>
  <si>
    <t>Roll rim angle_x000D_
TOP &amp; BOTTOM ANGLES</t>
  </si>
  <si>
    <t>Miscellaneous Fabrication - Braces, Mounting Plates, Cone Outlet Necks_x000D_
BUILD N1</t>
  </si>
  <si>
    <t>Shells: bring in plate, square, trim and clean</t>
  </si>
  <si>
    <t>Roll shells, tack and weld inside seams_x000D_
INCL WELD OUTSIDE LONG SEAM 2/COBOT OR BY HAND</t>
  </si>
  <si>
    <t>Fit bottom head to shell_x000D_
AND WELD INSIDE AND OUTSIDE</t>
  </si>
  <si>
    <t>Install rim angle - tack only_x000D_
FIT TOP RIM ANGLE</t>
  </si>
  <si>
    <t>Lay out shell, burn and clean holes</t>
  </si>
  <si>
    <t>Install lift lugs on shell</t>
  </si>
  <si>
    <t>Install supports - legs, lugs, anchors, saddles, skirt_x000D_
FIT BOTTOM SUPPORT ANGLE</t>
  </si>
  <si>
    <t>Weld insulation / vacuum rings, lugs, supports, etc._x000D_
WELD BOTTOM SUPPORT ANGLE</t>
  </si>
  <si>
    <t>Set nozzles in shell - tack</t>
  </si>
  <si>
    <t>Weld shell nozzles, manways, etc.</t>
  </si>
  <si>
    <t>UT Components</t>
  </si>
  <si>
    <t>.QC51</t>
  </si>
  <si>
    <t>Prepare Tank for Shipment</t>
  </si>
  <si>
    <t>.940</t>
  </si>
  <si>
    <t>Prepare tank for shipment</t>
  </si>
  <si>
    <t>034-25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</si>
</sst>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N2 ONLY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TOP &amp; BOTTOM ANGLES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.261</v>
      </c>
      <c r="D15" s="22" t="str">
        <f>'Sheet2-PASTE HERE!'!K25</f>
        <v>Miscellaneous Fabrication - Braces, Mounting Plates, Cone Outlet Necks_x000D_
BUILD N1</v>
      </c>
      <c r="E15" s="13">
        <f>'Sheet2-PASTE HERE!'!F25</f>
        <v>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INCL WELD OUTSIDE LONG SEAM 2/COBOT OR BY HAND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.450</v>
      </c>
      <c r="D19" s="22" t="str">
        <f>'Sheet2-PASTE HERE!'!K29</f>
        <v>Build bottom head/cone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.600</v>
      </c>
      <c r="D21" s="22" t="str">
        <f>'Sheet2-PASTE HERE!'!K31</f>
        <v>Fit bottom head to shell_x000D_
AND WELD INSIDE AND OUTSIDE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.615</v>
      </c>
      <c r="D22" s="22" t="str">
        <f>'Sheet2-PASTE HERE!'!K32</f>
        <v>Install rim angle - tack only_x000D_
FIT TOP RIM ANGLE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.616</v>
      </c>
      <c r="D23" s="22" t="str">
        <f>'Sheet2-PASTE HERE!'!K33</f>
        <v>Weld rim angle complete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.620</v>
      </c>
      <c r="D24" s="22" t="str">
        <f>'Sheet2-PASTE HERE!'!K34</f>
        <v>Lay out shell, burn and clean holes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.QC5</v>
      </c>
      <c r="D25" s="22" t="str">
        <f>'Sheet2-PASTE HERE!'!K35</f>
        <v>QC Inspection - Internal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.645</v>
      </c>
      <c r="D26" s="22" t="str">
        <f>'Sheet2-PASTE HERE!'!K36</f>
        <v>Weld all outside seams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MOVE TANK</v>
      </c>
      <c r="B27" s="11"/>
      <c r="C27" s="17" t="str">
        <f>'Sheet2-PASTE HERE!'!I37</f>
        <v>.800</v>
      </c>
      <c r="D27" s="22" t="str">
        <f>'Sheet2-PASTE HERE!'!K37</f>
        <v>Move tank to detail rolls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.717</v>
      </c>
      <c r="D28" s="22" t="str">
        <f>'Sheet2-PASTE HERE!'!K38</f>
        <v>Install lift lugs on shell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.720</v>
      </c>
      <c r="D29" s="22" t="str">
        <f>'Sheet2-PASTE HERE!'!K39</f>
        <v>Install supports - legs, lugs, anchors, saddles, skirt_x000D_
FIT BOTTOM SUPPORT ANGLE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.721</v>
      </c>
      <c r="D30" s="22" t="str">
        <f>'Sheet2-PASTE HERE!'!K40</f>
        <v>Weld insulation / vacuum rings, lugs, supports, etc._x000D_
WELD BOTTOM SUPPORT ANGLE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.QC51</v>
      </c>
      <c r="D33" s="22" t="str">
        <f>'Sheet2-PASTE HERE!'!K43</f>
        <v>UT Components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.765</v>
      </c>
      <c r="D34" s="22" t="str">
        <f>'Sheet2-PASTE HERE!'!K44</f>
        <v>Install name tag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.770</v>
      </c>
      <c r="D35" s="22" t="str">
        <f>'Sheet2-PASTE HERE!'!K45</f>
        <v>Inspect tank, make repairs, get QC inspector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.QC6</v>
      </c>
      <c r="D36" s="22" t="str">
        <f>'Sheet2-PASTE HERE!'!K46</f>
        <v>QC Inspection - Fabrication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.801</v>
      </c>
      <c r="D37" s="22" t="str">
        <f>'Sheet2-PASTE HERE!'!K47</f>
        <v>Move to shop test area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.910</v>
      </c>
      <c r="D38" s="22" t="str">
        <f>'Sheet2-PASTE HERE!'!K48</f>
        <v>Test tank</v>
      </c>
      <c r="E38" s="13">
        <f>'Sheet2-PASTE HERE!'!F48</f>
        <v>3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.QC7</v>
      </c>
      <c r="D39" s="22" t="str">
        <f>'Sheet2-PASTE HERE!'!K49</f>
        <v>QC Inspection - Test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.920</v>
      </c>
      <c r="D40" s="22" t="str">
        <f>'Sheet2-PASTE HERE!'!K50</f>
        <v>Clean tank complete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.QC8</v>
      </c>
      <c r="D41" s="22" t="str">
        <f>'Sheet2-PASTE HERE!'!K51</f>
        <v>QC Inspection - Clean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.940</v>
      </c>
      <c r="D42" s="22" t="str">
        <f>'Sheet2-PASTE HERE!'!K52</f>
        <v>Prepare tank for shipment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.QC95</v>
      </c>
      <c r="D43" s="22" t="str">
        <f>'Sheet2-PASTE HERE!'!K53</f>
        <v>QC Inspection - Final &amp; Loose Items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SHIPPING</v>
      </c>
      <c r="B44" s="11"/>
      <c r="C44" s="17" t="str">
        <f>'Sheet2-PASTE HERE!'!I54</f>
        <v>.960</v>
      </c>
      <c r="D44" s="22" t="str">
        <f>'Sheet2-PASTE HERE!'!K54</f>
        <v>Load on truck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 t="str">
        <f>'Sheet2-PASTE HERE!'!F56</f>
        <v/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N2 ONLY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TOP &amp; BOTTOM ANGLES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.261</v>
      </c>
      <c r="D15" s="22" t="str">
        <f>'Sheet2-PASTE HERE!'!K25</f>
        <v>Miscellaneous Fabrication - Braces, Mounting Plates, Cone Outlet Necks_x000D_
BUILD N1</v>
      </c>
      <c r="E15" s="13">
        <f>'Sheet2-PASTE HERE!'!F25</f>
        <v>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INCL WELD OUTSIDE LONG SEAM 2/COBOT OR BY HAND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.450</v>
      </c>
      <c r="D19" s="22" t="str">
        <f>'Sheet2-PASTE HERE!'!K29</f>
        <v>Build bottom head/cone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.600</v>
      </c>
      <c r="D21" s="22" t="str">
        <f>'Sheet2-PASTE HERE!'!K31</f>
        <v>Fit bottom head to shell_x000D_
AND WELD INSIDE AND OUTSIDE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.615</v>
      </c>
      <c r="D22" s="22" t="str">
        <f>'Sheet2-PASTE HERE!'!K32</f>
        <v>Install rim angle - tack only_x000D_
FIT TOP RIM ANGLE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.616</v>
      </c>
      <c r="D23" s="22" t="str">
        <f>'Sheet2-PASTE HERE!'!K33</f>
        <v>Weld rim angle complete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.620</v>
      </c>
      <c r="D24" s="22" t="str">
        <f>'Sheet2-PASTE HERE!'!K34</f>
        <v>Lay out shell, burn and clean holes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.QC5</v>
      </c>
      <c r="D25" s="22" t="str">
        <f>'Sheet2-PASTE HERE!'!K35</f>
        <v>QC Inspection - Internal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.645</v>
      </c>
      <c r="D26" s="22" t="str">
        <f>'Sheet2-PASTE HERE!'!K36</f>
        <v>Weld all outside seams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MOVE TANK</v>
      </c>
      <c r="B27" s="11"/>
      <c r="C27" s="17" t="str">
        <f>'Sheet2-PASTE HERE!'!I37</f>
        <v>.800</v>
      </c>
      <c r="D27" s="22" t="str">
        <f>'Sheet2-PASTE HERE!'!K37</f>
        <v>Move tank to detail rolls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.717</v>
      </c>
      <c r="D28" s="22" t="str">
        <f>'Sheet2-PASTE HERE!'!K38</f>
        <v>Install lift lugs on shell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.720</v>
      </c>
      <c r="D29" s="22" t="str">
        <f>'Sheet2-PASTE HERE!'!K39</f>
        <v>Install supports - legs, lugs, anchors, saddles, skirt_x000D_
FIT BOTTOM SUPPORT ANGLE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.721</v>
      </c>
      <c r="D30" s="22" t="str">
        <f>'Sheet2-PASTE HERE!'!K40</f>
        <v>Weld insulation / vacuum rings, lugs, supports, etc._x000D_
WELD BOTTOM SUPPORT ANGLE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.QC51</v>
      </c>
      <c r="D33" s="22" t="str">
        <f>'Sheet2-PASTE HERE!'!K43</f>
        <v>UT Components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.765</v>
      </c>
      <c r="D34" s="22" t="str">
        <f>'Sheet2-PASTE HERE!'!K44</f>
        <v>Install name tag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.770</v>
      </c>
      <c r="D35" s="22" t="str">
        <f>'Sheet2-PASTE HERE!'!K45</f>
        <v>Inspect tank, make repairs, get QC inspector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.QC6</v>
      </c>
      <c r="D36" s="22" t="str">
        <f>'Sheet2-PASTE HERE!'!K46</f>
        <v>QC Inspection - Fabrication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.801</v>
      </c>
      <c r="D37" s="22" t="str">
        <f>'Sheet2-PASTE HERE!'!K47</f>
        <v>Move to shop test area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.910</v>
      </c>
      <c r="D38" s="22" t="str">
        <f>'Sheet2-PASTE HERE!'!K48</f>
        <v>Test tank</v>
      </c>
      <c r="E38" s="13">
        <f>'Sheet2-PASTE HERE!'!F48</f>
        <v>3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.QC7</v>
      </c>
      <c r="D39" s="22" t="str">
        <f>'Sheet2-PASTE HERE!'!K49</f>
        <v>QC Inspection - Test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.920</v>
      </c>
      <c r="D40" s="22" t="str">
        <f>'Sheet2-PASTE HERE!'!K50</f>
        <v>Clean tank complete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.QC8</v>
      </c>
      <c r="D41" s="22" t="str">
        <f>'Sheet2-PASTE HERE!'!K51</f>
        <v>QC Inspection - Clean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.940</v>
      </c>
      <c r="D42" s="22" t="str">
        <f>'Sheet2-PASTE HERE!'!K52</f>
        <v>Prepare tank for shipment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.QC95</v>
      </c>
      <c r="D43" s="22" t="str">
        <f>'Sheet2-PASTE HERE!'!K53</f>
        <v>QC Inspection - Final &amp; Loose Items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SHIPPING</v>
      </c>
      <c r="B44" s="11"/>
      <c r="C44" s="17" t="str">
        <f>'Sheet2-PASTE HERE!'!I54</f>
        <v>.960</v>
      </c>
      <c r="D44" s="22" t="str">
        <f>'Sheet2-PASTE HERE!'!K54</f>
        <v>Load on truck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 t="str">
        <f>'Sheet2-PASTE HERE!'!F56</f>
        <v/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153</v>
      </c>
      <c r="C1" s="8" t="s">
        <v>17</v>
      </c>
      <c r="D1" s="8" t="s">
        <v>140</v>
      </c>
      <c r="E1" s="8" t="s">
        <v>18</v>
      </c>
      <c r="F1" s="8" t="s">
        <v>141</v>
      </c>
      <c r="G1" s="8" t="s">
        <v>153</v>
      </c>
      <c r="H1" s="8" t="s">
        <v>20</v>
      </c>
      <c r="I1" s="8" t="s">
        <v>154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52290</v>
      </c>
      <c r="C17" s="19">
        <v>0</v>
      </c>
      <c r="D17" s="8" t="s">
        <v>73</v>
      </c>
      <c r="E17" s="20">
        <v>0</v>
      </c>
      <c r="F17" s="20">
        <v>0</v>
      </c>
      <c r="G17" s="8" t="s">
        <v>54</v>
      </c>
      <c r="H17" s="20">
        <v>0</v>
      </c>
      <c r="I17" s="8" t="s">
        <v>74</v>
      </c>
      <c r="J17" s="19">
        <v>0</v>
      </c>
      <c r="K17" s="8" t="s">
        <v>73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52291</v>
      </c>
      <c r="C18" s="19">
        <v>0</v>
      </c>
      <c r="D18" s="8" t="s">
        <v>75</v>
      </c>
      <c r="E18" s="20">
        <v>0</v>
      </c>
      <c r="F18" s="20">
        <v>0</v>
      </c>
      <c r="G18" s="8" t="s">
        <v>54</v>
      </c>
      <c r="H18" s="20">
        <v>0</v>
      </c>
      <c r="I18" s="8" t="s">
        <v>76</v>
      </c>
      <c r="J18" s="19">
        <v>0</v>
      </c>
      <c r="K18" s="8" t="s">
        <v>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52292</v>
      </c>
      <c r="C19" s="19">
        <v>0</v>
      </c>
      <c r="D19" s="8" t="s">
        <v>57</v>
      </c>
      <c r="E19" s="20">
        <v>0</v>
      </c>
      <c r="F19" s="20">
        <v>2</v>
      </c>
      <c r="G19" s="8" t="s">
        <v>54</v>
      </c>
      <c r="H19" s="20">
        <v>2</v>
      </c>
      <c r="I19" s="8" t="s">
        <v>58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52293</v>
      </c>
      <c r="C20" s="19">
        <v>0</v>
      </c>
      <c r="D20" s="8" t="s">
        <v>79</v>
      </c>
      <c r="E20" s="20">
        <v>0</v>
      </c>
      <c r="F20" s="20">
        <v>2</v>
      </c>
      <c r="G20" s="8" t="s">
        <v>54</v>
      </c>
      <c r="H20" s="20">
        <v>2</v>
      </c>
      <c r="I20" s="8" t="s">
        <v>80</v>
      </c>
      <c r="J20" s="19">
        <v>0</v>
      </c>
      <c r="K20" s="8" t="s">
        <v>155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52294</v>
      </c>
      <c r="C21" s="19">
        <v>0</v>
      </c>
      <c r="D21" s="8" t="s">
        <v>142</v>
      </c>
      <c r="E21" s="20">
        <v>0</v>
      </c>
      <c r="F21" s="20">
        <v>5</v>
      </c>
      <c r="G21" s="8" t="s">
        <v>54</v>
      </c>
      <c r="H21" s="20">
        <v>5</v>
      </c>
      <c r="I21" s="8" t="s">
        <v>59</v>
      </c>
      <c r="J21" s="19">
        <v>0</v>
      </c>
      <c r="K21" s="8" t="s">
        <v>81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52295</v>
      </c>
      <c r="C22" s="19">
        <v>0</v>
      </c>
      <c r="D22" s="8" t="s">
        <v>143</v>
      </c>
      <c r="E22" s="20">
        <v>0</v>
      </c>
      <c r="F22" s="20">
        <v>3</v>
      </c>
      <c r="G22" s="8" t="s">
        <v>54</v>
      </c>
      <c r="H22" s="20">
        <v>3</v>
      </c>
      <c r="I22" s="8" t="s">
        <v>144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52296</v>
      </c>
      <c r="C23" s="19">
        <v>0</v>
      </c>
      <c r="D23" s="8" t="s">
        <v>82</v>
      </c>
      <c r="E23" s="20">
        <v>0</v>
      </c>
      <c r="F23" s="20">
        <v>1</v>
      </c>
      <c r="G23" s="8" t="s">
        <v>54</v>
      </c>
      <c r="H23" s="20">
        <v>1</v>
      </c>
      <c r="I23" s="8" t="s">
        <v>83</v>
      </c>
      <c r="J23" s="19">
        <v>0</v>
      </c>
      <c r="K23" s="8" t="s">
        <v>156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52297</v>
      </c>
      <c r="C24" s="19">
        <v>0</v>
      </c>
      <c r="D24" s="8" t="s">
        <v>131</v>
      </c>
      <c r="E24" s="20">
        <v>0</v>
      </c>
      <c r="F24" s="20">
        <v>3</v>
      </c>
      <c r="G24" s="8" t="s">
        <v>54</v>
      </c>
      <c r="H24" s="20">
        <v>3</v>
      </c>
      <c r="I24" s="8" t="s">
        <v>132</v>
      </c>
      <c r="J24" s="19">
        <v>0</v>
      </c>
      <c r="K24" s="8" t="s">
        <v>157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52298</v>
      </c>
      <c r="C25" s="19">
        <v>0</v>
      </c>
      <c r="D25" s="8" t="s">
        <v>145</v>
      </c>
      <c r="E25" s="20">
        <v>0</v>
      </c>
      <c r="F25" s="20">
        <v>5</v>
      </c>
      <c r="G25" s="8" t="s">
        <v>54</v>
      </c>
      <c r="H25" s="20">
        <v>5</v>
      </c>
      <c r="I25" s="8" t="s">
        <v>146</v>
      </c>
      <c r="J25" s="19">
        <v>0</v>
      </c>
      <c r="K25" s="8" t="s">
        <v>158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52299</v>
      </c>
      <c r="C26" s="19">
        <v>0</v>
      </c>
      <c r="D26" s="8" t="s">
        <v>84</v>
      </c>
      <c r="E26" s="20">
        <v>0</v>
      </c>
      <c r="F26" s="20">
        <v>0</v>
      </c>
      <c r="G26" s="8" t="s">
        <v>54</v>
      </c>
      <c r="H26" s="20">
        <v>0</v>
      </c>
      <c r="I26" s="8" t="s">
        <v>85</v>
      </c>
      <c r="J26" s="19">
        <v>0</v>
      </c>
      <c r="K26" s="8" t="s">
        <v>84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52300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159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52301</v>
      </c>
      <c r="C28" s="19">
        <v>0</v>
      </c>
      <c r="D28" s="8" t="s">
        <v>88</v>
      </c>
      <c r="E28" s="20">
        <v>0</v>
      </c>
      <c r="F28" s="20">
        <v>4</v>
      </c>
      <c r="G28" s="8" t="s">
        <v>54</v>
      </c>
      <c r="H28" s="20">
        <v>4</v>
      </c>
      <c r="I28" s="8" t="s">
        <v>89</v>
      </c>
      <c r="J28" s="19">
        <v>0</v>
      </c>
      <c r="K28" s="8" t="s">
        <v>160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52302</v>
      </c>
      <c r="C29" s="19">
        <v>0</v>
      </c>
      <c r="D29" s="8" t="s">
        <v>133</v>
      </c>
      <c r="E29" s="20">
        <v>0</v>
      </c>
      <c r="F29" s="20">
        <v>1</v>
      </c>
      <c r="G29" s="8" t="s">
        <v>54</v>
      </c>
      <c r="H29" s="20">
        <v>1</v>
      </c>
      <c r="I29" s="8" t="s">
        <v>134</v>
      </c>
      <c r="J29" s="19">
        <v>0</v>
      </c>
      <c r="K29" s="8" t="s">
        <v>147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52303</v>
      </c>
      <c r="C30" s="19">
        <v>0</v>
      </c>
      <c r="D30" s="8" t="s">
        <v>90</v>
      </c>
      <c r="E30" s="20">
        <v>0</v>
      </c>
      <c r="F30" s="20">
        <v>0</v>
      </c>
      <c r="G30" s="8" t="s">
        <v>54</v>
      </c>
      <c r="H30" s="20">
        <v>0</v>
      </c>
      <c r="I30" s="8" t="s">
        <v>91</v>
      </c>
      <c r="J30" s="19">
        <v>0</v>
      </c>
      <c r="K30" s="8" t="s">
        <v>92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72</v>
      </c>
      <c r="B31" s="18">
        <v>52304</v>
      </c>
      <c r="C31" s="19">
        <v>0</v>
      </c>
      <c r="D31" s="8" t="s">
        <v>93</v>
      </c>
      <c r="E31" s="20">
        <v>0</v>
      </c>
      <c r="F31" s="20">
        <v>4</v>
      </c>
      <c r="G31" s="8" t="s">
        <v>54</v>
      </c>
      <c r="H31" s="20">
        <v>4</v>
      </c>
      <c r="I31" s="8" t="s">
        <v>94</v>
      </c>
      <c r="J31" s="19">
        <v>0</v>
      </c>
      <c r="K31" s="8" t="s">
        <v>161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72</v>
      </c>
      <c r="B32" s="18">
        <v>52305</v>
      </c>
      <c r="C32" s="19">
        <v>0</v>
      </c>
      <c r="D32" s="8" t="s">
        <v>135</v>
      </c>
      <c r="E32" s="20">
        <v>0</v>
      </c>
      <c r="F32" s="20">
        <v>1</v>
      </c>
      <c r="G32" s="8" t="s">
        <v>54</v>
      </c>
      <c r="H32" s="20">
        <v>1</v>
      </c>
      <c r="I32" s="8" t="s">
        <v>136</v>
      </c>
      <c r="J32" s="19">
        <v>0</v>
      </c>
      <c r="K32" s="8" t="s">
        <v>162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72</v>
      </c>
      <c r="B33" s="18">
        <v>52306</v>
      </c>
      <c r="C33" s="19">
        <v>0</v>
      </c>
      <c r="D33" s="8" t="s">
        <v>137</v>
      </c>
      <c r="E33" s="20">
        <v>0</v>
      </c>
      <c r="F33" s="20">
        <v>2</v>
      </c>
      <c r="G33" s="8" t="s">
        <v>54</v>
      </c>
      <c r="H33" s="20">
        <v>2</v>
      </c>
      <c r="I33" s="8" t="s">
        <v>138</v>
      </c>
      <c r="J33" s="19">
        <v>0</v>
      </c>
      <c r="K33" s="8" t="s">
        <v>139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72</v>
      </c>
      <c r="B34" s="18">
        <v>52307</v>
      </c>
      <c r="C34" s="19">
        <v>0</v>
      </c>
      <c r="D34" s="8" t="s">
        <v>95</v>
      </c>
      <c r="E34" s="20">
        <v>0</v>
      </c>
      <c r="F34" s="20">
        <v>1</v>
      </c>
      <c r="G34" s="8" t="s">
        <v>54</v>
      </c>
      <c r="H34" s="20">
        <v>1</v>
      </c>
      <c r="I34" s="8" t="s">
        <v>96</v>
      </c>
      <c r="J34" s="19">
        <v>0</v>
      </c>
      <c r="K34" s="8" t="s">
        <v>163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52308</v>
      </c>
      <c r="C35" s="19">
        <v>0</v>
      </c>
      <c r="D35" s="8" t="s">
        <v>97</v>
      </c>
      <c r="E35" s="20">
        <v>0</v>
      </c>
      <c r="F35" s="20">
        <v>0</v>
      </c>
      <c r="G35" s="8" t="s">
        <v>54</v>
      </c>
      <c r="H35" s="20">
        <v>0</v>
      </c>
      <c r="I35" s="8" t="s">
        <v>98</v>
      </c>
      <c r="J35" s="19">
        <v>0</v>
      </c>
      <c r="K35" s="8" t="s">
        <v>97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72</v>
      </c>
      <c r="B36" s="18">
        <v>52309</v>
      </c>
      <c r="C36" s="19">
        <v>0</v>
      </c>
      <c r="D36" s="8" t="s">
        <v>148</v>
      </c>
      <c r="E36" s="20">
        <v>0</v>
      </c>
      <c r="F36" s="20">
        <v>1</v>
      </c>
      <c r="G36" s="8" t="s">
        <v>54</v>
      </c>
      <c r="H36" s="20">
        <v>1</v>
      </c>
      <c r="I36" s="8" t="s">
        <v>149</v>
      </c>
      <c r="J36" s="19">
        <v>0</v>
      </c>
      <c r="K36" s="8" t="s">
        <v>150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99</v>
      </c>
      <c r="B37" s="18">
        <v>52310</v>
      </c>
      <c r="C37" s="19">
        <v>0</v>
      </c>
      <c r="D37" s="8" t="s">
        <v>100</v>
      </c>
      <c r="E37" s="20">
        <v>0</v>
      </c>
      <c r="F37" s="20">
        <v>1</v>
      </c>
      <c r="G37" s="8" t="s">
        <v>54</v>
      </c>
      <c r="H37" s="20">
        <v>1</v>
      </c>
      <c r="I37" s="8" t="s">
        <v>101</v>
      </c>
      <c r="J37" s="19">
        <v>0</v>
      </c>
      <c r="K37" s="8" t="s">
        <v>102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52311</v>
      </c>
      <c r="C38" s="19">
        <v>0</v>
      </c>
      <c r="D38" s="8" t="s">
        <v>60</v>
      </c>
      <c r="E38" s="20">
        <v>0</v>
      </c>
      <c r="F38" s="20">
        <v>1</v>
      </c>
      <c r="G38" s="8" t="s">
        <v>54</v>
      </c>
      <c r="H38" s="20">
        <v>1</v>
      </c>
      <c r="I38" s="8" t="s">
        <v>61</v>
      </c>
      <c r="J38" s="19">
        <v>0</v>
      </c>
      <c r="K38" s="8" t="s">
        <v>164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72</v>
      </c>
      <c r="B39" s="18">
        <v>52312</v>
      </c>
      <c r="C39" s="19">
        <v>0</v>
      </c>
      <c r="D39" s="8" t="s">
        <v>103</v>
      </c>
      <c r="E39" s="20">
        <v>0</v>
      </c>
      <c r="F39" s="20">
        <v>1</v>
      </c>
      <c r="G39" s="8" t="s">
        <v>54</v>
      </c>
      <c r="H39" s="20">
        <v>1</v>
      </c>
      <c r="I39" s="8" t="s">
        <v>104</v>
      </c>
      <c r="J39" s="19">
        <v>0</v>
      </c>
      <c r="K39" s="8" t="s">
        <v>165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52313</v>
      </c>
      <c r="C40" s="19">
        <v>0</v>
      </c>
      <c r="D40" s="8" t="s">
        <v>151</v>
      </c>
      <c r="E40" s="20">
        <v>0</v>
      </c>
      <c r="F40" s="20">
        <v>2</v>
      </c>
      <c r="G40" s="8" t="s">
        <v>54</v>
      </c>
      <c r="H40" s="20">
        <v>2</v>
      </c>
      <c r="I40" s="8" t="s">
        <v>152</v>
      </c>
      <c r="J40" s="19">
        <v>0</v>
      </c>
      <c r="K40" s="8" t="s">
        <v>166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72</v>
      </c>
      <c r="B41" s="18">
        <v>52314</v>
      </c>
      <c r="C41" s="19">
        <v>0</v>
      </c>
      <c r="D41" s="8" t="s">
        <v>105</v>
      </c>
      <c r="E41" s="20">
        <v>0</v>
      </c>
      <c r="F41" s="20">
        <v>3</v>
      </c>
      <c r="G41" s="8" t="s">
        <v>54</v>
      </c>
      <c r="H41" s="20">
        <v>3</v>
      </c>
      <c r="I41" s="8" t="s">
        <v>106</v>
      </c>
      <c r="J41" s="19">
        <v>0</v>
      </c>
      <c r="K41" s="8" t="s">
        <v>167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52315</v>
      </c>
      <c r="C42" s="19">
        <v>0</v>
      </c>
      <c r="D42" s="8" t="s">
        <v>107</v>
      </c>
      <c r="E42" s="20">
        <v>0</v>
      </c>
      <c r="F42" s="20">
        <v>4</v>
      </c>
      <c r="G42" s="8" t="s">
        <v>54</v>
      </c>
      <c r="H42" s="20">
        <v>4</v>
      </c>
      <c r="I42" s="8" t="s">
        <v>108</v>
      </c>
      <c r="J42" s="19">
        <v>0</v>
      </c>
      <c r="K42" s="8" t="s">
        <v>168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52316</v>
      </c>
      <c r="C43" s="19">
        <v>0</v>
      </c>
      <c r="D43" s="8" t="s">
        <v>169</v>
      </c>
      <c r="E43" s="20">
        <v>0</v>
      </c>
      <c r="F43" s="20">
        <v>0</v>
      </c>
      <c r="G43" s="8" t="s">
        <v>54</v>
      </c>
      <c r="H43" s="20">
        <v>0</v>
      </c>
      <c r="I43" s="8" t="s">
        <v>170</v>
      </c>
      <c r="J43" s="19">
        <v>0</v>
      </c>
      <c r="K43" s="8" t="s">
        <v>169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62</v>
      </c>
      <c r="B44" s="18">
        <v>52317</v>
      </c>
      <c r="C44" s="19">
        <v>0</v>
      </c>
      <c r="D44" s="8" t="s">
        <v>109</v>
      </c>
      <c r="E44" s="20">
        <v>0</v>
      </c>
      <c r="F44" s="20">
        <v>1</v>
      </c>
      <c r="G44" s="8" t="s">
        <v>54</v>
      </c>
      <c r="H44" s="20">
        <v>1</v>
      </c>
      <c r="I44" s="8" t="s">
        <v>110</v>
      </c>
      <c r="J44" s="19">
        <v>0</v>
      </c>
      <c r="K44" s="8" t="s">
        <v>111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52318</v>
      </c>
      <c r="C45" s="19">
        <v>0</v>
      </c>
      <c r="D45" s="8" t="s">
        <v>112</v>
      </c>
      <c r="E45" s="20">
        <v>0</v>
      </c>
      <c r="F45" s="20">
        <v>1</v>
      </c>
      <c r="G45" s="8" t="s">
        <v>54</v>
      </c>
      <c r="H45" s="20">
        <v>1</v>
      </c>
      <c r="I45" s="8" t="s">
        <v>113</v>
      </c>
      <c r="J45" s="19">
        <v>0</v>
      </c>
      <c r="K45" s="8" t="s">
        <v>114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52319</v>
      </c>
      <c r="C46" s="19">
        <v>0</v>
      </c>
      <c r="D46" s="8" t="s">
        <v>115</v>
      </c>
      <c r="E46" s="20">
        <v>0</v>
      </c>
      <c r="F46" s="20">
        <v>0</v>
      </c>
      <c r="G46" s="8" t="s">
        <v>54</v>
      </c>
      <c r="H46" s="20">
        <v>0</v>
      </c>
      <c r="I46" s="8" t="s">
        <v>116</v>
      </c>
      <c r="J46" s="19">
        <v>0</v>
      </c>
      <c r="K46" s="8" t="s">
        <v>117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99</v>
      </c>
      <c r="B47" s="18">
        <v>52320</v>
      </c>
      <c r="C47" s="19">
        <v>0</v>
      </c>
      <c r="D47" s="8" t="s">
        <v>118</v>
      </c>
      <c r="E47" s="20">
        <v>0</v>
      </c>
      <c r="F47" s="20">
        <v>1</v>
      </c>
      <c r="G47" s="8" t="s">
        <v>54</v>
      </c>
      <c r="H47" s="20">
        <v>1</v>
      </c>
      <c r="I47" s="8" t="s">
        <v>119</v>
      </c>
      <c r="J47" s="19">
        <v>0</v>
      </c>
      <c r="K47" s="8" t="s">
        <v>120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52321</v>
      </c>
      <c r="C48" s="19">
        <v>0</v>
      </c>
      <c r="D48" s="8" t="s">
        <v>121</v>
      </c>
      <c r="E48" s="20">
        <v>0</v>
      </c>
      <c r="F48" s="20">
        <v>3</v>
      </c>
      <c r="G48" s="8" t="s">
        <v>54</v>
      </c>
      <c r="H48" s="20">
        <v>3</v>
      </c>
      <c r="I48" s="8" t="s">
        <v>122</v>
      </c>
      <c r="J48" s="19">
        <v>0</v>
      </c>
      <c r="K48" s="8" t="s">
        <v>123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52322</v>
      </c>
      <c r="C49" s="19">
        <v>0</v>
      </c>
      <c r="D49" s="8" t="s">
        <v>124</v>
      </c>
      <c r="E49" s="20">
        <v>0</v>
      </c>
      <c r="F49" s="20">
        <v>0</v>
      </c>
      <c r="G49" s="8" t="s">
        <v>54</v>
      </c>
      <c r="H49" s="20">
        <v>0</v>
      </c>
      <c r="I49" s="8" t="s">
        <v>125</v>
      </c>
      <c r="J49" s="19">
        <v>0</v>
      </c>
      <c r="K49" s="8" t="s">
        <v>124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62</v>
      </c>
      <c r="B50" s="18">
        <v>52323</v>
      </c>
      <c r="C50" s="19">
        <v>0</v>
      </c>
      <c r="D50" s="8" t="s">
        <v>126</v>
      </c>
      <c r="E50" s="20">
        <v>0</v>
      </c>
      <c r="F50" s="20">
        <v>5</v>
      </c>
      <c r="G50" s="8" t="s">
        <v>54</v>
      </c>
      <c r="H50" s="20">
        <v>5</v>
      </c>
      <c r="I50" s="8" t="s">
        <v>127</v>
      </c>
      <c r="J50" s="19">
        <v>0</v>
      </c>
      <c r="K50" s="8" t="s">
        <v>128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52324</v>
      </c>
      <c r="C51" s="19">
        <v>0</v>
      </c>
      <c r="D51" s="8" t="s">
        <v>129</v>
      </c>
      <c r="E51" s="20">
        <v>0</v>
      </c>
      <c r="F51" s="20">
        <v>0</v>
      </c>
      <c r="G51" s="8" t="s">
        <v>54</v>
      </c>
      <c r="H51" s="20">
        <v>0</v>
      </c>
      <c r="I51" s="8" t="s">
        <v>130</v>
      </c>
      <c r="J51" s="19">
        <v>0</v>
      </c>
      <c r="K51" s="8" t="s">
        <v>129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62</v>
      </c>
      <c r="B52" s="18">
        <v>52325</v>
      </c>
      <c r="C52" s="19">
        <v>0</v>
      </c>
      <c r="D52" s="8" t="s">
        <v>171</v>
      </c>
      <c r="E52" s="20">
        <v>0</v>
      </c>
      <c r="F52" s="20">
        <v>1</v>
      </c>
      <c r="G52" s="8" t="s">
        <v>54</v>
      </c>
      <c r="H52" s="20">
        <v>1</v>
      </c>
      <c r="I52" s="8" t="s">
        <v>172</v>
      </c>
      <c r="J52" s="19">
        <v>0</v>
      </c>
      <c r="K52" s="8" t="s">
        <v>173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52326</v>
      </c>
      <c r="C53" s="19">
        <v>0</v>
      </c>
      <c r="D53" s="8" t="s">
        <v>63</v>
      </c>
      <c r="E53" s="20">
        <v>0</v>
      </c>
      <c r="F53" s="20">
        <v>0</v>
      </c>
      <c r="G53" s="8" t="s">
        <v>54</v>
      </c>
      <c r="H53" s="20">
        <v>0</v>
      </c>
      <c r="I53" s="8" t="s">
        <v>64</v>
      </c>
      <c r="J53" s="19">
        <v>0</v>
      </c>
      <c r="K53" s="8" t="s">
        <v>65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66</v>
      </c>
      <c r="B54" s="18">
        <v>52327</v>
      </c>
      <c r="C54" s="19">
        <v>0</v>
      </c>
      <c r="D54" s="8" t="s">
        <v>67</v>
      </c>
      <c r="E54" s="20">
        <v>0</v>
      </c>
      <c r="F54" s="20">
        <v>1</v>
      </c>
      <c r="G54" s="8" t="s">
        <v>54</v>
      </c>
      <c r="H54" s="20">
        <v>1</v>
      </c>
      <c r="I54" s="8" t="s">
        <v>68</v>
      </c>
      <c r="J54" s="19">
        <v>0</v>
      </c>
      <c r="K54" s="8" t="s">
        <v>69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/>
    <row r="56" spans="1:14" ht="12.75" customHeight="1" x14ac:dyDescent="0.2">
      <c r="B56" s="8" t="s">
        <v>16</v>
      </c>
      <c r="C56" s="8" t="s">
        <v>153</v>
      </c>
      <c r="E56" s="8" t="s">
        <v>19</v>
      </c>
      <c r="F56" s="8" t="s">
        <v>19</v>
      </c>
      <c r="G56" s="8" t="s">
        <v>21</v>
      </c>
      <c r="H56" s="8" t="s">
        <v>19</v>
      </c>
      <c r="J56" s="8" t="s">
        <v>19</v>
      </c>
    </row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N2 ONLY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5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TOP &amp; BOTTOM ANGLES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.261</v>
      </c>
      <c r="C50" s="40" t="str">
        <f>'Build Plan w Hours'!D15</f>
        <v>Miscellaneous Fabrication - Braces, Mounting Plates, Cone Outlet Necks_x000D_
BUILD N1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INCL WELD OUTSIDE LONG SEAM 2/COBOT OR BY HAND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.450</v>
      </c>
      <c r="C74" s="40" t="str">
        <f>'Build Plan w Hours'!D19</f>
        <v>Build bottom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.600</v>
      </c>
      <c r="C86" s="40" t="str">
        <f>'Build Plan w Hours'!D21</f>
        <v>Fit bottom head to shell_x000D_
AND WELD INSIDE AND OUTSIDE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.615</v>
      </c>
      <c r="C92" s="40" t="str">
        <f>'Build Plan w Hours'!D22</f>
        <v>Install rim angle - tack only_x000D_
FIT TOP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.616</v>
      </c>
      <c r="C98" s="40" t="str">
        <f>'Build Plan w Hours'!D23</f>
        <v>Weld rim angle complete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.620</v>
      </c>
      <c r="C104" s="40" t="str">
        <f>'Build Plan w Hours'!D24</f>
        <v>Lay out shell, burn and clean holes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.QC5</v>
      </c>
      <c r="C110" s="40" t="str">
        <f>'Build Plan w Hours'!D25</f>
        <v>QC Inspection - Internal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.645</v>
      </c>
      <c r="C116" s="40" t="str">
        <f>'Build Plan w Hours'!D26</f>
        <v>Weld all outside seams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.800</v>
      </c>
      <c r="C122" s="40" t="str">
        <f>'Build Plan w Hours'!D27</f>
        <v>Move tank to detail rolls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.717</v>
      </c>
      <c r="C128" s="40" t="str">
        <f>'Build Plan w Hours'!D28</f>
        <v>Install lift lugs on shell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.720</v>
      </c>
      <c r="C134" s="40" t="str">
        <f>'Build Plan w Hours'!D29</f>
        <v>Install supports - legs, lugs, anchors, saddles, skirt_x000D_
FIT BOTTOM SUPPORT ANGLE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.721</v>
      </c>
      <c r="C140" s="40" t="str">
        <f>'Build Plan w Hours'!D30</f>
        <v>Weld insulation / vacuum rings, lugs, supports, etc._x000D_
WELD BOTTOM SUPPORT ANGLE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.QC51</v>
      </c>
      <c r="C158" s="40" t="str">
        <f>'Build Plan w Hours'!D33</f>
        <v>UT Components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.765</v>
      </c>
      <c r="C164" s="40" t="str">
        <f>'Build Plan w Hours'!D34</f>
        <v>Install name tag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.770</v>
      </c>
      <c r="C170" s="40" t="str">
        <f>'Build Plan w Hours'!D35</f>
        <v>Inspect tank, make repairs, get QC inspector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.QC6</v>
      </c>
      <c r="C176" s="40" t="str">
        <f>'Build Plan w Hours'!D36</f>
        <v>QC Inspection - Fabrication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.801</v>
      </c>
      <c r="C182" s="40" t="str">
        <f>'Build Plan w Hours'!D37</f>
        <v>Move to shop test area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.910</v>
      </c>
      <c r="C188" s="40" t="str">
        <f>'Build Plan w Hours'!D38</f>
        <v>Test tank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3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.QC7</v>
      </c>
      <c r="C194" s="40" t="str">
        <f>'Build Plan w Hours'!D39</f>
        <v>QC Inspection - Test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.920</v>
      </c>
      <c r="C200" s="40" t="str">
        <f>'Build Plan w Hours'!D40</f>
        <v>Clean tank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.QC8</v>
      </c>
      <c r="C206" s="40" t="str">
        <f>'Build Plan w Hours'!D41</f>
        <v>QC Inspection - Clean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.940</v>
      </c>
      <c r="C212" s="40" t="str">
        <f>'Build Plan w Hours'!D42</f>
        <v>Prepare tank for shipment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.QC95</v>
      </c>
      <c r="C218" s="40" t="str">
        <f>'Build Plan w Hours'!D43</f>
        <v>QC Inspection - Final &amp; Loose Items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.960</v>
      </c>
      <c r="C224" s="40" t="str">
        <f>'Build Plan w Hours'!D44</f>
        <v>Load on truck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 t="str">
        <f>'Build Plan w Hours'!E46</f>
        <v/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N2 ONLY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TOP &amp; BOTTOM ANGLES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.261</v>
      </c>
      <c r="C50" s="40" t="str">
        <f>'Build Plan w Hours'!D15</f>
        <v>Miscellaneous Fabrication - Braces, Mounting Plates, Cone Outlet Necks_x000D_
BUILD N1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INCL WELD OUTSIDE LONG SEAM 2/COBOT OR BY HAND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.450</v>
      </c>
      <c r="C74" s="40" t="str">
        <f>'Build Plan w Hours'!D19</f>
        <v>Build bottom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.600</v>
      </c>
      <c r="C86" s="40" t="str">
        <f>'Build Plan w Hours'!D21</f>
        <v>Fit bottom head to shell_x000D_
AND WELD INSIDE AND OUTSIDE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.615</v>
      </c>
      <c r="C92" s="40" t="str">
        <f>'Build Plan w Hours'!D22</f>
        <v>Install rim angle - tack only_x000D_
FIT TOP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.616</v>
      </c>
      <c r="C98" s="40" t="str">
        <f>'Build Plan w Hours'!D23</f>
        <v>Weld rim angle complete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.620</v>
      </c>
      <c r="C104" s="40" t="str">
        <f>'Build Plan w Hours'!D24</f>
        <v>Lay out shell, burn and clean holes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.QC5</v>
      </c>
      <c r="C110" s="40" t="str">
        <f>'Build Plan w Hours'!D25</f>
        <v>QC Inspection - Internal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.645</v>
      </c>
      <c r="C116" s="40" t="str">
        <f>'Build Plan w Hours'!D26</f>
        <v>Weld all outside seams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.800</v>
      </c>
      <c r="C122" s="40" t="str">
        <f>'Build Plan w Hours'!D27</f>
        <v>Move tank to detail rolls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.717</v>
      </c>
      <c r="C128" s="40" t="str">
        <f>'Build Plan w Hours'!D28</f>
        <v>Install lift lugs on shell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.720</v>
      </c>
      <c r="C134" s="40" t="str">
        <f>'Build Plan w Hours'!D29</f>
        <v>Install supports - legs, lugs, anchors, saddles, skirt_x000D_
FIT BOTTOM SUPPORT ANGLE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.721</v>
      </c>
      <c r="C140" s="40" t="str">
        <f>'Build Plan w Hours'!D30</f>
        <v>Weld insulation / vacuum rings, lugs, supports, etc._x000D_
WELD BOTTOM SUPPORT ANGLE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.QC51</v>
      </c>
      <c r="C158" s="40" t="str">
        <f>'Build Plan w Hours'!D33</f>
        <v>UT Components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.765</v>
      </c>
      <c r="C164" s="40" t="str">
        <f>'Build Plan w Hours'!D34</f>
        <v>Install name tag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.770</v>
      </c>
      <c r="C170" s="40" t="str">
        <f>'Build Plan w Hours'!D35</f>
        <v>Inspect tank, make repairs, get QC inspector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.QC6</v>
      </c>
      <c r="C176" s="40" t="str">
        <f>'Build Plan w Hours'!D36</f>
        <v>QC Inspection - Fabrication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.801</v>
      </c>
      <c r="C182" s="40" t="str">
        <f>'Build Plan w Hours'!D37</f>
        <v>Move to shop test area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.910</v>
      </c>
      <c r="C188" s="40" t="str">
        <f>'Build Plan w Hours'!D38</f>
        <v>Test tank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.QC7</v>
      </c>
      <c r="C194" s="40" t="str">
        <f>'Build Plan w Hours'!D39</f>
        <v>QC Inspection - Test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.920</v>
      </c>
      <c r="C200" s="40" t="str">
        <f>'Build Plan w Hours'!D40</f>
        <v>Clean tank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.QC8</v>
      </c>
      <c r="C206" s="40" t="str">
        <f>'Build Plan w Hours'!D41</f>
        <v>QC Inspection - Clean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.940</v>
      </c>
      <c r="C212" s="40" t="str">
        <f>'Build Plan w Hours'!D42</f>
        <v>Prepare tank for shipment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.QC95</v>
      </c>
      <c r="C218" s="40" t="str">
        <f>'Build Plan w Hours'!D43</f>
        <v>QC Inspection - Final &amp; Loose Items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.960</v>
      </c>
      <c r="C224" s="40" t="str">
        <f>'Build Plan w Hours'!D44</f>
        <v>Load on truck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2025-06-18T13:56:01Z</cp:lastPrinted>
  <dcterms:created xsi:type="dcterms:W3CDTF">2016-06-28T20:53:17Z</dcterms:created>
  <dcterms:modified xsi:type="dcterms:W3CDTF">2025-06-18T13:56:32Z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