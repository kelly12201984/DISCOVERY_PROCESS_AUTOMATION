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01-25 Harper Love - T-1615 Rupture Disk Catch Tank\"/>
    </mc:Choice>
  </mc:AlternateContent>
  <xr:revisionPtr revIDLastSave="0" documentId="8_{8CD31699-7F9D-4F60-94D1-26CFA739034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<sst xmlns="http://schemas.openxmlformats.org/spreadsheetml/2006/main" count="1818" uniqueCount="249">
  <si>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</si>
  <si>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</si>
  <si>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</si>
  <si>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</si>
  <si>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</si>
  <si>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</si>
  <si>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</si>
  <si>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</si>
  <si>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</si>
  <si>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</si>
  <si>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</si>
  <si>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</si>
  <si>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</si>
  <si>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</si>
  <si>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</si>
  <si>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</si>
  <si>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</si>
  <si>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</si>
  <si>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</si>
  <si>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</si>
  <si>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</si>
  <si>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</si>
  <si>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</si>
  <si>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</si>
  <si>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</si>
  <si>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</si>
  <si>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</si>
  <si>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</si>
  <si>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</si>
  <si>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</si>
  <si>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</si>
  <si>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</si>
  <si>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</si>
  <si>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</si>
  <si>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</si>
  <si>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</si>
  <si>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</si>
  <si>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</si>
  <si>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</si>
  <si>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</si>
  <si>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</si>
  <si>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</si>
  <si>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</si>
  <si>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</si>
  <si>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</si>
  <si>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</si>
  <si>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</si>
  <si>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</si>
  <si>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</si>
  <si>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</si>
  <si>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</si>
  <si>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</si>
  <si>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</si>
  <si>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</si>
  <si>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</si>
  <si>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</si>
  <si>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</si>
  <si>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</si>
  <si>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</si>
  <si>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</si>
  <si>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</si>
  <si>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</si>
  <si>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</si>
  <si>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</si>
  <si>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</si>
  <si>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</si>
  <si>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</si>
  <si>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</si>
  <si>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</si>
  <si>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</si>
  <si>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</si>
  <si>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</si>
  <si>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</si>
  <si>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</si>
  <si>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</si>
  <si>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</si>
  <si>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</si>
  <si>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</si>
  <si>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</si>
  <si>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</si>
  <si>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</si>
  <si>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</si>
  <si>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</si>
  <si>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</si>
  <si>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</si>
  <si>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</si>
  <si>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</si>
  <si>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</si>
  <si>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</si>
  <si>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</si>
  <si>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</si>
  <si>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</si>
  <si>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</si>
  <si>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</si>
  <si>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</si>
  <si>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</si>
  <si>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</si>
  <si>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</si>
  <si>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</si>
  <si>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</si>
  <si>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</si>
  <si>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</si>
  <si>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</si>
  <si>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</si>
  <si>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</si>
  <si>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</si>
  <si>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</si>
  <si>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</si>
  <si>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</si>
  <si>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</si>
  <si>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</si>
  <si>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</si>
  <si>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</si>
  <si>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</si>
  <si>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</si>
  <si>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</si>
  <si>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</si>
  <si>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</si>
  <si>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</si>
  <si>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</si>
  <si>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</si>
  <si>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</si>
  <si>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</si>
  <si>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</si>
  <si>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</si>
  <si>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</si>
  <si>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</si>
  <si>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</si>
  <si>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</si>
  <si>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</si>
  <si>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</si>
  <si>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</si>
  <si>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</si>
  <si>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</si>
  <si>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</si>
  <si>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</si>
  <si>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</si>
  <si>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</si>
  <si>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</si>
  <si>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</si>
  <si>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</si>
  <si>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</si>
  <si>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</si>
  <si>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</si>
  <si>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</si>
  <si>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</si>
  <si>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</si>
  <si>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</si>
  <si>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</si>
  <si>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</si>
  <si>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</si>
  <si>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</si>
  <si>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</si>
  <si>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</si>
  <si>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</si>
  <si>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</si>
  <si>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</si>
  <si>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</si>
  <si>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</si>
  <si>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I&amp;W Repads -Top</t>
  </si>
  <si>
    <t>.370</t>
  </si>
  <si>
    <t>Cut Parts on Burn Table</t>
  </si>
  <si>
    <t>Clean &amp; Prep Parts</t>
  </si>
  <si>
    <t>.156</t>
  </si>
  <si>
    <t>L/O Bottom, B&amp;C Holes</t>
  </si>
  <si>
    <t>.455</t>
  </si>
  <si>
    <t>Install Internal Parts</t>
  </si>
  <si>
    <t>.630</t>
  </si>
  <si>
    <t>Weld all Outside Seams</t>
  </si>
  <si>
    <t>.645</t>
  </si>
  <si>
    <t>Add Repads-Weld</t>
  </si>
  <si>
    <t>.730</t>
  </si>
  <si>
    <t>T-1615 RUPTURE DISK CATCH TANK</t>
  </si>
  <si>
    <t>56173</t>
  </si>
  <si>
    <t>Cut nozzle pipe and clean_x000D_
INCL PIPES FOR SPARGER ASSEMBLIES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</si>
  <si>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</si>
  <si>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</si>
  <si>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</si>
  <si>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</si>
  <si>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</si>
  <si>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</si>
  <si>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INCL WELD BOTTOM RFSOs FOR A1 &amp; A2</t>
  </si>
  <si>
    <t>Build supports: legs, lugs, saddles_x000D_
MAKE COPE (4) LEGS</t>
  </si>
  <si>
    <t>Make lift lugs, ground lugs, etc.</t>
  </si>
  <si>
    <t>Cut, Make Baffle Supports</t>
  </si>
  <si>
    <t>.225</t>
  </si>
  <si>
    <t>Cut and make baffle supports_x000D_
MAKE (4) SPARGER BOTTOM SUPPORTS</t>
  </si>
  <si>
    <t>Fabricate miscellaneous parts_x000D_
MAKE SPARGER ASSEMBLY</t>
  </si>
  <si>
    <t>Wrap Top &amp; Bottom Heads</t>
  </si>
  <si>
    <t>.300</t>
  </si>
  <si>
    <t>Wrap top and bottom heads</t>
  </si>
  <si>
    <t>Shells: bring in plate, square, trim and clean_x000D_
SET UP (2) SINGLE SHELLS &amp; (1) DOUBLE SHELL</t>
  </si>
  <si>
    <t>Bevel Shell Plates</t>
  </si>
  <si>
    <t>.310</t>
  </si>
  <si>
    <t>Bevel shell plates_x000D_
BEVEL (8) SHELL PLATES</t>
  </si>
  <si>
    <t>Roll shells, tack and weld inside seams_x000D_
INCL WELD LONG SEAMS W/COBOT</t>
  </si>
  <si>
    <t>Lay out top head, burn and clean holes_x000D_
ON BURN TABLE</t>
  </si>
  <si>
    <t>Bevel Top Head</t>
  </si>
  <si>
    <t>.360</t>
  </si>
  <si>
    <t>Bevel top head_x000D_
PREP HOLES FOR FULL PEN WELDS</t>
  </si>
  <si>
    <t>Set  nozzles, lift lugs, etc. in top head - tack</t>
  </si>
  <si>
    <t>Weld out top head nozzles, etc. _x000D_
INCL (4) LIFT LUGS</t>
  </si>
  <si>
    <t>Install and weld out repads - top head</t>
  </si>
  <si>
    <t>Lay out bottom head, burn and clean holes_x000D_
ON BURN TABLE</t>
  </si>
  <si>
    <t>Bevel Bottom Head</t>
  </si>
  <si>
    <t>.460</t>
  </si>
  <si>
    <t>Bevel bottom head_x000D_
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</si>
  <si>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</si>
  <si>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</si>
  <si>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</si>
  <si>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</si>
  <si>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</si>
  <si>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</si>
  <si>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ASME Hold Point</t>
  </si>
  <si>
    <t>.OI1</t>
  </si>
  <si>
    <t>Fit bottom head to shell_x000D_
INCL WELD INSIDE</t>
  </si>
  <si>
    <t>Tack shell courses together_x000D_
(1) SINGLE &amp; (1) DOUBLE. USE SHELL PUSHING RIG</t>
  </si>
  <si>
    <t>Weld inside round seams_x000D_
(1) SINGLE &amp; (1) DOUBLE</t>
  </si>
  <si>
    <t>Lay out shell, burn and clean holes_x000D_
ON BURN TABLE</t>
  </si>
  <si>
    <t>Install internals - wear plates, rings, clips, etc._x000D_
LOWER SPARGER ASSEMBLIES INTO TANK &amp; TACK IN PLACE</t>
  </si>
  <si>
    <t>Fit top head to shell - tack</t>
  </si>
  <si>
    <t>Weld top to shell</t>
  </si>
  <si>
    <t>.641</t>
  </si>
  <si>
    <t>Weld top head to shell - inside_x000D_
INCL HOLE WATCH</t>
  </si>
  <si>
    <t>Weld all outside seams_x000D_
USE COLUMN &amp; BOOM</t>
  </si>
  <si>
    <t>Install Insul/Vac Rings</t>
  </si>
  <si>
    <t>.715</t>
  </si>
  <si>
    <t>Install insulation/vacuum rings - tack</t>
  </si>
  <si>
    <t>Install supports - legs, lugs, anchors, saddles, skirt_x000D_
AND WELD COMPLETE</t>
  </si>
  <si>
    <t>Set nozzles in shell - tack</t>
  </si>
  <si>
    <t>Weld shell nozzles, manways, etc._x000D_
INCL HOLE WATCH</t>
  </si>
  <si>
    <t>Add repads and weld</t>
  </si>
  <si>
    <t>Install Dip Pipes</t>
  </si>
  <si>
    <t>.740</t>
  </si>
  <si>
    <t>Install dip pipes_x000D_
INCL HOLE WATCH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</si>
  <si>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</si>
  <si>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</si>
  <si>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</si>
  <si>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</si>
  <si>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</si>
  <si>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</si>
  <si>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</si>
  <si>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Take Parts - Machine Shop</t>
  </si>
  <si>
    <t>.971</t>
  </si>
  <si>
    <t>Take parts to machine shop_x000D_
TAKE SPARGER PIPES FOR DRILLING</t>
  </si>
  <si>
    <t>P/U Parts - Machine Shop</t>
  </si>
  <si>
    <t>.973</t>
  </si>
  <si>
    <t>Pick up parts from machine shop_x000D_
PICK UP SPARGER PIPES</t>
  </si>
  <si>
    <t>101-25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</si>
</sst>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T-1615 RUPTURE DISK CATCH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PIPES FOR SPARGER ASSEMBLIES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INCL WELD BOTTOM RFSOs FOR A1 &amp; A2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>
        <f>'Sheet2-PASTE HERE!'!K27</f>
        <v>0</v>
      </c>
      <c r="E17" s="13">
        <f>'Sheet2-PASTE HERE!'!F27</f>
        <v>15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MAKE COPE (4) LEGS</v>
      </c>
      <c r="E18" s="13">
        <f>'Sheet2-PASTE HERE!'!F28</f>
        <v>12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.225</v>
      </c>
      <c r="D20" s="22" t="str">
        <f>'Sheet2-PASTE HERE!'!K30</f>
        <v>Cut and make baffle supports_x000D_
MAKE (4) SPARGER BOTTOM SUPPORTS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MAKE SPARGER ASSEMBLY</v>
      </c>
      <c r="E21" s="13">
        <f>'Sheet2-PASTE HERE!'!F31</f>
        <v>72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.300</v>
      </c>
      <c r="D22" s="22" t="str">
        <f>'Sheet2-PASTE HERE!'!K32</f>
        <v>Wrap top and bottom heads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clean_x000D_
SET UP (2) SINGLE SHELLS &amp; (1) DOUBLE SHELL</v>
      </c>
      <c r="E24" s="13">
        <f>'Sheet2-PASTE HERE!'!F34</f>
        <v>16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.310</v>
      </c>
      <c r="D25" s="22" t="str">
        <f>'Sheet2-PASTE HERE!'!K35</f>
        <v>Bevel shell plates_x000D_
BEVEL (8) SHELL PLATES</v>
      </c>
      <c r="E25" s="13">
        <f>'Sheet2-PASTE HERE!'!F35</f>
        <v>24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INCL WELD LONG SEAMS W/COBOT</v>
      </c>
      <c r="E26" s="13">
        <f>'Sheet2-PASTE HERE!'!F36</f>
        <v>24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ON BURN TABLE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.360</v>
      </c>
      <c r="D29" s="22" t="str">
        <f>'Sheet2-PASTE HERE!'!K39</f>
        <v>Bevel top head_x000D_
PREP HOLES FOR FULL PEN WELDS</v>
      </c>
      <c r="E29" s="13">
        <f>'Sheet2-PASTE HERE!'!F39</f>
        <v>8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</v>
      </c>
      <c r="E30" s="13">
        <f>'Sheet2-PASTE HERE!'!F40</f>
        <v>10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(4) LIFT LUGS</v>
      </c>
      <c r="E31" s="13">
        <f>'Sheet2-PASTE HERE!'!F41</f>
        <v>28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.370</v>
      </c>
      <c r="D32" s="22" t="str">
        <f>'Sheet2-PASTE HERE!'!K42</f>
        <v>Install and weld out repads - top head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ON BURN TABLE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.460</v>
      </c>
      <c r="D35" s="22" t="str">
        <f>'Sheet2-PASTE HERE!'!K45</f>
        <v>Bevel bottom head_x000D_
PREP FOR FULL PEN WELD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.465</v>
      </c>
      <c r="D36" s="22" t="str">
        <f>'Sheet2-PASTE HERE!'!K46</f>
        <v>Set  nozzles in bottom head - tack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.466</v>
      </c>
      <c r="D37" s="22" t="str">
        <f>'Sheet2-PASTE HERE!'!K47</f>
        <v>Weld nozzles in bottom head; weld complete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INCL WELD INSIDE</v>
      </c>
      <c r="E39" s="13">
        <f>'Sheet2-PASTE HERE!'!F49</f>
        <v>7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.605</v>
      </c>
      <c r="D40" s="22" t="str">
        <f>'Sheet2-PASTE HERE!'!K50</f>
        <v>Tack shell courses together_x000D_
(1) SINGLE &amp; (1) DOUBLE. USE SHELL PUSHING RIG</v>
      </c>
      <c r="E40" s="13">
        <f>'Sheet2-PASTE HERE!'!F50</f>
        <v>6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.610</v>
      </c>
      <c r="D41" s="22" t="str">
        <f>'Sheet2-PASTE HERE!'!K51</f>
        <v>Weld inside round seams_x000D_
(1) SINGLE &amp; (1) DOUBLE</v>
      </c>
      <c r="E41" s="13">
        <f>'Sheet2-PASTE HERE!'!F51</f>
        <v>8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.620</v>
      </c>
      <c r="D42" s="22" t="str">
        <f>'Sheet2-PASTE HERE!'!K52</f>
        <v>Lay out shell, burn and clean holes_x000D_
ON BURN TABLE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.630</v>
      </c>
      <c r="D43" s="22" t="str">
        <f>'Sheet2-PASTE HERE!'!K53</f>
        <v>Install internals - wear plates, rings, clips, etc._x000D_
LOWER SPARGER ASSEMBLIES INTO TANK &amp; TACK IN PLACE</v>
      </c>
      <c r="E43" s="13">
        <f>'Sheet2-PASTE HERE!'!F53</f>
        <v>20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</v>
      </c>
      <c r="D44" s="22" t="str">
        <f>'Sheet2-PASTE HERE!'!K54</f>
        <v>QC Inspection - Internal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.640</v>
      </c>
      <c r="D45" s="22" t="str">
        <f>'Sheet2-PASTE HERE!'!K55</f>
        <v>Fit top head to shell - tack</v>
      </c>
      <c r="E45" s="13">
        <f>'Sheet2-PASTE HERE!'!F55</f>
        <v>4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.641</v>
      </c>
      <c r="D46" s="22" t="str">
        <f>'Sheet2-PASTE HERE!'!K56</f>
        <v>Weld top head to shell - inside_x000D_
INCL HOLE WATCH</v>
      </c>
      <c r="E46" s="13">
        <f>'Sheet2-PASTE HERE!'!F56</f>
        <v>12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.645</v>
      </c>
      <c r="D47" s="22" t="str">
        <f>'Sheet2-PASTE HERE!'!K57</f>
        <v>Weld all outside seams_x000D_
USE COLUMN &amp; BOOM</v>
      </c>
      <c r="E47" s="13">
        <f>'Sheet2-PASTE HERE!'!F57</f>
        <v>12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.800</v>
      </c>
      <c r="D48" s="22" t="str">
        <f>'Sheet2-PASTE HERE!'!K58</f>
        <v>Move tank to detail rolls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.715</v>
      </c>
      <c r="D49" s="22" t="str">
        <f>'Sheet2-PASTE HERE!'!K59</f>
        <v>Install insulation/vacuum rings - tack</v>
      </c>
      <c r="E49" s="13">
        <f>'Sheet2-PASTE HERE!'!F59</f>
        <v>20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.720</v>
      </c>
      <c r="D50" s="22" t="str">
        <f>'Sheet2-PASTE HERE!'!K60</f>
        <v>Install supports - legs, lugs, anchors, saddles, skirt_x000D_
AND WELD COMPLETE</v>
      </c>
      <c r="E50" s="13">
        <f>'Sheet2-PASTE HERE!'!F60</f>
        <v>28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.725</v>
      </c>
      <c r="D51" s="22" t="str">
        <f>'Sheet2-PASTE HERE!'!K61</f>
        <v>Set nozzles in shell - tack</v>
      </c>
      <c r="E51" s="13">
        <f>'Sheet2-PASTE HERE!'!F61</f>
        <v>3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.726</v>
      </c>
      <c r="D52" s="22" t="str">
        <f>'Sheet2-PASTE HERE!'!K62</f>
        <v>Weld shell nozzles, manways, etc._x000D_
INCL HOLE WATCH</v>
      </c>
      <c r="E52" s="13">
        <f>'Sheet2-PASTE HERE!'!F62</f>
        <v>24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.730</v>
      </c>
      <c r="D53" s="22" t="str">
        <f>'Sheet2-PASTE HERE!'!K63</f>
        <v>Add repads and weld</v>
      </c>
      <c r="E53" s="13">
        <f>'Sheet2-PASTE HERE!'!F63</f>
        <v>4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.740</v>
      </c>
      <c r="D54" s="22" t="str">
        <f>'Sheet2-PASTE HERE!'!K64</f>
        <v>Install dip pipes_x000D_
INCL HOLE WATCH</v>
      </c>
      <c r="E54" s="13">
        <f>'Sheet2-PASTE HERE!'!F64</f>
        <v>30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.765</v>
      </c>
      <c r="D55" s="22" t="str">
        <f>'Sheet2-PASTE HERE!'!K65</f>
        <v>Install name tag</v>
      </c>
      <c r="E55" s="13">
        <f>'Sheet2-PASTE HERE!'!F65</f>
        <v>1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.770</v>
      </c>
      <c r="D56" s="22" t="str">
        <f>'Sheet2-PASTE HERE!'!K66</f>
        <v>Inspect tank, make repairs, get QC inspector</v>
      </c>
      <c r="E56" s="13">
        <f>'Sheet2-PASTE HERE!'!F66</f>
        <v>1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.QC6</v>
      </c>
      <c r="D57" s="22" t="str">
        <f>'Sheet2-PASTE HERE!'!K67</f>
        <v>QC Inspection - Fabrication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.OI2</v>
      </c>
      <c r="D58" s="22" t="str">
        <f>'Sheet2-PASTE HERE!'!K68</f>
        <v>ASME Inspection Internal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1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.801</v>
      </c>
      <c r="D59" s="22" t="str">
        <f>'Sheet2-PASTE HERE!'!K69</f>
        <v>Move to shop test area</v>
      </c>
      <c r="E59" s="13">
        <f>'Sheet2-PASTE HERE!'!F69</f>
        <v>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.910</v>
      </c>
      <c r="D60" s="22" t="str">
        <f>'Sheet2-PASTE HERE!'!K70</f>
        <v>Test tank</v>
      </c>
      <c r="E60" s="13">
        <f>'Sheet2-PASTE HERE!'!F70</f>
        <v>14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.QC7</v>
      </c>
      <c r="D61" s="22" t="str">
        <f>'Sheet2-PASTE HERE!'!K71</f>
        <v>QC Inspection -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.OI3</v>
      </c>
      <c r="D62" s="22" t="str">
        <f>'Sheet2-PASTE HERE!'!K72</f>
        <v>ASME Inspection Test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1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.920</v>
      </c>
      <c r="D63" s="22" t="str">
        <f>'Sheet2-PASTE HERE!'!K73</f>
        <v>Clean tank complete</v>
      </c>
      <c r="E63" s="13">
        <f>'Sheet2-PASTE HERE!'!F73</f>
        <v>40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.QC8</v>
      </c>
      <c r="D64" s="22" t="str">
        <f>'Sheet2-PASTE HERE!'!K74</f>
        <v>QC Inspection - Clean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2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.971</v>
      </c>
      <c r="D68" s="22" t="str">
        <f>'Sheet2-PASTE HERE!'!K78</f>
        <v>Take parts to machine shop_x000D_
TAKE SPARGER PIPES FOR DRILLING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.973</v>
      </c>
      <c r="D69" s="22" t="str">
        <f>'Sheet2-PASTE HERE!'!K79</f>
        <v>Pick up parts from machine shop_x000D_
PICK UP SPARGER PIPES</v>
      </c>
      <c r="E69" s="13">
        <f>'Sheet2-PASTE HERE!'!F79</f>
        <v>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T-1615 RUPTURE DISK CATCH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PIPES FOR SPARGER ASSEMBLIES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INCL WELD BOTTOM RFSOs FOR A1 &amp; A2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>
        <f>'Sheet2-PASTE HERE!'!K27</f>
        <v>0</v>
      </c>
      <c r="E17" s="13">
        <f>'Sheet2-PASTE HERE!'!F27</f>
        <v>15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MAKE COPE (4) LEGS</v>
      </c>
      <c r="E18" s="13">
        <f>'Sheet2-PASTE HERE!'!F28</f>
        <v>12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.225</v>
      </c>
      <c r="D20" s="22" t="str">
        <f>'Sheet2-PASTE HERE!'!K30</f>
        <v>Cut and make baffle supports_x000D_
MAKE (4) SPARGER BOTTOM SUPPORTS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MAKE SPARGER ASSEMBLY</v>
      </c>
      <c r="E21" s="13">
        <f>'Sheet2-PASTE HERE!'!F31</f>
        <v>72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.300</v>
      </c>
      <c r="D22" s="22" t="str">
        <f>'Sheet2-PASTE HERE!'!K32</f>
        <v>Wrap top and bottom heads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clean_x000D_
SET UP (2) SINGLE SHELLS &amp; (1) DOUBLE SHELL</v>
      </c>
      <c r="E24" s="13">
        <f>'Sheet2-PASTE HERE!'!F34</f>
        <v>16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.310</v>
      </c>
      <c r="D25" s="22" t="str">
        <f>'Sheet2-PASTE HERE!'!K35</f>
        <v>Bevel shell plates_x000D_
BEVEL (8) SHELL PLATES</v>
      </c>
      <c r="E25" s="13">
        <f>'Sheet2-PASTE HERE!'!F35</f>
        <v>24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INCL WELD LONG SEAMS W/COBOT</v>
      </c>
      <c r="E26" s="13">
        <f>'Sheet2-PASTE HERE!'!F36</f>
        <v>24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ON BURN TABLE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.360</v>
      </c>
      <c r="D29" s="22" t="str">
        <f>'Sheet2-PASTE HERE!'!K39</f>
        <v>Bevel top head_x000D_
PREP HOLES FOR FULL PEN WELDS</v>
      </c>
      <c r="E29" s="13">
        <f>'Sheet2-PASTE HERE!'!F39</f>
        <v>8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</v>
      </c>
      <c r="E30" s="13">
        <f>'Sheet2-PASTE HERE!'!F40</f>
        <v>10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(4) LIFT LUGS</v>
      </c>
      <c r="E31" s="13">
        <f>'Sheet2-PASTE HERE!'!F41</f>
        <v>28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.370</v>
      </c>
      <c r="D32" s="22" t="str">
        <f>'Sheet2-PASTE HERE!'!K42</f>
        <v>Install and weld out repads - top head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ON BURN TABLE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.460</v>
      </c>
      <c r="D35" s="22" t="str">
        <f>'Sheet2-PASTE HERE!'!K45</f>
        <v>Bevel bottom head_x000D_
PREP FOR FULL PEN WELD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.465</v>
      </c>
      <c r="D36" s="22" t="str">
        <f>'Sheet2-PASTE HERE!'!K46</f>
        <v>Set  nozzles in bottom head - tack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.466</v>
      </c>
      <c r="D37" s="22" t="str">
        <f>'Sheet2-PASTE HERE!'!K47</f>
        <v>Weld nozzles in bottom head; weld complete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INCL WELD INSIDE</v>
      </c>
      <c r="E39" s="13">
        <f>'Sheet2-PASTE HERE!'!F49</f>
        <v>7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.605</v>
      </c>
      <c r="D40" s="22" t="str">
        <f>'Sheet2-PASTE HERE!'!K50</f>
        <v>Tack shell courses together_x000D_
(1) SINGLE &amp; (1) DOUBLE. USE SHELL PUSHING RIG</v>
      </c>
      <c r="E40" s="13">
        <f>'Sheet2-PASTE HERE!'!F50</f>
        <v>6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.610</v>
      </c>
      <c r="D41" s="22" t="str">
        <f>'Sheet2-PASTE HERE!'!K51</f>
        <v>Weld inside round seams_x000D_
(1) SINGLE &amp; (1) DOUBLE</v>
      </c>
      <c r="E41" s="13">
        <f>'Sheet2-PASTE HERE!'!F51</f>
        <v>8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.620</v>
      </c>
      <c r="D42" s="22" t="str">
        <f>'Sheet2-PASTE HERE!'!K52</f>
        <v>Lay out shell, burn and clean holes_x000D_
ON BURN TABLE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.630</v>
      </c>
      <c r="D43" s="22" t="str">
        <f>'Sheet2-PASTE HERE!'!K53</f>
        <v>Install internals - wear plates, rings, clips, etc._x000D_
LOWER SPARGER ASSEMBLIES INTO TANK &amp; TACK IN PLACE</v>
      </c>
      <c r="E43" s="13">
        <f>'Sheet2-PASTE HERE!'!F53</f>
        <v>20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</v>
      </c>
      <c r="D44" s="22" t="str">
        <f>'Sheet2-PASTE HERE!'!K54</f>
        <v>QC Inspection - Internal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.640</v>
      </c>
      <c r="D45" s="22" t="str">
        <f>'Sheet2-PASTE HERE!'!K55</f>
        <v>Fit top head to shell - tack</v>
      </c>
      <c r="E45" s="13">
        <f>'Sheet2-PASTE HERE!'!F55</f>
        <v>4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.641</v>
      </c>
      <c r="D46" s="22" t="str">
        <f>'Sheet2-PASTE HERE!'!K56</f>
        <v>Weld top head to shell - inside_x000D_
INCL HOLE WATCH</v>
      </c>
      <c r="E46" s="13">
        <f>'Sheet2-PASTE HERE!'!F56</f>
        <v>12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.645</v>
      </c>
      <c r="D47" s="22" t="str">
        <f>'Sheet2-PASTE HERE!'!K57</f>
        <v>Weld all outside seams_x000D_
USE COLUMN &amp; BOOM</v>
      </c>
      <c r="E47" s="13">
        <f>'Sheet2-PASTE HERE!'!F57</f>
        <v>12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.800</v>
      </c>
      <c r="D48" s="22" t="str">
        <f>'Sheet2-PASTE HERE!'!K58</f>
        <v>Move tank to detail rolls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.715</v>
      </c>
      <c r="D49" s="22" t="str">
        <f>'Sheet2-PASTE HERE!'!K59</f>
        <v>Install insulation/vacuum rings - tack</v>
      </c>
      <c r="E49" s="13">
        <f>'Sheet2-PASTE HERE!'!F59</f>
        <v>20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.720</v>
      </c>
      <c r="D50" s="22" t="str">
        <f>'Sheet2-PASTE HERE!'!K60</f>
        <v>Install supports - legs, lugs, anchors, saddles, skirt_x000D_
AND WELD COMPLETE</v>
      </c>
      <c r="E50" s="13">
        <f>'Sheet2-PASTE HERE!'!F60</f>
        <v>28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.725</v>
      </c>
      <c r="D51" s="22" t="str">
        <f>'Sheet2-PASTE HERE!'!K61</f>
        <v>Set nozzles in shell - tack</v>
      </c>
      <c r="E51" s="13">
        <f>'Sheet2-PASTE HERE!'!F61</f>
        <v>3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.726</v>
      </c>
      <c r="D52" s="22" t="str">
        <f>'Sheet2-PASTE HERE!'!K62</f>
        <v>Weld shell nozzles, manways, etc._x000D_
INCL HOLE WATCH</v>
      </c>
      <c r="E52" s="13">
        <f>'Sheet2-PASTE HERE!'!F62</f>
        <v>24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.730</v>
      </c>
      <c r="D53" s="22" t="str">
        <f>'Sheet2-PASTE HERE!'!K63</f>
        <v>Add repads and weld</v>
      </c>
      <c r="E53" s="13">
        <f>'Sheet2-PASTE HERE!'!F63</f>
        <v>4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.740</v>
      </c>
      <c r="D54" s="22" t="str">
        <f>'Sheet2-PASTE HERE!'!K64</f>
        <v>Install dip pipes_x000D_
INCL HOLE WATCH</v>
      </c>
      <c r="E54" s="13">
        <f>'Sheet2-PASTE HERE!'!F64</f>
        <v>30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.765</v>
      </c>
      <c r="D55" s="22" t="str">
        <f>'Sheet2-PASTE HERE!'!K65</f>
        <v>Install name tag</v>
      </c>
      <c r="E55" s="13">
        <f>'Sheet2-PASTE HERE!'!F65</f>
        <v>1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.770</v>
      </c>
      <c r="D56" s="22" t="str">
        <f>'Sheet2-PASTE HERE!'!K66</f>
        <v>Inspect tank, make repairs, get QC inspector</v>
      </c>
      <c r="E56" s="13">
        <f>'Sheet2-PASTE HERE!'!F66</f>
        <v>1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.QC6</v>
      </c>
      <c r="D57" s="22" t="str">
        <f>'Sheet2-PASTE HERE!'!K67</f>
        <v>QC Inspection - Fabrication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.OI2</v>
      </c>
      <c r="D58" s="22" t="str">
        <f>'Sheet2-PASTE HERE!'!K68</f>
        <v>ASME Inspection Internal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1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.801</v>
      </c>
      <c r="D59" s="22" t="str">
        <f>'Sheet2-PASTE HERE!'!K69</f>
        <v>Move to shop test area</v>
      </c>
      <c r="E59" s="13">
        <f>'Sheet2-PASTE HERE!'!F69</f>
        <v>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.910</v>
      </c>
      <c r="D60" s="22" t="str">
        <f>'Sheet2-PASTE HERE!'!K70</f>
        <v>Test tank</v>
      </c>
      <c r="E60" s="13">
        <f>'Sheet2-PASTE HERE!'!F70</f>
        <v>14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.QC7</v>
      </c>
      <c r="D61" s="22" t="str">
        <f>'Sheet2-PASTE HERE!'!K71</f>
        <v>QC Inspection -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.OI3</v>
      </c>
      <c r="D62" s="22" t="str">
        <f>'Sheet2-PASTE HERE!'!K72</f>
        <v>ASME Inspection Test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1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.920</v>
      </c>
      <c r="D63" s="22" t="str">
        <f>'Sheet2-PASTE HERE!'!K73</f>
        <v>Clean tank complete</v>
      </c>
      <c r="E63" s="13">
        <f>'Sheet2-PASTE HERE!'!F73</f>
        <v>40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.QC8</v>
      </c>
      <c r="D64" s="22" t="str">
        <f>'Sheet2-PASTE HERE!'!K74</f>
        <v>QC Inspection - Clean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2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.971</v>
      </c>
      <c r="D68" s="22" t="str">
        <f>'Sheet2-PASTE HERE!'!K78</f>
        <v>Take parts to machine shop_x000D_
TAKE SPARGER PIPES FOR DRILLING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.973</v>
      </c>
      <c r="D69" s="22" t="str">
        <f>'Sheet2-PASTE HERE!'!K79</f>
        <v>Pick up parts from machine shop_x000D_
PICK UP SPARGER PIPES</v>
      </c>
      <c r="E69" s="13">
        <f>'Sheet2-PASTE HERE!'!F79</f>
        <v>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172</v>
      </c>
      <c r="C1" s="8" t="s">
        <v>17</v>
      </c>
      <c r="D1" s="8" t="s">
        <v>173</v>
      </c>
      <c r="E1" s="8" t="s">
        <v>18</v>
      </c>
      <c r="F1" s="8" t="s">
        <v>19</v>
      </c>
      <c r="G1" s="8" t="s">
        <v>172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45957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560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66021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66022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66023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66024</v>
      </c>
      <c r="C18" s="19">
        <v>0</v>
      </c>
      <c r="D18" s="8" t="s">
        <v>78</v>
      </c>
      <c r="E18" s="20">
        <v>0</v>
      </c>
      <c r="F18" s="20">
        <v>16</v>
      </c>
      <c r="G18" s="8" t="s">
        <v>54</v>
      </c>
      <c r="H18" s="20">
        <v>16</v>
      </c>
      <c r="I18" s="8" t="s">
        <v>79</v>
      </c>
      <c r="J18" s="19">
        <v>0</v>
      </c>
      <c r="K18" s="8" t="s">
        <v>175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66025</v>
      </c>
      <c r="C19" s="19">
        <v>0</v>
      </c>
      <c r="D19" s="8" t="s">
        <v>176</v>
      </c>
      <c r="E19" s="20">
        <v>0</v>
      </c>
      <c r="F19" s="20">
        <v>3</v>
      </c>
      <c r="G19" s="8" t="s">
        <v>54</v>
      </c>
      <c r="H19" s="20">
        <v>3</v>
      </c>
      <c r="I19" s="8" t="s">
        <v>177</v>
      </c>
      <c r="J19" s="19">
        <v>0</v>
      </c>
      <c r="K19" s="8" t="s">
        <v>178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66026</v>
      </c>
      <c r="C20" s="19">
        <v>0</v>
      </c>
      <c r="D20" s="8" t="s">
        <v>179</v>
      </c>
      <c r="E20" s="20">
        <v>0</v>
      </c>
      <c r="F20" s="20">
        <v>6</v>
      </c>
      <c r="G20" s="8" t="s">
        <v>54</v>
      </c>
      <c r="H20" s="20">
        <v>6</v>
      </c>
      <c r="I20" s="8" t="s">
        <v>180</v>
      </c>
      <c r="J20" s="19">
        <v>0</v>
      </c>
      <c r="K20" s="8" t="s">
        <v>181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66027</v>
      </c>
      <c r="C21" s="19">
        <v>0</v>
      </c>
      <c r="D21" s="8" t="s">
        <v>80</v>
      </c>
      <c r="E21" s="20">
        <v>0</v>
      </c>
      <c r="F21" s="20">
        <v>2</v>
      </c>
      <c r="G21" s="8" t="s">
        <v>54</v>
      </c>
      <c r="H21" s="20">
        <v>2</v>
      </c>
      <c r="I21" s="8" t="s">
        <v>81</v>
      </c>
      <c r="J21" s="19">
        <v>0</v>
      </c>
      <c r="K21" s="8" t="s">
        <v>82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66028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66029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66030</v>
      </c>
      <c r="C24" s="19">
        <v>0</v>
      </c>
      <c r="D24" s="8" t="s">
        <v>89</v>
      </c>
      <c r="E24" s="20">
        <v>0</v>
      </c>
      <c r="F24" s="20">
        <v>4</v>
      </c>
      <c r="G24" s="8" t="s">
        <v>54</v>
      </c>
      <c r="H24" s="20">
        <v>4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66031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66032</v>
      </c>
      <c r="C26" s="19">
        <v>0</v>
      </c>
      <c r="D26" s="8" t="s">
        <v>161</v>
      </c>
      <c r="E26" s="20">
        <v>0</v>
      </c>
      <c r="F26" s="20">
        <v>30</v>
      </c>
      <c r="G26" s="8" t="s">
        <v>54</v>
      </c>
      <c r="H26" s="20">
        <v>30</v>
      </c>
      <c r="I26" s="8" t="s">
        <v>59</v>
      </c>
      <c r="J26" s="19">
        <v>0</v>
      </c>
      <c r="K26" s="8" t="s">
        <v>95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66033</v>
      </c>
      <c r="C27" s="19">
        <v>0</v>
      </c>
      <c r="D27" s="8" t="s">
        <v>162</v>
      </c>
      <c r="E27" s="20">
        <v>0</v>
      </c>
      <c r="F27" s="20">
        <v>15</v>
      </c>
      <c r="G27" s="8" t="s">
        <v>54</v>
      </c>
      <c r="H27" s="20">
        <v>15</v>
      </c>
      <c r="I27" s="8" t="s">
        <v>163</v>
      </c>
      <c r="J27" s="19">
        <v>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66034</v>
      </c>
      <c r="C28" s="19">
        <v>0</v>
      </c>
      <c r="D28" s="8" t="s">
        <v>60</v>
      </c>
      <c r="E28" s="20">
        <v>0</v>
      </c>
      <c r="F28" s="20">
        <v>12</v>
      </c>
      <c r="G28" s="8" t="s">
        <v>54</v>
      </c>
      <c r="H28" s="20">
        <v>12</v>
      </c>
      <c r="I28" s="8" t="s">
        <v>61</v>
      </c>
      <c r="J28" s="19">
        <v>0</v>
      </c>
      <c r="K28" s="8" t="s">
        <v>182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66035</v>
      </c>
      <c r="C29" s="19">
        <v>0</v>
      </c>
      <c r="D29" s="8" t="s">
        <v>96</v>
      </c>
      <c r="E29" s="20">
        <v>0</v>
      </c>
      <c r="F29" s="20">
        <v>2</v>
      </c>
      <c r="G29" s="8" t="s">
        <v>54</v>
      </c>
      <c r="H29" s="20">
        <v>2</v>
      </c>
      <c r="I29" s="8" t="s">
        <v>97</v>
      </c>
      <c r="J29" s="19">
        <v>0</v>
      </c>
      <c r="K29" s="8" t="s">
        <v>183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66036</v>
      </c>
      <c r="C30" s="19">
        <v>0</v>
      </c>
      <c r="D30" s="8" t="s">
        <v>184</v>
      </c>
      <c r="E30" s="20">
        <v>0</v>
      </c>
      <c r="F30" s="20">
        <v>4</v>
      </c>
      <c r="G30" s="8" t="s">
        <v>54</v>
      </c>
      <c r="H30" s="20">
        <v>4</v>
      </c>
      <c r="I30" s="8" t="s">
        <v>185</v>
      </c>
      <c r="J30" s="19">
        <v>0</v>
      </c>
      <c r="K30" s="8" t="s">
        <v>186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66037</v>
      </c>
      <c r="C31" s="19">
        <v>0</v>
      </c>
      <c r="D31" s="8" t="s">
        <v>157</v>
      </c>
      <c r="E31" s="20">
        <v>0</v>
      </c>
      <c r="F31" s="20">
        <v>72</v>
      </c>
      <c r="G31" s="8" t="s">
        <v>54</v>
      </c>
      <c r="H31" s="20">
        <v>72</v>
      </c>
      <c r="I31" s="8" t="s">
        <v>158</v>
      </c>
      <c r="J31" s="19">
        <v>0</v>
      </c>
      <c r="K31" s="8" t="s">
        <v>187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66038</v>
      </c>
      <c r="C32" s="19">
        <v>0</v>
      </c>
      <c r="D32" s="8" t="s">
        <v>188</v>
      </c>
      <c r="E32" s="20">
        <v>0</v>
      </c>
      <c r="F32" s="20">
        <v>2</v>
      </c>
      <c r="G32" s="8" t="s">
        <v>54</v>
      </c>
      <c r="H32" s="20">
        <v>2</v>
      </c>
      <c r="I32" s="8" t="s">
        <v>189</v>
      </c>
      <c r="J32" s="19">
        <v>0</v>
      </c>
      <c r="K32" s="8" t="s">
        <v>190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66039</v>
      </c>
      <c r="C33" s="19">
        <v>0</v>
      </c>
      <c r="D33" s="8" t="s">
        <v>98</v>
      </c>
      <c r="E33" s="20">
        <v>0</v>
      </c>
      <c r="F33" s="20">
        <v>0</v>
      </c>
      <c r="G33" s="8" t="s">
        <v>54</v>
      </c>
      <c r="H33" s="20">
        <v>0</v>
      </c>
      <c r="I33" s="8" t="s">
        <v>99</v>
      </c>
      <c r="J33" s="19">
        <v>0</v>
      </c>
      <c r="K33" s="8" t="s">
        <v>98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66040</v>
      </c>
      <c r="C34" s="19">
        <v>0</v>
      </c>
      <c r="D34" s="8" t="s">
        <v>100</v>
      </c>
      <c r="E34" s="20">
        <v>0</v>
      </c>
      <c r="F34" s="20">
        <v>16</v>
      </c>
      <c r="G34" s="8" t="s">
        <v>54</v>
      </c>
      <c r="H34" s="20">
        <v>16</v>
      </c>
      <c r="I34" s="8" t="s">
        <v>101</v>
      </c>
      <c r="J34" s="19">
        <v>0</v>
      </c>
      <c r="K34" s="8" t="s">
        <v>191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66041</v>
      </c>
      <c r="C35" s="19">
        <v>0</v>
      </c>
      <c r="D35" s="8" t="s">
        <v>192</v>
      </c>
      <c r="E35" s="20">
        <v>0</v>
      </c>
      <c r="F35" s="20">
        <v>24</v>
      </c>
      <c r="G35" s="8" t="s">
        <v>54</v>
      </c>
      <c r="H35" s="20">
        <v>24</v>
      </c>
      <c r="I35" s="8" t="s">
        <v>193</v>
      </c>
      <c r="J35" s="19">
        <v>0</v>
      </c>
      <c r="K35" s="8" t="s">
        <v>194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66042</v>
      </c>
      <c r="C36" s="19">
        <v>0</v>
      </c>
      <c r="D36" s="8" t="s">
        <v>102</v>
      </c>
      <c r="E36" s="20">
        <v>0</v>
      </c>
      <c r="F36" s="20">
        <v>24</v>
      </c>
      <c r="G36" s="8" t="s">
        <v>54</v>
      </c>
      <c r="H36" s="20">
        <v>24</v>
      </c>
      <c r="I36" s="8" t="s">
        <v>103</v>
      </c>
      <c r="J36" s="19">
        <v>0</v>
      </c>
      <c r="K36" s="8" t="s">
        <v>195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66043</v>
      </c>
      <c r="C37" s="19">
        <v>0</v>
      </c>
      <c r="D37" s="8" t="s">
        <v>104</v>
      </c>
      <c r="E37" s="20">
        <v>0</v>
      </c>
      <c r="F37" s="20">
        <v>0</v>
      </c>
      <c r="G37" s="8" t="s">
        <v>54</v>
      </c>
      <c r="H37" s="20">
        <v>0</v>
      </c>
      <c r="I37" s="8" t="s">
        <v>105</v>
      </c>
      <c r="J37" s="19">
        <v>0</v>
      </c>
      <c r="K37" s="8" t="s">
        <v>106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66044</v>
      </c>
      <c r="C38" s="19">
        <v>0</v>
      </c>
      <c r="D38" s="8" t="s">
        <v>107</v>
      </c>
      <c r="E38" s="20">
        <v>0</v>
      </c>
      <c r="F38" s="20">
        <v>2</v>
      </c>
      <c r="G38" s="8" t="s">
        <v>54</v>
      </c>
      <c r="H38" s="20">
        <v>2</v>
      </c>
      <c r="I38" s="8" t="s">
        <v>108</v>
      </c>
      <c r="J38" s="19">
        <v>0</v>
      </c>
      <c r="K38" s="8" t="s">
        <v>196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66045</v>
      </c>
      <c r="C39" s="19">
        <v>0</v>
      </c>
      <c r="D39" s="8" t="s">
        <v>197</v>
      </c>
      <c r="E39" s="20">
        <v>0</v>
      </c>
      <c r="F39" s="20">
        <v>8</v>
      </c>
      <c r="G39" s="8" t="s">
        <v>54</v>
      </c>
      <c r="H39" s="20">
        <v>8</v>
      </c>
      <c r="I39" s="8" t="s">
        <v>198</v>
      </c>
      <c r="J39" s="19">
        <v>0</v>
      </c>
      <c r="K39" s="8" t="s">
        <v>199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66046</v>
      </c>
      <c r="C40" s="19">
        <v>0</v>
      </c>
      <c r="D40" s="8" t="s">
        <v>109</v>
      </c>
      <c r="E40" s="20">
        <v>0</v>
      </c>
      <c r="F40" s="20">
        <v>10</v>
      </c>
      <c r="G40" s="8" t="s">
        <v>54</v>
      </c>
      <c r="H40" s="20">
        <v>10</v>
      </c>
      <c r="I40" s="8" t="s">
        <v>110</v>
      </c>
      <c r="J40" s="19">
        <v>0</v>
      </c>
      <c r="K40" s="8" t="s">
        <v>200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66047</v>
      </c>
      <c r="C41" s="19">
        <v>0</v>
      </c>
      <c r="D41" s="8" t="s">
        <v>111</v>
      </c>
      <c r="E41" s="20">
        <v>0</v>
      </c>
      <c r="F41" s="20">
        <v>28</v>
      </c>
      <c r="G41" s="8" t="s">
        <v>54</v>
      </c>
      <c r="H41" s="20">
        <v>28</v>
      </c>
      <c r="I41" s="8" t="s">
        <v>112</v>
      </c>
      <c r="J41" s="19">
        <v>0</v>
      </c>
      <c r="K41" s="8" t="s">
        <v>201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66048</v>
      </c>
      <c r="C42" s="19">
        <v>0</v>
      </c>
      <c r="D42" s="8" t="s">
        <v>159</v>
      </c>
      <c r="E42" s="20">
        <v>0</v>
      </c>
      <c r="F42" s="20">
        <v>4</v>
      </c>
      <c r="G42" s="8" t="s">
        <v>54</v>
      </c>
      <c r="H42" s="20">
        <v>4</v>
      </c>
      <c r="I42" s="8" t="s">
        <v>160</v>
      </c>
      <c r="J42" s="19">
        <v>0</v>
      </c>
      <c r="K42" s="8" t="s">
        <v>202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66049</v>
      </c>
      <c r="C43" s="19">
        <v>0</v>
      </c>
      <c r="D43" s="8" t="s">
        <v>104</v>
      </c>
      <c r="E43" s="20">
        <v>0</v>
      </c>
      <c r="F43" s="20">
        <v>0</v>
      </c>
      <c r="G43" s="8" t="s">
        <v>54</v>
      </c>
      <c r="H43" s="20">
        <v>0</v>
      </c>
      <c r="I43" s="8" t="s">
        <v>105</v>
      </c>
      <c r="J43" s="19">
        <v>0</v>
      </c>
      <c r="K43" s="8" t="s">
        <v>106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66050</v>
      </c>
      <c r="C44" s="19">
        <v>0</v>
      </c>
      <c r="D44" s="8" t="s">
        <v>164</v>
      </c>
      <c r="E44" s="20">
        <v>0</v>
      </c>
      <c r="F44" s="20">
        <v>1</v>
      </c>
      <c r="G44" s="8" t="s">
        <v>54</v>
      </c>
      <c r="H44" s="20">
        <v>1</v>
      </c>
      <c r="I44" s="8" t="s">
        <v>165</v>
      </c>
      <c r="J44" s="19">
        <v>0</v>
      </c>
      <c r="K44" s="8" t="s">
        <v>203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66051</v>
      </c>
      <c r="C45" s="19">
        <v>0</v>
      </c>
      <c r="D45" s="8" t="s">
        <v>204</v>
      </c>
      <c r="E45" s="20">
        <v>0</v>
      </c>
      <c r="F45" s="20">
        <v>1</v>
      </c>
      <c r="G45" s="8" t="s">
        <v>54</v>
      </c>
      <c r="H45" s="20">
        <v>1</v>
      </c>
      <c r="I45" s="8" t="s">
        <v>205</v>
      </c>
      <c r="J45" s="19">
        <v>0</v>
      </c>
      <c r="K45" s="8" t="s">
        <v>206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66052</v>
      </c>
      <c r="C46" s="19">
        <v>0</v>
      </c>
      <c r="D46" s="8" t="s">
        <v>207</v>
      </c>
      <c r="E46" s="20">
        <v>0</v>
      </c>
      <c r="F46" s="20">
        <v>1</v>
      </c>
      <c r="G46" s="8" t="s">
        <v>54</v>
      </c>
      <c r="H46" s="20">
        <v>1</v>
      </c>
      <c r="I46" s="8" t="s">
        <v>208</v>
      </c>
      <c r="J46" s="19">
        <v>0</v>
      </c>
      <c r="K46" s="8" t="s">
        <v>209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66053</v>
      </c>
      <c r="C47" s="19">
        <v>0</v>
      </c>
      <c r="D47" s="8" t="s">
        <v>210</v>
      </c>
      <c r="E47" s="20">
        <v>0</v>
      </c>
      <c r="F47" s="20">
        <v>2</v>
      </c>
      <c r="G47" s="8" t="s">
        <v>54</v>
      </c>
      <c r="H47" s="20">
        <v>2</v>
      </c>
      <c r="I47" s="8" t="s">
        <v>211</v>
      </c>
      <c r="J47" s="19">
        <v>0</v>
      </c>
      <c r="K47" s="8" t="s">
        <v>212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66054</v>
      </c>
      <c r="C48" s="19">
        <v>0</v>
      </c>
      <c r="D48" s="8" t="s">
        <v>213</v>
      </c>
      <c r="E48" s="20">
        <v>0</v>
      </c>
      <c r="F48" s="20">
        <v>0</v>
      </c>
      <c r="G48" s="8" t="s">
        <v>54</v>
      </c>
      <c r="H48" s="20">
        <v>0</v>
      </c>
      <c r="I48" s="8" t="s">
        <v>214</v>
      </c>
      <c r="J48" s="19">
        <v>0</v>
      </c>
      <c r="K48" s="8" t="s">
        <v>213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66055</v>
      </c>
      <c r="C49" s="19">
        <v>0</v>
      </c>
      <c r="D49" s="8" t="s">
        <v>113</v>
      </c>
      <c r="E49" s="20">
        <v>0</v>
      </c>
      <c r="F49" s="20">
        <v>7</v>
      </c>
      <c r="G49" s="8" t="s">
        <v>54</v>
      </c>
      <c r="H49" s="20">
        <v>7</v>
      </c>
      <c r="I49" s="8" t="s">
        <v>114</v>
      </c>
      <c r="J49" s="19">
        <v>0</v>
      </c>
      <c r="K49" s="8" t="s">
        <v>215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66056</v>
      </c>
      <c r="C50" s="19">
        <v>0</v>
      </c>
      <c r="D50" s="8" t="s">
        <v>115</v>
      </c>
      <c r="E50" s="20">
        <v>0</v>
      </c>
      <c r="F50" s="20">
        <v>6</v>
      </c>
      <c r="G50" s="8" t="s">
        <v>54</v>
      </c>
      <c r="H50" s="20">
        <v>6</v>
      </c>
      <c r="I50" s="8" t="s">
        <v>116</v>
      </c>
      <c r="J50" s="19">
        <v>0</v>
      </c>
      <c r="K50" s="8" t="s">
        <v>216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66057</v>
      </c>
      <c r="C51" s="19">
        <v>0</v>
      </c>
      <c r="D51" s="8" t="s">
        <v>117</v>
      </c>
      <c r="E51" s="20">
        <v>0</v>
      </c>
      <c r="F51" s="20">
        <v>8</v>
      </c>
      <c r="G51" s="8" t="s">
        <v>54</v>
      </c>
      <c r="H51" s="20">
        <v>8</v>
      </c>
      <c r="I51" s="8" t="s">
        <v>118</v>
      </c>
      <c r="J51" s="19">
        <v>0</v>
      </c>
      <c r="K51" s="8" t="s">
        <v>217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72</v>
      </c>
      <c r="B52" s="18">
        <v>66058</v>
      </c>
      <c r="C52" s="19">
        <v>0</v>
      </c>
      <c r="D52" s="8" t="s">
        <v>119</v>
      </c>
      <c r="E52" s="20">
        <v>0</v>
      </c>
      <c r="F52" s="20">
        <v>2</v>
      </c>
      <c r="G52" s="8" t="s">
        <v>54</v>
      </c>
      <c r="H52" s="20">
        <v>2</v>
      </c>
      <c r="I52" s="8" t="s">
        <v>120</v>
      </c>
      <c r="J52" s="19">
        <v>0</v>
      </c>
      <c r="K52" s="8" t="s">
        <v>218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72</v>
      </c>
      <c r="B53" s="18">
        <v>66059</v>
      </c>
      <c r="C53" s="19">
        <v>0</v>
      </c>
      <c r="D53" s="8" t="s">
        <v>166</v>
      </c>
      <c r="E53" s="20">
        <v>0</v>
      </c>
      <c r="F53" s="20">
        <v>20</v>
      </c>
      <c r="G53" s="8" t="s">
        <v>54</v>
      </c>
      <c r="H53" s="20">
        <v>20</v>
      </c>
      <c r="I53" s="8" t="s">
        <v>167</v>
      </c>
      <c r="J53" s="19">
        <v>0</v>
      </c>
      <c r="K53" s="8" t="s">
        <v>219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66060</v>
      </c>
      <c r="C54" s="19">
        <v>0</v>
      </c>
      <c r="D54" s="8" t="s">
        <v>121</v>
      </c>
      <c r="E54" s="20">
        <v>0</v>
      </c>
      <c r="F54" s="20">
        <v>0</v>
      </c>
      <c r="G54" s="8" t="s">
        <v>54</v>
      </c>
      <c r="H54" s="20">
        <v>0</v>
      </c>
      <c r="I54" s="8" t="s">
        <v>122</v>
      </c>
      <c r="J54" s="19">
        <v>0</v>
      </c>
      <c r="K54" s="8" t="s">
        <v>121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72</v>
      </c>
      <c r="B55" s="18">
        <v>66061</v>
      </c>
      <c r="C55" s="19">
        <v>0</v>
      </c>
      <c r="D55" s="8" t="s">
        <v>123</v>
      </c>
      <c r="E55" s="20">
        <v>0</v>
      </c>
      <c r="F55" s="20">
        <v>4</v>
      </c>
      <c r="G55" s="8" t="s">
        <v>54</v>
      </c>
      <c r="H55" s="20">
        <v>4</v>
      </c>
      <c r="I55" s="8" t="s">
        <v>124</v>
      </c>
      <c r="J55" s="19">
        <v>0</v>
      </c>
      <c r="K55" s="8" t="s">
        <v>220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72</v>
      </c>
      <c r="B56" s="18">
        <v>66062</v>
      </c>
      <c r="C56" s="19">
        <v>0</v>
      </c>
      <c r="D56" s="8" t="s">
        <v>221</v>
      </c>
      <c r="E56" s="20">
        <v>0</v>
      </c>
      <c r="F56" s="20">
        <v>12</v>
      </c>
      <c r="G56" s="8" t="s">
        <v>54</v>
      </c>
      <c r="H56" s="20">
        <v>12</v>
      </c>
      <c r="I56" s="8" t="s">
        <v>222</v>
      </c>
      <c r="J56" s="19">
        <v>0</v>
      </c>
      <c r="K56" s="8" t="s">
        <v>223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66063</v>
      </c>
      <c r="C57" s="19">
        <v>0</v>
      </c>
      <c r="D57" s="8" t="s">
        <v>168</v>
      </c>
      <c r="E57" s="20">
        <v>0</v>
      </c>
      <c r="F57" s="20">
        <v>12</v>
      </c>
      <c r="G57" s="8" t="s">
        <v>54</v>
      </c>
      <c r="H57" s="20">
        <v>12</v>
      </c>
      <c r="I57" s="8" t="s">
        <v>169</v>
      </c>
      <c r="J57" s="19">
        <v>0</v>
      </c>
      <c r="K57" s="8" t="s">
        <v>224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125</v>
      </c>
      <c r="B58" s="18">
        <v>66064</v>
      </c>
      <c r="C58" s="19">
        <v>0</v>
      </c>
      <c r="D58" s="8" t="s">
        <v>126</v>
      </c>
      <c r="E58" s="20">
        <v>0</v>
      </c>
      <c r="F58" s="20">
        <v>2</v>
      </c>
      <c r="G58" s="8" t="s">
        <v>54</v>
      </c>
      <c r="H58" s="20">
        <v>2</v>
      </c>
      <c r="I58" s="8" t="s">
        <v>127</v>
      </c>
      <c r="J58" s="19">
        <v>0</v>
      </c>
      <c r="K58" s="8" t="s">
        <v>128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72</v>
      </c>
      <c r="B59" s="18">
        <v>66065</v>
      </c>
      <c r="C59" s="19">
        <v>0</v>
      </c>
      <c r="D59" s="8" t="s">
        <v>225</v>
      </c>
      <c r="E59" s="20">
        <v>0</v>
      </c>
      <c r="F59" s="20">
        <v>20</v>
      </c>
      <c r="G59" s="8" t="s">
        <v>54</v>
      </c>
      <c r="H59" s="20">
        <v>20</v>
      </c>
      <c r="I59" s="8" t="s">
        <v>226</v>
      </c>
      <c r="J59" s="19">
        <v>0</v>
      </c>
      <c r="K59" s="8" t="s">
        <v>227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66066</v>
      </c>
      <c r="C60" s="19">
        <v>0</v>
      </c>
      <c r="D60" s="8" t="s">
        <v>129</v>
      </c>
      <c r="E60" s="20">
        <v>0</v>
      </c>
      <c r="F60" s="20">
        <v>28</v>
      </c>
      <c r="G60" s="8" t="s">
        <v>54</v>
      </c>
      <c r="H60" s="20">
        <v>28</v>
      </c>
      <c r="I60" s="8" t="s">
        <v>130</v>
      </c>
      <c r="J60" s="19">
        <v>0</v>
      </c>
      <c r="K60" s="8" t="s">
        <v>228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72</v>
      </c>
      <c r="B61" s="18">
        <v>66067</v>
      </c>
      <c r="C61" s="19">
        <v>0</v>
      </c>
      <c r="D61" s="8" t="s">
        <v>131</v>
      </c>
      <c r="E61" s="20">
        <v>0</v>
      </c>
      <c r="F61" s="20">
        <v>3</v>
      </c>
      <c r="G61" s="8" t="s">
        <v>54</v>
      </c>
      <c r="H61" s="20">
        <v>3</v>
      </c>
      <c r="I61" s="8" t="s">
        <v>132</v>
      </c>
      <c r="J61" s="19">
        <v>0</v>
      </c>
      <c r="K61" s="8" t="s">
        <v>229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72</v>
      </c>
      <c r="B62" s="18">
        <v>66068</v>
      </c>
      <c r="C62" s="19">
        <v>0</v>
      </c>
      <c r="D62" s="8" t="s">
        <v>133</v>
      </c>
      <c r="E62" s="20">
        <v>0</v>
      </c>
      <c r="F62" s="20">
        <v>24</v>
      </c>
      <c r="G62" s="8" t="s">
        <v>54</v>
      </c>
      <c r="H62" s="20">
        <v>24</v>
      </c>
      <c r="I62" s="8" t="s">
        <v>134</v>
      </c>
      <c r="J62" s="19">
        <v>0</v>
      </c>
      <c r="K62" s="8" t="s">
        <v>230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72</v>
      </c>
      <c r="B63" s="18">
        <v>66069</v>
      </c>
      <c r="C63" s="19">
        <v>0</v>
      </c>
      <c r="D63" s="8" t="s">
        <v>170</v>
      </c>
      <c r="E63" s="20">
        <v>0</v>
      </c>
      <c r="F63" s="20">
        <v>4</v>
      </c>
      <c r="G63" s="8" t="s">
        <v>54</v>
      </c>
      <c r="H63" s="20">
        <v>4</v>
      </c>
      <c r="I63" s="8" t="s">
        <v>171</v>
      </c>
      <c r="J63" s="19">
        <v>0</v>
      </c>
      <c r="K63" s="8" t="s">
        <v>231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72</v>
      </c>
      <c r="B64" s="18">
        <v>66070</v>
      </c>
      <c r="C64" s="19">
        <v>0</v>
      </c>
      <c r="D64" s="8" t="s">
        <v>232</v>
      </c>
      <c r="E64" s="20">
        <v>0</v>
      </c>
      <c r="F64" s="20">
        <v>30</v>
      </c>
      <c r="G64" s="8" t="s">
        <v>54</v>
      </c>
      <c r="H64" s="20">
        <v>30</v>
      </c>
      <c r="I64" s="8" t="s">
        <v>233</v>
      </c>
      <c r="J64" s="19">
        <v>0</v>
      </c>
      <c r="K64" s="8" t="s">
        <v>234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62</v>
      </c>
      <c r="B65" s="18">
        <v>66071</v>
      </c>
      <c r="C65" s="19">
        <v>0</v>
      </c>
      <c r="D65" s="8" t="s">
        <v>135</v>
      </c>
      <c r="E65" s="20">
        <v>0</v>
      </c>
      <c r="F65" s="20">
        <v>1</v>
      </c>
      <c r="G65" s="8" t="s">
        <v>54</v>
      </c>
      <c r="H65" s="20">
        <v>1</v>
      </c>
      <c r="I65" s="8" t="s">
        <v>136</v>
      </c>
      <c r="J65" s="19">
        <v>0</v>
      </c>
      <c r="K65" s="8" t="s">
        <v>137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72</v>
      </c>
      <c r="B66" s="18">
        <v>66072</v>
      </c>
      <c r="C66" s="19">
        <v>0</v>
      </c>
      <c r="D66" s="8" t="s">
        <v>138</v>
      </c>
      <c r="E66" s="20">
        <v>0</v>
      </c>
      <c r="F66" s="20">
        <v>1</v>
      </c>
      <c r="G66" s="8" t="s">
        <v>54</v>
      </c>
      <c r="H66" s="20">
        <v>1</v>
      </c>
      <c r="I66" s="8" t="s">
        <v>139</v>
      </c>
      <c r="J66" s="19">
        <v>0</v>
      </c>
      <c r="K66" s="8" t="s">
        <v>140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66073</v>
      </c>
      <c r="C67" s="19">
        <v>0</v>
      </c>
      <c r="D67" s="8" t="s">
        <v>141</v>
      </c>
      <c r="E67" s="20">
        <v>0</v>
      </c>
      <c r="F67" s="20">
        <v>0</v>
      </c>
      <c r="G67" s="8" t="s">
        <v>54</v>
      </c>
      <c r="H67" s="20">
        <v>0</v>
      </c>
      <c r="I67" s="8" t="s">
        <v>142</v>
      </c>
      <c r="J67" s="19">
        <v>0</v>
      </c>
      <c r="K67" s="8" t="s">
        <v>143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66074</v>
      </c>
      <c r="C68" s="19">
        <v>0</v>
      </c>
      <c r="D68" s="8" t="s">
        <v>235</v>
      </c>
      <c r="E68" s="20">
        <v>0</v>
      </c>
      <c r="F68" s="20">
        <v>0</v>
      </c>
      <c r="G68" s="8" t="s">
        <v>54</v>
      </c>
      <c r="H68" s="20">
        <v>0</v>
      </c>
      <c r="I68" s="8" t="s">
        <v>236</v>
      </c>
      <c r="J68" s="19">
        <v>0</v>
      </c>
      <c r="K68" s="8" t="s">
        <v>235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125</v>
      </c>
      <c r="B69" s="18">
        <v>66075</v>
      </c>
      <c r="C69" s="19">
        <v>0</v>
      </c>
      <c r="D69" s="8" t="s">
        <v>144</v>
      </c>
      <c r="E69" s="20">
        <v>0</v>
      </c>
      <c r="F69" s="20">
        <v>2</v>
      </c>
      <c r="G69" s="8" t="s">
        <v>54</v>
      </c>
      <c r="H69" s="20">
        <v>2</v>
      </c>
      <c r="I69" s="8" t="s">
        <v>145</v>
      </c>
      <c r="J69" s="19">
        <v>0</v>
      </c>
      <c r="K69" s="8" t="s">
        <v>146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62</v>
      </c>
      <c r="B70" s="18">
        <v>66076</v>
      </c>
      <c r="C70" s="19">
        <v>0</v>
      </c>
      <c r="D70" s="8" t="s">
        <v>147</v>
      </c>
      <c r="E70" s="20">
        <v>0</v>
      </c>
      <c r="F70" s="20">
        <v>14</v>
      </c>
      <c r="G70" s="8" t="s">
        <v>54</v>
      </c>
      <c r="H70" s="20">
        <v>14</v>
      </c>
      <c r="I70" s="8" t="s">
        <v>148</v>
      </c>
      <c r="J70" s="19">
        <v>0</v>
      </c>
      <c r="K70" s="8" t="s">
        <v>149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66077</v>
      </c>
      <c r="C71" s="19">
        <v>0</v>
      </c>
      <c r="D71" s="8" t="s">
        <v>150</v>
      </c>
      <c r="E71" s="20">
        <v>0</v>
      </c>
      <c r="F71" s="20">
        <v>0</v>
      </c>
      <c r="G71" s="8" t="s">
        <v>54</v>
      </c>
      <c r="H71" s="20">
        <v>0</v>
      </c>
      <c r="I71" s="8" t="s">
        <v>151</v>
      </c>
      <c r="J71" s="19">
        <v>0</v>
      </c>
      <c r="K71" s="8" t="s">
        <v>150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66078</v>
      </c>
      <c r="C72" s="19">
        <v>0</v>
      </c>
      <c r="D72" s="8" t="s">
        <v>237</v>
      </c>
      <c r="E72" s="20">
        <v>0</v>
      </c>
      <c r="F72" s="20">
        <v>0</v>
      </c>
      <c r="G72" s="8" t="s">
        <v>54</v>
      </c>
      <c r="H72" s="20">
        <v>0</v>
      </c>
      <c r="I72" s="8" t="s">
        <v>238</v>
      </c>
      <c r="J72" s="19">
        <v>0</v>
      </c>
      <c r="K72" s="8" t="s">
        <v>237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62</v>
      </c>
      <c r="B73" s="18">
        <v>66079</v>
      </c>
      <c r="C73" s="19">
        <v>0</v>
      </c>
      <c r="D73" s="8" t="s">
        <v>152</v>
      </c>
      <c r="E73" s="20">
        <v>0</v>
      </c>
      <c r="F73" s="20">
        <v>40</v>
      </c>
      <c r="G73" s="8" t="s">
        <v>54</v>
      </c>
      <c r="H73" s="20">
        <v>40</v>
      </c>
      <c r="I73" s="8" t="s">
        <v>153</v>
      </c>
      <c r="J73" s="19">
        <v>0</v>
      </c>
      <c r="K73" s="8" t="s">
        <v>154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66080</v>
      </c>
      <c r="C74" s="19">
        <v>0</v>
      </c>
      <c r="D74" s="8" t="s">
        <v>155</v>
      </c>
      <c r="E74" s="20">
        <v>0</v>
      </c>
      <c r="F74" s="20">
        <v>0</v>
      </c>
      <c r="G74" s="8" t="s">
        <v>54</v>
      </c>
      <c r="H74" s="20">
        <v>0</v>
      </c>
      <c r="I74" s="8" t="s">
        <v>156</v>
      </c>
      <c r="J74" s="19">
        <v>0</v>
      </c>
      <c r="K74" s="8" t="s">
        <v>155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62</v>
      </c>
      <c r="B75" s="18">
        <v>66081</v>
      </c>
      <c r="C75" s="19">
        <v>0</v>
      </c>
      <c r="D75" s="8" t="s">
        <v>239</v>
      </c>
      <c r="E75" s="20">
        <v>0</v>
      </c>
      <c r="F75" s="20">
        <v>2</v>
      </c>
      <c r="G75" s="8" t="s">
        <v>54</v>
      </c>
      <c r="H75" s="20">
        <v>2</v>
      </c>
      <c r="I75" s="8" t="s">
        <v>240</v>
      </c>
      <c r="J75" s="19">
        <v>0</v>
      </c>
      <c r="K75" s="8" t="s">
        <v>241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66082</v>
      </c>
      <c r="C76" s="19">
        <v>0</v>
      </c>
      <c r="D76" s="8" t="s">
        <v>63</v>
      </c>
      <c r="E76" s="20">
        <v>0</v>
      </c>
      <c r="F76" s="20">
        <v>0</v>
      </c>
      <c r="G76" s="8" t="s">
        <v>54</v>
      </c>
      <c r="H76" s="20">
        <v>0</v>
      </c>
      <c r="I76" s="8" t="s">
        <v>64</v>
      </c>
      <c r="J76" s="19">
        <v>0</v>
      </c>
      <c r="K76" s="8" t="s">
        <v>65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66</v>
      </c>
      <c r="B77" s="18">
        <v>66083</v>
      </c>
      <c r="C77" s="19">
        <v>0</v>
      </c>
      <c r="D77" s="8" t="s">
        <v>67</v>
      </c>
      <c r="E77" s="20">
        <v>0</v>
      </c>
      <c r="F77" s="20">
        <v>5</v>
      </c>
      <c r="G77" s="8" t="s">
        <v>54</v>
      </c>
      <c r="H77" s="20">
        <v>5</v>
      </c>
      <c r="I77" s="8" t="s">
        <v>68</v>
      </c>
      <c r="J77" s="19">
        <v>0</v>
      </c>
      <c r="K77" s="8" t="s">
        <v>69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66</v>
      </c>
      <c r="B78" s="18">
        <v>66084</v>
      </c>
      <c r="C78" s="19">
        <v>0</v>
      </c>
      <c r="D78" s="8" t="s">
        <v>242</v>
      </c>
      <c r="E78" s="20">
        <v>0</v>
      </c>
      <c r="F78" s="20">
        <v>2</v>
      </c>
      <c r="G78" s="8" t="s">
        <v>54</v>
      </c>
      <c r="H78" s="20">
        <v>2</v>
      </c>
      <c r="I78" s="8" t="s">
        <v>243</v>
      </c>
      <c r="J78" s="19">
        <v>0</v>
      </c>
      <c r="K78" s="8" t="s">
        <v>244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66</v>
      </c>
      <c r="B79" s="18">
        <v>66085</v>
      </c>
      <c r="C79" s="19">
        <v>0</v>
      </c>
      <c r="D79" s="8" t="s">
        <v>245</v>
      </c>
      <c r="E79" s="20">
        <v>0</v>
      </c>
      <c r="F79" s="20">
        <v>2</v>
      </c>
      <c r="G79" s="8" t="s">
        <v>54</v>
      </c>
      <c r="H79" s="20">
        <v>2</v>
      </c>
      <c r="I79" s="8" t="s">
        <v>246</v>
      </c>
      <c r="J79" s="19">
        <v>0</v>
      </c>
      <c r="K79" s="8" t="s">
        <v>247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/>
    <row r="81" spans="2:10" ht="12.75" customHeight="1" x14ac:dyDescent="0.2">
      <c r="B81" s="8" t="s">
        <v>16</v>
      </c>
      <c r="C81" s="8" t="s">
        <v>172</v>
      </c>
      <c r="E81" s="8" t="s">
        <v>19</v>
      </c>
      <c r="F81" s="8" t="s">
        <v>19</v>
      </c>
      <c r="G81" s="8" t="s">
        <v>21</v>
      </c>
      <c r="H81" s="8" t="s">
        <v>19</v>
      </c>
      <c r="J81" s="8" t="s">
        <v>19</v>
      </c>
    </row>
    <row r="82" spans="2:10" ht="12.75" customHeight="1" x14ac:dyDescent="0.2"/>
    <row r="83" spans="2:10" ht="12.75" customHeight="1" x14ac:dyDescent="0.2"/>
    <row r="84" spans="2:10" ht="12.75" customHeight="1" x14ac:dyDescent="0.2"/>
    <row r="85" spans="2:10" ht="12.75" customHeight="1" x14ac:dyDescent="0.2"/>
    <row r="86" spans="2:10" ht="12.75" customHeight="1" x14ac:dyDescent="0.2"/>
    <row r="87" spans="2:10" ht="12.75" customHeight="1" x14ac:dyDescent="0.2"/>
    <row r="88" spans="2:10" ht="12.75" customHeight="1" x14ac:dyDescent="0.2"/>
    <row r="89" spans="2:10" ht="12.75" customHeight="1" x14ac:dyDescent="0.2"/>
    <row r="90" spans="2:10" ht="12.75" customHeight="1" x14ac:dyDescent="0.2"/>
    <row r="91" spans="2:10" ht="12.75" customHeight="1" x14ac:dyDescent="0.2"/>
    <row r="92" spans="2:10" ht="12.75" customHeight="1" x14ac:dyDescent="0.2"/>
    <row r="93" spans="2:10" ht="12.75" customHeight="1" x14ac:dyDescent="0.2"/>
    <row r="94" spans="2:10" ht="12.75" customHeight="1" x14ac:dyDescent="0.2"/>
    <row r="95" spans="2:10" ht="12.75" customHeight="1" x14ac:dyDescent="0.2"/>
    <row r="96" spans="2:10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101-25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PIPES FOR SPARGER ASSEMBLIES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101-25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16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101-25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101-25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INCL WELD BOTTOM RFSOs FOR A1 &amp; A2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101-25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101-25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101-25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101-25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101-25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101-25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30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101-25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15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101-25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MAKE COPE (4) LEGS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12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101-25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101-25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.225</v>
      </c>
      <c r="C80" s="40" t="str">
        <f>'Build Plan w Hours'!D20</f>
        <v>Cut and make baffle supports_x000D_
MAKE (4) SPARGER BOTTOM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101-25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MAKE SPARGER ASSEMBLY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72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101-25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.300</v>
      </c>
      <c r="C92" s="40" t="str">
        <f>'Build Plan w Hours'!D22</f>
        <v>Wrap top and bottom heads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101-25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101-25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clean_x000D_
SET UP (2) SINGLE SHELLS &amp; (1) DOUBLE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16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101-25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.310</v>
      </c>
      <c r="C110" s="40" t="str">
        <f>'Build Plan w Hours'!D25</f>
        <v>Bevel shell plates_x000D_
BEVEL (8) SHELL PLATES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24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101-25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INCL WELD LONG SEAMS W/COBOT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24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101-25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101-25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101-25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.360</v>
      </c>
      <c r="C134" s="40" t="str">
        <f>'Build Plan w Hours'!D29</f>
        <v>Bevel top head_x000D_
PREP HOLES FOR FULL PEN WELDS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8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101-25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10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101-25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(4)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28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101-25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.370</v>
      </c>
      <c r="C152" s="40" t="str">
        <f>'Build Plan w Hours'!D32</f>
        <v>Install and weld out repads - top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101-25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101-25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101-25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.460</v>
      </c>
      <c r="C170" s="40" t="str">
        <f>'Build Plan w Hours'!D35</f>
        <v>Bevel bottom head_x000D_
PREP FOR FULL PEN WELD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101-25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.465</v>
      </c>
      <c r="C176" s="40" t="str">
        <f>'Build Plan w Hours'!D36</f>
        <v>Set  nozzles in bottom head - tack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101-25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.466</v>
      </c>
      <c r="C182" s="40" t="str">
        <f>'Build Plan w Hours'!D37</f>
        <v>Weld nozzles in bottom head; weld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101-25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101-25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INCL WELD INSIDE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7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101-25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.605</v>
      </c>
      <c r="C200" s="40" t="str">
        <f>'Build Plan w Hours'!D40</f>
        <v>Tack shell courses together_x000D_
(1) SINGLE &amp; (1) DOUBLE. USE SHELL PUSHING RIG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6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101-25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.610</v>
      </c>
      <c r="C206" s="40" t="str">
        <f>'Build Plan w Hours'!D41</f>
        <v>Weld inside round seams_x000D_
(1) SINGLE &amp; (1) DOUBLE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8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101-25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.620</v>
      </c>
      <c r="C212" s="40" t="str">
        <f>'Build Plan w Hours'!D42</f>
        <v>Lay out shell, burn and clean holes_x000D_
ON BURN TABLE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101-25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.630</v>
      </c>
      <c r="C218" s="40" t="str">
        <f>'Build Plan w Hours'!D43</f>
        <v>Install internals - wear plates, rings, clips, etc._x000D_
LOWER SPARGER ASSEMBLIES INTO TANK &amp; TACK IN PLACE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20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101-25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.QC5</v>
      </c>
      <c r="C224" s="40" t="str">
        <f>'Build Plan w Hours'!D44</f>
        <v>QC Inspection -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101-25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.640</v>
      </c>
      <c r="C230" s="40" t="str">
        <f>'Build Plan w Hours'!D45</f>
        <v>Fit top head to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4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101-25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.641</v>
      </c>
      <c r="C236" s="40" t="str">
        <f>'Build Plan w Hours'!D46</f>
        <v>Weld top head to shell - inside_x000D_
INCL HOLE WATCH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12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101-25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.645</v>
      </c>
      <c r="C242" s="40" t="str">
        <f>'Build Plan w Hours'!D47</f>
        <v>Weld all outside seams_x000D_
USE COLUMN &amp; BOOM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101-25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.800</v>
      </c>
      <c r="C248" s="40" t="str">
        <f>'Build Plan w Hours'!D48</f>
        <v>Move tank to detail rolls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101-25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.715</v>
      </c>
      <c r="C254" s="40" t="str">
        <f>'Build Plan w Hours'!D49</f>
        <v>Install insulation/vacuum rings - tack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20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101-25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.720</v>
      </c>
      <c r="C260" s="40" t="str">
        <f>'Build Plan w Hours'!D50</f>
        <v>Install supports - legs, lugs, anchors, saddles, skirt_x000D_
AND WELD COMPLETE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28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101-25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.725</v>
      </c>
      <c r="C266" s="40" t="str">
        <f>'Build Plan w Hours'!D51</f>
        <v>Set nozzles in shell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3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101-25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.726</v>
      </c>
      <c r="C272" s="40" t="str">
        <f>'Build Plan w Hours'!D52</f>
        <v>Weld shell nozzles, manways, etc._x000D_
INCL HOLE WATCH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24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101-25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.730</v>
      </c>
      <c r="C278" s="40" t="str">
        <f>'Build Plan w Hours'!D53</f>
        <v>Add repads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4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101-25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.740</v>
      </c>
      <c r="C284" s="40" t="str">
        <f>'Build Plan w Hours'!D54</f>
        <v>Install dip pipes_x000D_
INCL HOLE WATCH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30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101-25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.765</v>
      </c>
      <c r="C290" s="40" t="str">
        <f>'Build Plan w Hours'!D55</f>
        <v>Install name tag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1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101-25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.770</v>
      </c>
      <c r="C296" s="40" t="str">
        <f>'Build Plan w Hours'!D56</f>
        <v>Inspect tank, make repairs, get QC inspector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1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101-25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.QC6</v>
      </c>
      <c r="C302" s="40" t="str">
        <f>'Build Plan w Hours'!D57</f>
        <v>QC Inspection - Fabrication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101-25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.OI2</v>
      </c>
      <c r="C308" s="40" t="str">
        <f>'Build Plan w Hours'!D58</f>
        <v>ASME Inspection Internal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101-25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.801</v>
      </c>
      <c r="C314" s="40" t="str">
        <f>'Build Plan w Hours'!D59</f>
        <v>Move to shop test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101-25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.910</v>
      </c>
      <c r="C320" s="40" t="str">
        <f>'Build Plan w Hours'!D60</f>
        <v>Test tank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14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101-25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.QC7</v>
      </c>
      <c r="C326" s="40" t="str">
        <f>'Build Plan w Hours'!D61</f>
        <v>QC Inspection -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101-25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.OI3</v>
      </c>
      <c r="C332" s="40" t="str">
        <f>'Build Plan w Hours'!D62</f>
        <v>ASME Inspection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101-25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.920</v>
      </c>
      <c r="C338" s="40" t="str">
        <f>'Build Plan w Hours'!D63</f>
        <v>Clean tank complete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40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101-25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.QC8</v>
      </c>
      <c r="C344" s="40" t="str">
        <f>'Build Plan w Hours'!D64</f>
        <v>QC Inspection - Clean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101-25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2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101-25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101-25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101-25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 t="str">
        <f>'Build Plan w Hours'!C68</f>
        <v>.971</v>
      </c>
      <c r="C368" s="40" t="str">
        <f>'Build Plan w Hours'!D68</f>
        <v>Take parts to machine shop_x000D_
TAKE SPARGER PIPES FOR DRILLING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101-25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.973</v>
      </c>
      <c r="C374" s="40" t="str">
        <f>'Build Plan w Hours'!D69</f>
        <v>Pick up parts from machine shop_x000D_
PICK UP SPARGER PIPES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101-25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101-25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 t="str">
        <f>'Build Plan w Hours'!E71</f>
        <v/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101-25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101-25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101-25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101-25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101-25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101-25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101-25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101-25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101-25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101-25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101-25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101-25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101-25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101-25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101-25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101-25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PIPES FOR SPARGER ASSEMBLIES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101-25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101-25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101-25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INCL WELD BOTTOM RFSOs FOR A1 &amp; A2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101-25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101-25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101-25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101-25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101-25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101-25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101-25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101-25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MAKE COPE (4) LEGS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101-25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101-25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.225</v>
      </c>
      <c r="C80" s="40" t="str">
        <f>'Build Plan w Hours'!D20</f>
        <v>Cut and make baffle supports_x000D_
MAKE (4) SPARGER BOTTOM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101-25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MAKE SPARGER ASSEMBLY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101-25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.300</v>
      </c>
      <c r="C92" s="40" t="str">
        <f>'Build Plan w Hours'!D22</f>
        <v>Wrap top and bottom heads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101-25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101-25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clean_x000D_
SET UP (2) SINGLE SHELLS &amp; (1) DOUBLE SHELL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101-25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.310</v>
      </c>
      <c r="C110" s="40" t="str">
        <f>'Build Plan w Hours'!D25</f>
        <v>Bevel shell plates_x000D_
BEVEL (8) SHELL PLATES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101-25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INCL WELD LONG SEAMS W/COBOT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101-25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101-25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101-25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.360</v>
      </c>
      <c r="C134" s="40" t="str">
        <f>'Build Plan w Hours'!D29</f>
        <v>Bevel top head_x000D_
PREP HOLES FOR FULL PEN WELDS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101-25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101-25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(4)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101-25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.370</v>
      </c>
      <c r="C152" s="40" t="str">
        <f>'Build Plan w Hours'!D32</f>
        <v>Install and weld out repads - top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101-25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101-25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101-25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.460</v>
      </c>
      <c r="C170" s="40" t="str">
        <f>'Build Plan w Hours'!D35</f>
        <v>Bevel bottom head_x000D_
PREP FOR FULL PEN WELD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101-25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.465</v>
      </c>
      <c r="C176" s="40" t="str">
        <f>'Build Plan w Hours'!D36</f>
        <v>Set  nozzles in bottom head - tack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101-25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.466</v>
      </c>
      <c r="C182" s="40" t="str">
        <f>'Build Plan w Hours'!D37</f>
        <v>Weld nozzles in bottom head; weld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101-25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101-25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INCL WELD INSIDE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101-25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.605</v>
      </c>
      <c r="C200" s="40" t="str">
        <f>'Build Plan w Hours'!D40</f>
        <v>Tack shell courses together_x000D_
(1) SINGLE &amp; (1) DOUBLE. USE SHELL PUSHING RIG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101-25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.610</v>
      </c>
      <c r="C206" s="40" t="str">
        <f>'Build Plan w Hours'!D41</f>
        <v>Weld inside round seams_x000D_
(1) SINGLE &amp; (1) DOUBLE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101-25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.620</v>
      </c>
      <c r="C212" s="40" t="str">
        <f>'Build Plan w Hours'!D42</f>
        <v>Lay out shell, burn and clean holes_x000D_
ON BURN TABLE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101-25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.630</v>
      </c>
      <c r="C218" s="40" t="str">
        <f>'Build Plan w Hours'!D43</f>
        <v>Install internals - wear plates, rings, clips, etc._x000D_
LOWER SPARGER ASSEMBLIES INTO TANK &amp; TACK IN PLACE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101-25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.QC5</v>
      </c>
      <c r="C224" s="40" t="str">
        <f>'Build Plan w Hours'!D44</f>
        <v>QC Inspection -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101-25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.640</v>
      </c>
      <c r="C230" s="40" t="str">
        <f>'Build Plan w Hours'!D45</f>
        <v>Fit top head to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101-25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.641</v>
      </c>
      <c r="C236" s="40" t="str">
        <f>'Build Plan w Hours'!D46</f>
        <v>Weld top head to shell - inside_x000D_
INCL HOLE WATCH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101-25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.645</v>
      </c>
      <c r="C242" s="40" t="str">
        <f>'Build Plan w Hours'!D47</f>
        <v>Weld all outside seams_x000D_
USE COLUMN &amp; BOOM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101-25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.800</v>
      </c>
      <c r="C248" s="40" t="str">
        <f>'Build Plan w Hours'!D48</f>
        <v>Move tank to detail rolls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101-25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.715</v>
      </c>
      <c r="C254" s="40" t="str">
        <f>'Build Plan w Hours'!D49</f>
        <v>Install insulation/vacuum rings - tack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101-25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.720</v>
      </c>
      <c r="C260" s="40" t="str">
        <f>'Build Plan w Hours'!D50</f>
        <v>Install supports - legs, lugs, anchors, saddles, skirt_x000D_
AND WELD COMPLETE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101-25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.725</v>
      </c>
      <c r="C266" s="40" t="str">
        <f>'Build Plan w Hours'!D51</f>
        <v>Set nozzles in shell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101-25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.726</v>
      </c>
      <c r="C272" s="40" t="str">
        <f>'Build Plan w Hours'!D52</f>
        <v>Weld shell nozzles, manways, etc._x000D_
INCL HOLE WATCH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101-25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.730</v>
      </c>
      <c r="C278" s="40" t="str">
        <f>'Build Plan w Hours'!D53</f>
        <v>Add repads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101-25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.740</v>
      </c>
      <c r="C284" s="40" t="str">
        <f>'Build Plan w Hours'!D54</f>
        <v>Install dip pipes_x000D_
INCL HOLE WATCH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101-25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.765</v>
      </c>
      <c r="C290" s="40" t="str">
        <f>'Build Plan w Hours'!D55</f>
        <v>Install name tag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101-25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.770</v>
      </c>
      <c r="C296" s="40" t="str">
        <f>'Build Plan w Hours'!D56</f>
        <v>Inspect tank, make repairs, get QC inspector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101-25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.QC6</v>
      </c>
      <c r="C302" s="40" t="str">
        <f>'Build Plan w Hours'!D57</f>
        <v>QC Inspection - Fabrication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101-25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.OI2</v>
      </c>
      <c r="C308" s="40" t="str">
        <f>'Build Plan w Hours'!D58</f>
        <v>ASME Inspection Internal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101-25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.801</v>
      </c>
      <c r="C314" s="40" t="str">
        <f>'Build Plan w Hours'!D59</f>
        <v>Move to shop test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101-25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.910</v>
      </c>
      <c r="C320" s="40" t="str">
        <f>'Build Plan w Hours'!D60</f>
        <v>Test tank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101-25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.QC7</v>
      </c>
      <c r="C326" s="40" t="str">
        <f>'Build Plan w Hours'!D61</f>
        <v>QC Inspection -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101-25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.OI3</v>
      </c>
      <c r="C332" s="40" t="str">
        <f>'Build Plan w Hours'!D62</f>
        <v>ASME Inspection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101-25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.920</v>
      </c>
      <c r="C338" s="40" t="str">
        <f>'Build Plan w Hours'!D63</f>
        <v>Clean tank complete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101-25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.QC8</v>
      </c>
      <c r="C344" s="40" t="str">
        <f>'Build Plan w Hours'!D64</f>
        <v>QC Inspection - Clean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101-25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101-25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101-25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101-25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 t="str">
        <f>'Build Plan w Hours'!C68</f>
        <v>.971</v>
      </c>
      <c r="C368" s="40" t="str">
        <f>'Build Plan w Hours'!D68</f>
        <v>Take parts to machine shop_x000D_
TAKE SPARGER PIPES FOR DRILLING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101-25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.973</v>
      </c>
      <c r="C374" s="40" t="str">
        <f>'Build Plan w Hours'!D69</f>
        <v>Pick up parts from machine shop_x000D_
PICK UP SPARGER PIPES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101-25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101-25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101-25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101-25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101-25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101-25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101-25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101-25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101-25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101-25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101-25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101-25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101-25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101-25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101-25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101-25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101-25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101-25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101-25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2026-01-21T14:38:55Z</cp:lastPrinted>
  <dcterms:created xsi:type="dcterms:W3CDTF">2016-06-28T20:53:17Z</dcterms:created>
  <dcterms:modified xsi:type="dcterms:W3CDTF">2026-01-21T14:41:42Z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