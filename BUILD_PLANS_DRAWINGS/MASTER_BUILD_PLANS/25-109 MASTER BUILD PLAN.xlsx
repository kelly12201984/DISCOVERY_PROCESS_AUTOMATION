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09-25 - Epic - V-117\"/>
    </mc:Choice>
  </mc:AlternateContent>
  <xr:revisionPtr revIDLastSave="0" documentId="8_{EC8952EF-EC04-4471-A32F-75DC92A8594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Hours'!$A$1:$H$38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<sst xmlns="http://schemas.openxmlformats.org/spreadsheetml/2006/main" count="1699" uniqueCount="228">
  <si>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</si>
  <si>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</si>
  <si>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</si>
  <si>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</si>
  <si>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</si>
  <si>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</si>
  <si>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</si>
  <si>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</si>
  <si>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</si>
  <si>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</si>
  <si>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</si>
  <si>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</si>
  <si>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</si>
  <si>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</si>
  <si>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</si>
  <si>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</si>
  <si>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</si>
  <si>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</si>
  <si>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</si>
  <si>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</si>
  <si>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</si>
  <si>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</si>
  <si>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</si>
  <si>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</si>
  <si>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</si>
  <si>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</si>
  <si>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</si>
  <si>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</si>
  <si>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</si>
  <si>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</si>
  <si>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</si>
  <si>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</si>
  <si>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</si>
  <si>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</si>
  <si>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</si>
  <si>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</si>
  <si>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</si>
  <si>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</si>
  <si>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</si>
  <si>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</si>
  <si>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</si>
  <si>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</si>
  <si>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</si>
  <si>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</si>
  <si>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</si>
  <si>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</si>
  <si>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</si>
  <si>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</si>
  <si>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</si>
  <si>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</si>
  <si>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</si>
  <si>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</si>
  <si>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</si>
  <si>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</si>
  <si>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</si>
  <si>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</si>
  <si>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</si>
  <si>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</si>
  <si>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</si>
  <si>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</si>
  <si>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</si>
  <si>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</si>
  <si>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</si>
  <si>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</si>
  <si>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</si>
  <si>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</si>
  <si>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</si>
  <si>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</si>
  <si>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</si>
  <si>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</si>
  <si>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</si>
  <si>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</si>
  <si>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</si>
  <si>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</si>
  <si>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</si>
  <si>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</si>
  <si>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</si>
  <si>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</si>
  <si>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</si>
  <si>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</si>
  <si>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</si>
  <si>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Fit Bottom Head to Shell</t>
  </si>
  <si>
    <t>.600</t>
  </si>
  <si>
    <t>L/O Shell, B&amp;C Holes</t>
  </si>
  <si>
    <t>.620</t>
  </si>
  <si>
    <t>QC Inspection - Internal</t>
  </si>
  <si>
    <t>.QC5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</si>
  <si>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</si>
  <si>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</si>
  <si>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</si>
  <si>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</si>
  <si>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</si>
  <si>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</si>
  <si>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</si>
  <si>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</si>
  <si>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</si>
  <si>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</si>
  <si>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</si>
  <si>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</si>
  <si>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</si>
  <si>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</si>
  <si>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</si>
  <si>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</si>
  <si>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</si>
  <si>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</si>
  <si>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</si>
  <si>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</si>
  <si>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</si>
  <si>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</si>
  <si>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</si>
  <si>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</si>
  <si>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</si>
  <si>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</si>
  <si>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</si>
  <si>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Clean &amp; Prep Parts</t>
  </si>
  <si>
    <t>.156</t>
  </si>
  <si>
    <t>Weld all Outside Seams</t>
  </si>
  <si>
    <t>.645</t>
  </si>
  <si>
    <t xml:space="preserve">|25-109y~ </t>
  </si>
  <si>
    <t>V-117</t>
  </si>
  <si>
    <t>967245923</t>
  </si>
  <si>
    <t xml:space="preserve">Customer </t>
  </si>
  <si>
    <t>Ship To</t>
  </si>
  <si>
    <t xml:space="preserve">EPIC SYSTEMS GROUP. LLC - P&amp;M_x000D_
4142 MERAMEC BOTTOM ROAD_x000D_
ST. LOUIS, MO 63129_x000D_
US_x000D_
</t>
  </si>
  <si>
    <t>EPIC SYSTEMS GROUP, LLC - P&amp;M_x000D_
4142 MERAMEC BOTTOM ROAD_x000D_
ST. LOUIS,MO  63129_x000D_
United States</t>
  </si>
  <si>
    <t xml:space="preserve">Contact </t>
  </si>
  <si>
    <t>Ship Via</t>
  </si>
  <si>
    <t>Best Way</t>
  </si>
  <si>
    <t>Phone</t>
  </si>
  <si>
    <t>Fax</t>
  </si>
  <si>
    <t>314-845-0077</t>
  </si>
  <si>
    <t xml:space="preserve"> </t>
  </si>
  <si>
    <t>314-845-6166</t>
  </si>
  <si>
    <t xml:space="preserve">|66256&amp;~ </t>
  </si>
  <si>
    <t xml:space="preserve">|66257+~ </t>
  </si>
  <si>
    <t xml:space="preserve">|662580~ </t>
  </si>
  <si>
    <t>Build nozzles and weld</t>
  </si>
  <si>
    <t xml:space="preserve">|662595~ </t>
  </si>
  <si>
    <t>Burn and clean parts:  lugs, supports, repads, base ring, etc. (CHECK!)_x000D_
CUT PARTS ON TABLE &amp; CUT SHELL PIPE TO LENGTH AT SAW</t>
  </si>
  <si>
    <t xml:space="preserve">|66260s~ </t>
  </si>
  <si>
    <t xml:space="preserve">|66261x~ </t>
  </si>
  <si>
    <t>Build supports: legs, lugs, saddles_x000D_
FORM SADDLES &amp; WELD ON GROUND LUG</t>
  </si>
  <si>
    <t xml:space="preserve">|66262£~ </t>
  </si>
  <si>
    <t>ASME Hold Point</t>
  </si>
  <si>
    <t>.OI1</t>
  </si>
  <si>
    <t xml:space="preserve">|66263¨~ </t>
  </si>
  <si>
    <t>Fit bottom head to shell_x000D_
FIT BOTH LEFT AND RIGHT HEADS</t>
  </si>
  <si>
    <t xml:space="preserve">|66264®~ </t>
  </si>
  <si>
    <t>Lay out shell, burn and clean holes_x000D_
CUT NOZZLE HOLES IN SHELL</t>
  </si>
  <si>
    <t xml:space="preserve">|66265%~ </t>
  </si>
  <si>
    <t>Grind I/S Weld Smooth-Shl</t>
  </si>
  <si>
    <t>.637</t>
  </si>
  <si>
    <t>Grind inside welds smooth - shell</t>
  </si>
  <si>
    <t xml:space="preserve">|66266*~ </t>
  </si>
  <si>
    <t>Polish I/S Weld Seam-Shl</t>
  </si>
  <si>
    <t>.638</t>
  </si>
  <si>
    <t>Polish inside weld seams - shell</t>
  </si>
  <si>
    <t xml:space="preserve">|66267/~ </t>
  </si>
  <si>
    <t xml:space="preserve">|662684~ </t>
  </si>
  <si>
    <t>Weld all outside seams_x000D_
FULL PEN BOTH LEFT AND RIGHT HEADS</t>
  </si>
  <si>
    <t xml:space="preserve">|662699~ </t>
  </si>
  <si>
    <t>Install supports - legs, lugs, anchors, saddles, skirt_x000D_
AND WELD COMPLETE</t>
  </si>
  <si>
    <t xml:space="preserve">|66270w~ </t>
  </si>
  <si>
    <t>Set nozzles in shell - tack</t>
  </si>
  <si>
    <t xml:space="preserve">|66271¢~ </t>
  </si>
  <si>
    <t>Weld shell nozzles, manways, etc._x000D_
FULL PEN FROM OUTSIDE</t>
  </si>
  <si>
    <t xml:space="preserve">|66272§~ </t>
  </si>
  <si>
    <t xml:space="preserve">|66273¬~ </t>
  </si>
  <si>
    <t xml:space="preserve">|66274$~ </t>
  </si>
  <si>
    <t>ASME Inspection Internal</t>
  </si>
  <si>
    <t>.OI2</t>
  </si>
  <si>
    <t xml:space="preserve">|66275)~ </t>
  </si>
  <si>
    <t xml:space="preserve">|66276.~ </t>
  </si>
  <si>
    <t xml:space="preserve">|662773~ </t>
  </si>
  <si>
    <t xml:space="preserve">|662788~ </t>
  </si>
  <si>
    <t>ASME Inspection Test</t>
  </si>
  <si>
    <t>.OI3</t>
  </si>
  <si>
    <t xml:space="preserve">|66279=~ </t>
  </si>
  <si>
    <t xml:space="preserve">|66280¡~ </t>
  </si>
  <si>
    <t xml:space="preserve">|66281¦~ </t>
  </si>
  <si>
    <t>Prepare Tank for Shipment</t>
  </si>
  <si>
    <t>.940</t>
  </si>
  <si>
    <t>Prepare tank for shipment</t>
  </si>
  <si>
    <t xml:space="preserve">|66282«~ </t>
  </si>
  <si>
    <t xml:space="preserve">|66283#~ </t>
  </si>
  <si>
    <t xml:space="preserve">|66284(~ </t>
  </si>
  <si>
    <t>Materials</t>
  </si>
  <si>
    <t>Picks</t>
  </si>
  <si>
    <t>Material</t>
  </si>
  <si>
    <t>Primary</t>
  </si>
  <si>
    <t>Requirement Key</t>
  </si>
  <si>
    <t>Location</t>
  </si>
  <si>
    <t>Quantity</t>
  </si>
  <si>
    <t>Detail Number:</t>
  </si>
  <si>
    <t>Buys</t>
  </si>
  <si>
    <t>Material
Description</t>
  </si>
  <si>
    <t>Vendor</t>
  </si>
  <si>
    <t>PO</t>
  </si>
  <si>
    <t>Qty</t>
  </si>
  <si>
    <t>HEAD</t>
  </si>
  <si>
    <t xml:space="preserve">|35627&amp;~ </t>
  </si>
  <si>
    <t>Build Head to Specifications</t>
  </si>
  <si>
    <t>______________</t>
  </si>
  <si>
    <t>40231</t>
  </si>
  <si>
    <t>PIPE, 18" SCH10 (0.25" WALL) X 4'</t>
  </si>
  <si>
    <t xml:space="preserve">|35632x~ </t>
  </si>
  <si>
    <t>SA312-316/316L WLD #4POLISH INSIDE</t>
  </si>
  <si>
    <t>40232</t>
  </si>
  <si>
    <t>PIPE 316L 2 SC40 WLD X</t>
  </si>
  <si>
    <t xml:space="preserve">|39133v~ </t>
  </si>
  <si>
    <t>Pipe 316L 2" Sch40 Welded</t>
  </si>
  <si>
    <t>SA312-316/316L</t>
  </si>
  <si>
    <t>40406</t>
  </si>
  <si>
    <t>FLANGE 316L 2"150 RFSO</t>
  </si>
  <si>
    <t xml:space="preserve">|39134¡~ </t>
  </si>
  <si>
    <t>Flange 316L 2" 150# RFSO</t>
  </si>
  <si>
    <t>SA182F-316/316L B16.5</t>
  </si>
  <si>
    <t>STUDPAD 316L 2"150 STD</t>
  </si>
  <si>
    <t xml:space="preserve">|39135¦~ </t>
  </si>
  <si>
    <t>Studpad 316L 2" 150# Std</t>
  </si>
  <si>
    <t xml:space="preserve">Components </t>
  </si>
  <si>
    <t>Job</t>
  </si>
  <si>
    <t>Rev</t>
  </si>
  <si>
    <t>Total Est Hrs</t>
  </si>
  <si>
    <t>Make Qty</t>
  </si>
  <si>
    <t>Services</t>
  </si>
  <si>
    <t>Service</t>
  </si>
  <si>
    <t>109-25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</si>
</sst>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activeCell="C2" sqref="C2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227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 xml:space="preserve">|25-109y~ </v>
      </c>
      <c r="E2" s="4"/>
      <c r="F2" s="6" t="s">
        <v>8</v>
      </c>
      <c r="G2" s="7" t="str">
        <f>'Sheet2-PASTE HERE!'!A13</f>
        <v/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>
        <f>'Sheet2-PASTE HERE!'!A17</f>
        <v>0</v>
      </c>
      <c r="B7" s="11"/>
      <c r="C7" s="17">
        <f>'Sheet2-PASTE HERE!'!I17</f>
        <v>0</v>
      </c>
      <c r="D7" s="22">
        <f>'Sheet2-PASTE HERE!'!K17</f>
        <v>0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>
        <f>'Sheet2-PASTE HERE!'!A18</f>
        <v>0</v>
      </c>
      <c r="B8" s="11"/>
      <c r="C8" s="17">
        <f>'Sheet2-PASTE HERE!'!I18</f>
        <v>0</v>
      </c>
      <c r="D8" s="22">
        <f>'Sheet2-PASTE HERE!'!K18</f>
        <v>0</v>
      </c>
      <c r="E8" s="13">
        <f>'Sheet2-PASTE HERE!'!F18</f>
        <v>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>
        <f>'Sheet2-PASTE HERE!'!A19</f>
        <v>0</v>
      </c>
      <c r="B9" s="11"/>
      <c r="C9" s="17" t="str">
        <f>'Sheet2-PASTE HERE!'!I19</f>
        <v>Description</v>
      </c>
      <c r="D9" s="22" t="str">
        <f>'Sheet2-PASTE HERE!'!K19</f>
        <v>Run Rate</v>
      </c>
      <c r="E9" s="13" t="str">
        <f>'Sheet2-PASTE HERE!'!F19</f>
        <v>Oper/Serv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.010</v>
      </c>
      <c r="D10" s="22" t="str">
        <f>'Sheet2-PASTE HERE!'!K20</f>
        <v>Receive Material</v>
      </c>
      <c r="E10" s="13">
        <f>'Sheet2-PASTE HERE!'!F20</f>
        <v>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INSPECTION</v>
      </c>
      <c r="B11" s="11"/>
      <c r="C11" s="17" t="str">
        <f>'Sheet2-PASTE HERE!'!I21</f>
        <v>.QC1</v>
      </c>
      <c r="D11" s="22" t="str">
        <f>'Sheet2-PASTE HERE!'!K21</f>
        <v>UT top and bottom heads</v>
      </c>
      <c r="E11" s="13">
        <f>'Sheet2-PASTE HERE!'!F21</f>
        <v>0</v>
      </c>
      <c r="F11" s="12"/>
      <c r="G11" s="12"/>
      <c r="H11" s="12"/>
      <c r="K11">
        <f t="shared" si="0"/>
        <v>1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.100</v>
      </c>
      <c r="D12" s="22" t="str">
        <f>'Sheet2-PASTE HERE!'!K22</f>
        <v>Cut nozzle pipe and clean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.105</v>
      </c>
      <c r="D13" s="22" t="str">
        <f>'Sheet2-PASTE HERE!'!K23</f>
        <v>Build nozzles and weld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(CHECK!)_x000D_
CUT PARTS ON TABLE &amp; CUT SHELL PIPE TO LENGTH AT SAW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saddles_x000D_
FORM SADDLES &amp; WELD ON GROUND LUG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.OI1</v>
      </c>
      <c r="D17" s="22" t="str">
        <f>'Sheet2-PASTE HERE!'!K27</f>
        <v>ASME Hold Point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1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.600</v>
      </c>
      <c r="D18" s="22" t="str">
        <f>'Sheet2-PASTE HERE!'!K28</f>
        <v>Fit bottom head to shell_x000D_
FIT BOTH LEFT AND RIGHT HEADS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.620</v>
      </c>
      <c r="D19" s="22" t="str">
        <f>'Sheet2-PASTE HERE!'!K29</f>
        <v>Lay out shell, burn and clean holes_x000D_
CUT NOZZLE HOLES IN SHELL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.637</v>
      </c>
      <c r="D20" s="22" t="str">
        <f>'Sheet2-PASTE HERE!'!K30</f>
        <v>Grind inside welds smooth - shell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.638</v>
      </c>
      <c r="D21" s="22" t="str">
        <f>'Sheet2-PASTE HERE!'!K31</f>
        <v>Polish inside weld seams - shell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.QC5</v>
      </c>
      <c r="D22" s="22" t="str">
        <f>'Sheet2-PASTE HERE!'!K32</f>
        <v>QC Inspection - Internal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.645</v>
      </c>
      <c r="D23" s="22" t="str">
        <f>'Sheet2-PASTE HERE!'!K33</f>
        <v>Weld all outside seams_x000D_
FULL PEN BOTH LEFT AND RIGHT HEADS</v>
      </c>
      <c r="E23" s="13">
        <f>'Sheet2-PASTE HERE!'!F33</f>
        <v>6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.720</v>
      </c>
      <c r="D24" s="22" t="str">
        <f>'Sheet2-PASTE HERE!'!K34</f>
        <v>Install supports - legs, lugs, anchors, saddles, skirt_x000D_
AND WELD COMPLETE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.725</v>
      </c>
      <c r="D25" s="22" t="str">
        <f>'Sheet2-PASTE HERE!'!K35</f>
        <v>Set nozzles in shell - tack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.726</v>
      </c>
      <c r="D26" s="22" t="str">
        <f>'Sheet2-PASTE HERE!'!K36</f>
        <v>Weld shell nozzles, manways, etc._x000D_
FULL PEN FROM OUTSIDE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FINISHING</v>
      </c>
      <c r="B27" s="11"/>
      <c r="C27" s="17" t="str">
        <f>'Sheet2-PASTE HERE!'!I37</f>
        <v>.765</v>
      </c>
      <c r="D27" s="22" t="str">
        <f>'Sheet2-PASTE HERE!'!K37</f>
        <v>Install name tag</v>
      </c>
      <c r="E27" s="13">
        <f>'Sheet2-PASTE HERE!'!F37</f>
        <v>1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.QC6</v>
      </c>
      <c r="D28" s="22" t="str">
        <f>'Sheet2-PASTE HERE!'!K38</f>
        <v>QC Inspection - Fabrication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.OI2</v>
      </c>
      <c r="D29" s="22" t="str">
        <f>'Sheet2-PASTE HERE!'!K39</f>
        <v>ASME Inspection Internal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1</v>
      </c>
    </row>
    <row r="30" spans="1:12" ht="26.25" customHeight="1" x14ac:dyDescent="0.2">
      <c r="A30" s="10" t="str">
        <f>'Sheet2-PASTE HERE!'!A40</f>
        <v>MOVE TANK</v>
      </c>
      <c r="B30" s="11"/>
      <c r="C30" s="17" t="str">
        <f>'Sheet2-PASTE HERE!'!I40</f>
        <v>.801</v>
      </c>
      <c r="D30" s="22" t="str">
        <f>'Sheet2-PASTE HERE!'!K40</f>
        <v>Move to shop test area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FINISHING</v>
      </c>
      <c r="B31" s="11"/>
      <c r="C31" s="17" t="str">
        <f>'Sheet2-PASTE HERE!'!I41</f>
        <v>.910</v>
      </c>
      <c r="D31" s="22" t="str">
        <f>'Sheet2-PASTE HERE!'!K41</f>
        <v>Test tank</v>
      </c>
      <c r="E31" s="13">
        <f>'Sheet2-PASTE HERE!'!F41</f>
        <v>3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.QC7</v>
      </c>
      <c r="D32" s="22" t="str">
        <f>'Sheet2-PASTE HERE!'!K42</f>
        <v>QC Inspection -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.OI3</v>
      </c>
      <c r="D33" s="22" t="str">
        <f>'Sheet2-PASTE HERE!'!K43</f>
        <v>ASME Inspection Test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1</v>
      </c>
    </row>
    <row r="34" spans="1:12" ht="26.25" customHeight="1" x14ac:dyDescent="0.2">
      <c r="A34" s="10" t="str">
        <f>'Sheet2-PASTE HERE!'!A44</f>
        <v>FINISHING</v>
      </c>
      <c r="B34" s="11"/>
      <c r="C34" s="17" t="str">
        <f>'Sheet2-PASTE HERE!'!I44</f>
        <v>.920</v>
      </c>
      <c r="D34" s="22" t="str">
        <f>'Sheet2-PASTE HERE!'!K44</f>
        <v>Clean tank complete</v>
      </c>
      <c r="E34" s="13">
        <f>'Sheet2-PASTE HERE!'!F44</f>
        <v>6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.QC8</v>
      </c>
      <c r="D35" s="22" t="str">
        <f>'Sheet2-PASTE HERE!'!K45</f>
        <v>QC Inspection - Clean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FINISHING</v>
      </c>
      <c r="B36" s="11"/>
      <c r="C36" s="17" t="str">
        <f>'Sheet2-PASTE HERE!'!I46</f>
        <v>.940</v>
      </c>
      <c r="D36" s="22" t="str">
        <f>'Sheet2-PASTE HERE!'!K46</f>
        <v>Prepare tank for shipment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.QC95</v>
      </c>
      <c r="D37" s="22" t="str">
        <f>'Sheet2-PASTE HERE!'!K47</f>
        <v>QC Inspection - Final &amp; Loose Items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SHIPPING</v>
      </c>
      <c r="B38" s="11"/>
      <c r="C38" s="17" t="str">
        <f>'Sheet2-PASTE HERE!'!I48</f>
        <v>.960</v>
      </c>
      <c r="D38" s="22" t="str">
        <f>'Sheet2-PASTE HERE!'!K48</f>
        <v>Load on truck</v>
      </c>
      <c r="E38" s="13">
        <f>'Sheet2-PASTE HERE!'!F48</f>
        <v>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 t="str">
        <f>'Sheet2-PASTE HERE!'!I54</f>
        <v>Location</v>
      </c>
      <c r="D44" s="22" t="str">
        <f>'Sheet2-PASTE HERE!'!K54</f>
        <v/>
      </c>
      <c r="E44" s="13" t="str">
        <f>'Sheet2-PASTE HERE!'!F54</f>
        <v>Due Date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/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 t="str">
        <f>'Sheet2-PASTE HERE!'!I60</f>
        <v>Quantity</v>
      </c>
      <c r="D50" s="22" t="str">
        <f>'Sheet2-PASTE HERE!'!K60</f>
        <v>Name</v>
      </c>
      <c r="E50" s="13" t="str">
        <f>'Sheet2-PASTE HERE!'!F60</f>
        <v>Vendor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35627</v>
      </c>
      <c r="B51" s="11"/>
      <c r="C51" s="17" t="str">
        <f>'Sheet2-PASTE HERE!'!I61</f>
        <v>______________</v>
      </c>
      <c r="D51" s="22">
        <f>'Sheet2-PASTE HERE!'!K61</f>
        <v>0</v>
      </c>
      <c r="E51" s="13" t="str">
        <f>'Sheet2-PASTE HERE!'!F61</f>
        <v>Build Head to Specifications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40231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35632</v>
      </c>
      <c r="B54" s="11"/>
      <c r="C54" s="17" t="str">
        <f>'Sheet2-PASTE HERE!'!I64</f>
        <v>______________</v>
      </c>
      <c r="D54" s="22">
        <f>'Sheet2-PASTE HERE!'!K64</f>
        <v>0</v>
      </c>
      <c r="E54" s="13" t="str">
        <f>'Sheet2-PASTE HERE!'!F64</f>
        <v>SA312-316/316L WLD #4POLISH INSIDE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40232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39133</v>
      </c>
      <c r="B57" s="11"/>
      <c r="C57" s="17" t="str">
        <f>'Sheet2-PASTE HERE!'!I67</f>
        <v>______________</v>
      </c>
      <c r="D57" s="22">
        <f>'Sheet2-PASTE HERE!'!K67</f>
        <v>0</v>
      </c>
      <c r="E57" s="13" t="str">
        <f>'Sheet2-PASTE HERE!'!F67</f>
        <v>Pipe 316L 2" Sch40 Welded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SA312-316/316L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40406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39134</v>
      </c>
      <c r="B61" s="11"/>
      <c r="C61" s="17" t="str">
        <f>'Sheet2-PASTE HERE!'!I71</f>
        <v>______________</v>
      </c>
      <c r="D61" s="22">
        <f>'Sheet2-PASTE HERE!'!K71</f>
        <v>0</v>
      </c>
      <c r="E61" s="13" t="str">
        <f>'Sheet2-PASTE HERE!'!F71</f>
        <v>Flange 316L 2" 150# RFSO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SA182F-316/316L B16.5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40406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39135</v>
      </c>
      <c r="B65" s="11"/>
      <c r="C65" s="17" t="str">
        <f>'Sheet2-PASTE HERE!'!I75</f>
        <v>______________</v>
      </c>
      <c r="D65" s="22">
        <f>'Sheet2-PASTE HERE!'!K75</f>
        <v>0</v>
      </c>
      <c r="E65" s="13" t="str">
        <f>'Sheet2-PASTE HERE!'!F75</f>
        <v>Studpad 316L 2" 150# Std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SA182F-316/316L B16.5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40406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 t="str">
        <f>'Sheet2-PASTE HERE!'!I81</f>
        <v>Sch End</v>
      </c>
      <c r="D71" s="22">
        <f>'Sheet2-PASTE HERE!'!K81</f>
        <v>0</v>
      </c>
      <c r="E71" s="13" t="str">
        <f>'Sheet2-PASTE HERE!'!F81</f>
        <v>Rev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 t="str">
        <f>'Sheet2-PASTE HERE!'!I85</f>
        <v>Description</v>
      </c>
      <c r="D75" s="22">
        <f>'Sheet2-PASTE HERE!'!K85</f>
        <v>0</v>
      </c>
      <c r="E75" s="13" t="str">
        <f>'Sheet2-PASTE HERE!'!F85</f>
        <v>Due Date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 t="str">
        <f>'Sheet2-PASTE HERE!'!F87</f>
        <v/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2" sqref="C2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227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 xml:space="preserve">|25-109y~ </v>
      </c>
      <c r="E2" s="4"/>
      <c r="F2" s="6" t="s">
        <v>8</v>
      </c>
      <c r="G2" s="7" t="str">
        <f>'Sheet2-PASTE HERE!'!A13</f>
        <v/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>
        <f>'Sheet2-PASTE HERE!'!A17</f>
        <v>0</v>
      </c>
      <c r="B7" s="11"/>
      <c r="C7" s="17">
        <f>'Sheet2-PASTE HERE!'!I17</f>
        <v>0</v>
      </c>
      <c r="D7" s="22">
        <f>'Sheet2-PASTE HERE!'!K17</f>
        <v>0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>
        <f>'Sheet2-PASTE HERE!'!A18</f>
        <v>0</v>
      </c>
      <c r="B8" s="11"/>
      <c r="C8" s="17">
        <f>'Sheet2-PASTE HERE!'!I18</f>
        <v>0</v>
      </c>
      <c r="D8" s="22">
        <f>'Sheet2-PASTE HERE!'!K18</f>
        <v>0</v>
      </c>
      <c r="E8" s="13">
        <f>'Sheet2-PASTE HERE!'!F18</f>
        <v>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>
        <f>'Sheet2-PASTE HERE!'!A19</f>
        <v>0</v>
      </c>
      <c r="B9" s="11"/>
      <c r="C9" s="17" t="str">
        <f>'Sheet2-PASTE HERE!'!I19</f>
        <v>Description</v>
      </c>
      <c r="D9" s="22" t="str">
        <f>'Sheet2-PASTE HERE!'!K19</f>
        <v>Run Rate</v>
      </c>
      <c r="E9" s="13" t="str">
        <f>'Sheet2-PASTE HERE!'!F19</f>
        <v>Oper/Serv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.010</v>
      </c>
      <c r="D10" s="22" t="str">
        <f>'Sheet2-PASTE HERE!'!K20</f>
        <v>Receive Material</v>
      </c>
      <c r="E10" s="13">
        <f>'Sheet2-PASTE HERE!'!F20</f>
        <v>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INSPECTION</v>
      </c>
      <c r="B11" s="11"/>
      <c r="C11" s="17" t="str">
        <f>'Sheet2-PASTE HERE!'!I21</f>
        <v>.QC1</v>
      </c>
      <c r="D11" s="22" t="str">
        <f>'Sheet2-PASTE HERE!'!K21</f>
        <v>UT top and bottom heads</v>
      </c>
      <c r="E11" s="13">
        <f>'Sheet2-PASTE HERE!'!F21</f>
        <v>0</v>
      </c>
      <c r="F11" s="12"/>
      <c r="G11" s="12"/>
      <c r="H11" s="12"/>
      <c r="K11">
        <f t="shared" si="0"/>
        <v>1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.100</v>
      </c>
      <c r="D12" s="22" t="str">
        <f>'Sheet2-PASTE HERE!'!K22</f>
        <v>Cut nozzle pipe and clean</v>
      </c>
      <c r="E12" s="13">
        <f>'Sheet2-PASTE HERE!'!F22</f>
        <v>2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.105</v>
      </c>
      <c r="D13" s="22" t="str">
        <f>'Sheet2-PASTE HERE!'!K23</f>
        <v>Build nozzles and weld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.155</v>
      </c>
      <c r="D14" s="22" t="str">
        <f>'Sheet2-PASTE HERE!'!K24</f>
        <v>Burn and clean parts:  lugs, supports, repads, base ring, etc. (CHECK!)_x000D_
CUT PARTS ON TABLE &amp; CUT SHELL PIPE TO LENGTH AT SAW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.156</v>
      </c>
      <c r="D15" s="22" t="str">
        <f>'Sheet2-PASTE HERE!'!K25</f>
        <v/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.165</v>
      </c>
      <c r="D16" s="22" t="str">
        <f>'Sheet2-PASTE HERE!'!K26</f>
        <v>Build supports: legs, lugs, saddles_x000D_
FORM SADDLES &amp; WELD ON GROUND LUG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.OI1</v>
      </c>
      <c r="D17" s="22" t="str">
        <f>'Sheet2-PASTE HERE!'!K27</f>
        <v>ASME Hold Point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1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.600</v>
      </c>
      <c r="D18" s="22" t="str">
        <f>'Sheet2-PASTE HERE!'!K28</f>
        <v>Fit bottom head to shell_x000D_
FIT BOTH LEFT AND RIGHT HEADS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.620</v>
      </c>
      <c r="D19" s="22" t="str">
        <f>'Sheet2-PASTE HERE!'!K29</f>
        <v>Lay out shell, burn and clean holes_x000D_
CUT NOZZLE HOLES IN SHELL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.637</v>
      </c>
      <c r="D20" s="22" t="str">
        <f>'Sheet2-PASTE HERE!'!K30</f>
        <v>Grind inside welds smooth - shell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.638</v>
      </c>
      <c r="D21" s="22" t="str">
        <f>'Sheet2-PASTE HERE!'!K31</f>
        <v>Polish inside weld seams - shell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.QC5</v>
      </c>
      <c r="D22" s="22" t="str">
        <f>'Sheet2-PASTE HERE!'!K32</f>
        <v>QC Inspection - Internal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.645</v>
      </c>
      <c r="D23" s="22" t="str">
        <f>'Sheet2-PASTE HERE!'!K33</f>
        <v>Weld all outside seams_x000D_
FULL PEN BOTH LEFT AND RIGHT HEADS</v>
      </c>
      <c r="E23" s="13">
        <f>'Sheet2-PASTE HERE!'!F33</f>
        <v>6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.720</v>
      </c>
      <c r="D24" s="22" t="str">
        <f>'Sheet2-PASTE HERE!'!K34</f>
        <v>Install supports - legs, lugs, anchors, saddles, skirt_x000D_
AND WELD COMPLETE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.725</v>
      </c>
      <c r="D25" s="22" t="str">
        <f>'Sheet2-PASTE HERE!'!K35</f>
        <v>Set nozzles in shell - tack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.726</v>
      </c>
      <c r="D26" s="22" t="str">
        <f>'Sheet2-PASTE HERE!'!K36</f>
        <v>Weld shell nozzles, manways, etc._x000D_
FULL PEN FROM OUTSIDE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FINISHING</v>
      </c>
      <c r="B27" s="11"/>
      <c r="C27" s="17" t="str">
        <f>'Sheet2-PASTE HERE!'!I37</f>
        <v>.765</v>
      </c>
      <c r="D27" s="22" t="str">
        <f>'Sheet2-PASTE HERE!'!K37</f>
        <v>Install name tag</v>
      </c>
      <c r="E27" s="13">
        <f>'Sheet2-PASTE HERE!'!F37</f>
        <v>1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.QC6</v>
      </c>
      <c r="D28" s="22" t="str">
        <f>'Sheet2-PASTE HERE!'!K38</f>
        <v>QC Inspection - Fabrication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.OI2</v>
      </c>
      <c r="D29" s="22" t="str">
        <f>'Sheet2-PASTE HERE!'!K39</f>
        <v>ASME Inspection Internal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1</v>
      </c>
    </row>
    <row r="30" spans="1:12" ht="26.25" customHeight="1" x14ac:dyDescent="0.2">
      <c r="A30" s="10" t="str">
        <f>'Sheet2-PASTE HERE!'!A40</f>
        <v>MOVE TANK</v>
      </c>
      <c r="B30" s="11"/>
      <c r="C30" s="17" t="str">
        <f>'Sheet2-PASTE HERE!'!I40</f>
        <v>.801</v>
      </c>
      <c r="D30" s="22" t="str">
        <f>'Sheet2-PASTE HERE!'!K40</f>
        <v>Move to shop test area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FINISHING</v>
      </c>
      <c r="B31" s="11"/>
      <c r="C31" s="17" t="str">
        <f>'Sheet2-PASTE HERE!'!I41</f>
        <v>.910</v>
      </c>
      <c r="D31" s="22" t="str">
        <f>'Sheet2-PASTE HERE!'!K41</f>
        <v>Test tank</v>
      </c>
      <c r="E31" s="13">
        <f>'Sheet2-PASTE HERE!'!F41</f>
        <v>3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.QC7</v>
      </c>
      <c r="D32" s="22" t="str">
        <f>'Sheet2-PASTE HERE!'!K42</f>
        <v>QC Inspection -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.OI3</v>
      </c>
      <c r="D33" s="22" t="str">
        <f>'Sheet2-PASTE HERE!'!K43</f>
        <v>ASME Inspection Test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1</v>
      </c>
    </row>
    <row r="34" spans="1:12" ht="26.25" customHeight="1" x14ac:dyDescent="0.2">
      <c r="A34" s="10" t="str">
        <f>'Sheet2-PASTE HERE!'!A44</f>
        <v>FINISHING</v>
      </c>
      <c r="B34" s="11"/>
      <c r="C34" s="17" t="str">
        <f>'Sheet2-PASTE HERE!'!I44</f>
        <v>.920</v>
      </c>
      <c r="D34" s="22" t="str">
        <f>'Sheet2-PASTE HERE!'!K44</f>
        <v>Clean tank complete</v>
      </c>
      <c r="E34" s="13">
        <f>'Sheet2-PASTE HERE!'!F44</f>
        <v>6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.QC8</v>
      </c>
      <c r="D35" s="22" t="str">
        <f>'Sheet2-PASTE HERE!'!K45</f>
        <v>QC Inspection - Clean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FINISHING</v>
      </c>
      <c r="B36" s="11"/>
      <c r="C36" s="17" t="str">
        <f>'Sheet2-PASTE HERE!'!I46</f>
        <v>.940</v>
      </c>
      <c r="D36" s="22" t="str">
        <f>'Sheet2-PASTE HERE!'!K46</f>
        <v>Prepare tank for shipment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.QC95</v>
      </c>
      <c r="D37" s="22" t="str">
        <f>'Sheet2-PASTE HERE!'!K47</f>
        <v>QC Inspection - Final &amp; Loose Items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SHIPPING</v>
      </c>
      <c r="B38" s="11"/>
      <c r="C38" s="17" t="str">
        <f>'Sheet2-PASTE HERE!'!I48</f>
        <v>.960</v>
      </c>
      <c r="D38" s="22" t="str">
        <f>'Sheet2-PASTE HERE!'!K48</f>
        <v>Load on truck</v>
      </c>
      <c r="E38" s="13">
        <f>'Sheet2-PASTE HERE!'!F48</f>
        <v>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 t="str">
        <f>'Sheet2-PASTE HERE!'!I54</f>
        <v>Location</v>
      </c>
      <c r="D44" s="22" t="str">
        <f>'Sheet2-PASTE HERE!'!K54</f>
        <v/>
      </c>
      <c r="E44" s="13" t="str">
        <f>'Sheet2-PASTE HERE!'!F54</f>
        <v>Due Date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/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 t="str">
        <f>'Sheet2-PASTE HERE!'!I60</f>
        <v>Quantity</v>
      </c>
      <c r="D50" s="22" t="str">
        <f>'Sheet2-PASTE HERE!'!K60</f>
        <v>Name</v>
      </c>
      <c r="E50" s="13" t="str">
        <f>'Sheet2-PASTE HERE!'!F60</f>
        <v>Vendor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35627</v>
      </c>
      <c r="B51" s="11"/>
      <c r="C51" s="17" t="str">
        <f>'Sheet2-PASTE HERE!'!I61</f>
        <v>______________</v>
      </c>
      <c r="D51" s="22">
        <f>'Sheet2-PASTE HERE!'!K61</f>
        <v>0</v>
      </c>
      <c r="E51" s="13" t="str">
        <f>'Sheet2-PASTE HERE!'!F61</f>
        <v>Build Head to Specifications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40231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35632</v>
      </c>
      <c r="B54" s="11"/>
      <c r="C54" s="17" t="str">
        <f>'Sheet2-PASTE HERE!'!I64</f>
        <v>______________</v>
      </c>
      <c r="D54" s="22">
        <f>'Sheet2-PASTE HERE!'!K64</f>
        <v>0</v>
      </c>
      <c r="E54" s="13" t="str">
        <f>'Sheet2-PASTE HERE!'!F64</f>
        <v>SA312-316/316L WLD #4POLISH INSIDE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40232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39133</v>
      </c>
      <c r="B57" s="11"/>
      <c r="C57" s="17" t="str">
        <f>'Sheet2-PASTE HERE!'!I67</f>
        <v>______________</v>
      </c>
      <c r="D57" s="22">
        <f>'Sheet2-PASTE HERE!'!K67</f>
        <v>0</v>
      </c>
      <c r="E57" s="13" t="str">
        <f>'Sheet2-PASTE HERE!'!F67</f>
        <v>Pipe 316L 2" Sch40 Welded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SA312-316/316L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40406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39134</v>
      </c>
      <c r="B61" s="11"/>
      <c r="C61" s="17" t="str">
        <f>'Sheet2-PASTE HERE!'!I71</f>
        <v>______________</v>
      </c>
      <c r="D61" s="22">
        <f>'Sheet2-PASTE HERE!'!K71</f>
        <v>0</v>
      </c>
      <c r="E61" s="13" t="str">
        <f>'Sheet2-PASTE HERE!'!F71</f>
        <v>Flange 316L 2" 150# RFSO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SA182F-316/316L B16.5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 t="str">
        <f>'Sheet2-PASTE HERE!'!A73</f>
        <v>40406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39135</v>
      </c>
      <c r="B65" s="11"/>
      <c r="C65" s="17" t="str">
        <f>'Sheet2-PASTE HERE!'!I75</f>
        <v>______________</v>
      </c>
      <c r="D65" s="22">
        <f>'Sheet2-PASTE HERE!'!K75</f>
        <v>0</v>
      </c>
      <c r="E65" s="13" t="str">
        <f>'Sheet2-PASTE HERE!'!F75</f>
        <v>Studpad 316L 2" 150# Std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SA182F-316/316L B16.5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 t="str">
        <f>'Sheet2-PASTE HERE!'!A77</f>
        <v>40406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 t="str">
        <f>'Sheet2-PASTE HERE!'!I81</f>
        <v>Sch End</v>
      </c>
      <c r="D71" s="22">
        <f>'Sheet2-PASTE HERE!'!K81</f>
        <v>0</v>
      </c>
      <c r="E71" s="13" t="str">
        <f>'Sheet2-PASTE HERE!'!F81</f>
        <v>Rev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 t="str">
        <f>'Sheet2-PASTE HERE!'!I85</f>
        <v>Description</v>
      </c>
      <c r="D75" s="22">
        <f>'Sheet2-PASTE HERE!'!K85</f>
        <v>0</v>
      </c>
      <c r="E75" s="13" t="str">
        <f>'Sheet2-PASTE HERE!'!F85</f>
        <v>Due Date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 t="str">
        <f>'Sheet2-PASTE HERE!'!F87</f>
        <v/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activeCell="B1" sqref="B1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B1" s="8" t="s">
        <v>118</v>
      </c>
    </row>
    <row r="2" spans="1:30" ht="12.75" customHeight="1" x14ac:dyDescent="0.2">
      <c r="A2" s="8" t="s">
        <v>16</v>
      </c>
      <c r="B2" s="8" t="s">
        <v>119</v>
      </c>
      <c r="C2" s="8" t="s">
        <v>17</v>
      </c>
      <c r="D2" s="8" t="s">
        <v>120</v>
      </c>
      <c r="E2" s="8" t="s">
        <v>18</v>
      </c>
      <c r="F2" s="8" t="s">
        <v>19</v>
      </c>
      <c r="G2" s="8" t="s">
        <v>119</v>
      </c>
      <c r="H2" s="8" t="s">
        <v>20</v>
      </c>
      <c r="I2" s="8" t="s">
        <v>19</v>
      </c>
      <c r="L2" s="8" t="s">
        <v>21</v>
      </c>
      <c r="M2" s="8" t="s">
        <v>19</v>
      </c>
      <c r="N2" s="8" t="s">
        <v>22</v>
      </c>
      <c r="O2" s="8" t="s">
        <v>19</v>
      </c>
      <c r="R2" s="8" t="s">
        <v>23</v>
      </c>
      <c r="S2" s="21">
        <v>1</v>
      </c>
      <c r="T2" s="8" t="s">
        <v>24</v>
      </c>
      <c r="U2" s="8" t="s">
        <v>25</v>
      </c>
      <c r="V2" s="8" t="s">
        <v>26</v>
      </c>
      <c r="W2" s="19">
        <v>45961</v>
      </c>
      <c r="Y2" s="8" t="s">
        <v>27</v>
      </c>
      <c r="Z2" s="21">
        <v>1</v>
      </c>
      <c r="AA2" s="8" t="s">
        <v>24</v>
      </c>
      <c r="AB2" s="8" t="s">
        <v>25</v>
      </c>
      <c r="AC2" s="8" t="s">
        <v>28</v>
      </c>
      <c r="AD2" s="24">
        <v>56</v>
      </c>
    </row>
    <row r="3" spans="1:30" ht="12.75" customHeight="1" x14ac:dyDescent="0.2"/>
    <row r="4" spans="1:30" ht="12.75" customHeight="1" x14ac:dyDescent="0.2">
      <c r="A4" s="8" t="s">
        <v>121</v>
      </c>
      <c r="B4" s="8" t="s">
        <v>122</v>
      </c>
      <c r="C4" s="8" t="s">
        <v>123</v>
      </c>
      <c r="D4" s="8" t="s">
        <v>124</v>
      </c>
    </row>
    <row r="5" spans="1:30" ht="12.75" customHeight="1" x14ac:dyDescent="0.2">
      <c r="A5" s="8" t="s">
        <v>125</v>
      </c>
      <c r="B5" s="8" t="s">
        <v>126</v>
      </c>
      <c r="C5" s="8" t="s">
        <v>19</v>
      </c>
      <c r="D5" s="8" t="s">
        <v>127</v>
      </c>
      <c r="E5" s="8" t="s">
        <v>128</v>
      </c>
      <c r="F5" s="8" t="s">
        <v>129</v>
      </c>
      <c r="G5" s="8" t="s">
        <v>130</v>
      </c>
      <c r="H5" s="8" t="s">
        <v>131</v>
      </c>
      <c r="I5" s="8" t="s">
        <v>132</v>
      </c>
    </row>
    <row r="6" spans="1:30" ht="12.75" customHeight="1" x14ac:dyDescent="0.2"/>
    <row r="7" spans="1:30" ht="12.75" customHeight="1" x14ac:dyDescent="0.2"/>
    <row r="8" spans="1:30" ht="12.75" customHeight="1" x14ac:dyDescent="0.2">
      <c r="A8" s="8" t="s">
        <v>29</v>
      </c>
    </row>
    <row r="9" spans="1:30" ht="12.75" customHeight="1" x14ac:dyDescent="0.2"/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30</v>
      </c>
      <c r="C12" s="8" t="s">
        <v>31</v>
      </c>
      <c r="D12" s="8" t="s">
        <v>33</v>
      </c>
      <c r="E12" s="8" t="s">
        <v>34</v>
      </c>
      <c r="F12" s="8" t="s">
        <v>35</v>
      </c>
      <c r="G12" s="8" t="s">
        <v>36</v>
      </c>
      <c r="H12" s="8" t="s">
        <v>32</v>
      </c>
      <c r="I12" s="8" t="s">
        <v>10</v>
      </c>
      <c r="J12" s="8" t="s">
        <v>37</v>
      </c>
    </row>
    <row r="13" spans="1:30" ht="12.75" customHeight="1" x14ac:dyDescent="0.2">
      <c r="A13" s="8" t="s">
        <v>19</v>
      </c>
      <c r="B13" s="8" t="s">
        <v>19</v>
      </c>
      <c r="F13" s="8" t="s">
        <v>19</v>
      </c>
      <c r="G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38</v>
      </c>
      <c r="C16" s="8" t="s">
        <v>39</v>
      </c>
      <c r="D16" s="8" t="s">
        <v>40</v>
      </c>
      <c r="E16" s="8" t="s">
        <v>41</v>
      </c>
      <c r="F16" s="8" t="s">
        <v>42</v>
      </c>
    </row>
    <row r="17" spans="1:16" ht="12.75" customHeight="1" x14ac:dyDescent="0.2"/>
    <row r="18" spans="1:16" ht="12.75" customHeight="1" x14ac:dyDescent="0.2"/>
    <row r="19" spans="1:16" ht="12.75" customHeight="1" x14ac:dyDescent="0.2">
      <c r="B19" s="8" t="s">
        <v>43</v>
      </c>
      <c r="C19" s="8" t="s">
        <v>42</v>
      </c>
      <c r="D19" s="8" t="s">
        <v>44</v>
      </c>
      <c r="E19" s="8" t="s">
        <v>45</v>
      </c>
      <c r="F19" s="8" t="s">
        <v>46</v>
      </c>
      <c r="G19" s="8" t="s">
        <v>47</v>
      </c>
      <c r="H19" s="8" t="s">
        <v>48</v>
      </c>
      <c r="I19" s="8" t="s">
        <v>10</v>
      </c>
      <c r="J19" s="8" t="s">
        <v>49</v>
      </c>
      <c r="K19" s="8" t="s">
        <v>50</v>
      </c>
      <c r="L19" s="8" t="s">
        <v>51</v>
      </c>
      <c r="M19" s="8" t="s">
        <v>0</v>
      </c>
      <c r="N19" s="8" t="s">
        <v>1</v>
      </c>
      <c r="O19" s="8" t="s">
        <v>52</v>
      </c>
    </row>
    <row r="20" spans="1:16" ht="12.75" customHeight="1" x14ac:dyDescent="0.2">
      <c r="A20" s="8" t="s">
        <v>56</v>
      </c>
      <c r="B20" s="18">
        <v>66256</v>
      </c>
      <c r="C20" s="19">
        <v>0</v>
      </c>
      <c r="D20" s="8" t="s">
        <v>73</v>
      </c>
      <c r="E20" s="20">
        <v>0</v>
      </c>
      <c r="F20" s="20">
        <v>0</v>
      </c>
      <c r="G20" s="8" t="s">
        <v>54</v>
      </c>
      <c r="H20" s="20">
        <v>0</v>
      </c>
      <c r="I20" s="8" t="s">
        <v>74</v>
      </c>
      <c r="J20" s="19">
        <v>0</v>
      </c>
      <c r="K20" s="8" t="s">
        <v>73</v>
      </c>
      <c r="L20" s="8" t="s">
        <v>55</v>
      </c>
      <c r="M20" s="8" t="s">
        <v>55</v>
      </c>
      <c r="N20" s="8" t="s">
        <v>55</v>
      </c>
      <c r="O20" s="8" t="s">
        <v>133</v>
      </c>
      <c r="P20" s="8" t="s">
        <v>56</v>
      </c>
    </row>
    <row r="21" spans="1:16" ht="12.75" customHeight="1" x14ac:dyDescent="0.2">
      <c r="A21" s="8" t="s">
        <v>53</v>
      </c>
      <c r="B21" s="18">
        <v>66257</v>
      </c>
      <c r="C21" s="19">
        <v>0</v>
      </c>
      <c r="D21" s="8" t="s">
        <v>75</v>
      </c>
      <c r="E21" s="20">
        <v>0</v>
      </c>
      <c r="F21" s="20">
        <v>0</v>
      </c>
      <c r="G21" s="8" t="s">
        <v>54</v>
      </c>
      <c r="H21" s="20">
        <v>0</v>
      </c>
      <c r="I21" s="8" t="s">
        <v>76</v>
      </c>
      <c r="J21" s="19">
        <v>0</v>
      </c>
      <c r="K21" s="8" t="s">
        <v>77</v>
      </c>
      <c r="L21" s="8" t="s">
        <v>55</v>
      </c>
      <c r="M21" s="8" t="s">
        <v>55</v>
      </c>
      <c r="N21" s="8" t="s">
        <v>55</v>
      </c>
      <c r="O21" s="8" t="s">
        <v>134</v>
      </c>
      <c r="P21" s="8" t="s">
        <v>53</v>
      </c>
    </row>
    <row r="22" spans="1:16" ht="12.75" customHeight="1" x14ac:dyDescent="0.2">
      <c r="A22" s="8" t="s">
        <v>56</v>
      </c>
      <c r="B22" s="18">
        <v>66258</v>
      </c>
      <c r="C22" s="19">
        <v>0</v>
      </c>
      <c r="D22" s="8" t="s">
        <v>57</v>
      </c>
      <c r="E22" s="20">
        <v>0</v>
      </c>
      <c r="F22" s="20">
        <v>2</v>
      </c>
      <c r="G22" s="8" t="s">
        <v>54</v>
      </c>
      <c r="H22" s="20">
        <v>2</v>
      </c>
      <c r="I22" s="8" t="s">
        <v>58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  <c r="O22" s="8" t="s">
        <v>135</v>
      </c>
      <c r="P22" s="8" t="s">
        <v>56</v>
      </c>
    </row>
    <row r="23" spans="1:16" ht="12.75" customHeight="1" x14ac:dyDescent="0.2">
      <c r="A23" s="8" t="s">
        <v>56</v>
      </c>
      <c r="B23" s="18">
        <v>66259</v>
      </c>
      <c r="C23" s="19">
        <v>0</v>
      </c>
      <c r="D23" s="8" t="s">
        <v>79</v>
      </c>
      <c r="E23" s="20">
        <v>0</v>
      </c>
      <c r="F23" s="20">
        <v>4</v>
      </c>
      <c r="G23" s="8" t="s">
        <v>54</v>
      </c>
      <c r="H23" s="20">
        <v>4</v>
      </c>
      <c r="I23" s="8" t="s">
        <v>80</v>
      </c>
      <c r="J23" s="19">
        <v>0</v>
      </c>
      <c r="K23" s="8" t="s">
        <v>136</v>
      </c>
      <c r="L23" s="8" t="s">
        <v>55</v>
      </c>
      <c r="M23" s="8" t="s">
        <v>55</v>
      </c>
      <c r="N23" s="8" t="s">
        <v>55</v>
      </c>
      <c r="O23" s="8" t="s">
        <v>137</v>
      </c>
      <c r="P23" s="8" t="s">
        <v>56</v>
      </c>
    </row>
    <row r="24" spans="1:16" ht="12.75" customHeight="1" x14ac:dyDescent="0.2">
      <c r="A24" s="8" t="s">
        <v>56</v>
      </c>
      <c r="B24" s="18">
        <v>66260</v>
      </c>
      <c r="C24" s="19">
        <v>0</v>
      </c>
      <c r="D24" s="8" t="s">
        <v>113</v>
      </c>
      <c r="E24" s="20">
        <v>0</v>
      </c>
      <c r="F24" s="20">
        <v>4</v>
      </c>
      <c r="G24" s="8" t="s">
        <v>54</v>
      </c>
      <c r="H24" s="20">
        <v>4</v>
      </c>
      <c r="I24" s="8" t="s">
        <v>59</v>
      </c>
      <c r="J24" s="19">
        <v>0</v>
      </c>
      <c r="K24" s="8" t="s">
        <v>138</v>
      </c>
      <c r="L24" s="8" t="s">
        <v>55</v>
      </c>
      <c r="M24" s="8" t="s">
        <v>55</v>
      </c>
      <c r="N24" s="8" t="s">
        <v>55</v>
      </c>
      <c r="O24" s="8" t="s">
        <v>139</v>
      </c>
      <c r="P24" s="8" t="s">
        <v>56</v>
      </c>
    </row>
    <row r="25" spans="1:16" ht="12.75" customHeight="1" x14ac:dyDescent="0.2">
      <c r="A25" s="8" t="s">
        <v>56</v>
      </c>
      <c r="B25" s="18">
        <v>66261</v>
      </c>
      <c r="C25" s="19">
        <v>0</v>
      </c>
      <c r="D25" s="8" t="s">
        <v>114</v>
      </c>
      <c r="E25" s="20">
        <v>0</v>
      </c>
      <c r="F25" s="20">
        <v>2</v>
      </c>
      <c r="G25" s="8" t="s">
        <v>54</v>
      </c>
      <c r="H25" s="20">
        <v>2</v>
      </c>
      <c r="I25" s="8" t="s">
        <v>115</v>
      </c>
      <c r="J25" s="19">
        <v>0</v>
      </c>
      <c r="K25" s="8" t="s">
        <v>19</v>
      </c>
      <c r="L25" s="8" t="s">
        <v>55</v>
      </c>
      <c r="M25" s="8" t="s">
        <v>55</v>
      </c>
      <c r="N25" s="8" t="s">
        <v>55</v>
      </c>
      <c r="O25" s="8" t="s">
        <v>140</v>
      </c>
      <c r="P25" s="8" t="s">
        <v>56</v>
      </c>
    </row>
    <row r="26" spans="1:16" ht="12.75" customHeight="1" x14ac:dyDescent="0.2">
      <c r="A26" s="8" t="s">
        <v>56</v>
      </c>
      <c r="B26" s="18">
        <v>66262</v>
      </c>
      <c r="C26" s="19">
        <v>0</v>
      </c>
      <c r="D26" s="8" t="s">
        <v>60</v>
      </c>
      <c r="E26" s="20">
        <v>0</v>
      </c>
      <c r="F26" s="20">
        <v>2</v>
      </c>
      <c r="G26" s="8" t="s">
        <v>54</v>
      </c>
      <c r="H26" s="20">
        <v>2</v>
      </c>
      <c r="I26" s="8" t="s">
        <v>61</v>
      </c>
      <c r="J26" s="19">
        <v>0</v>
      </c>
      <c r="K26" s="8" t="s">
        <v>141</v>
      </c>
      <c r="L26" s="8" t="s">
        <v>55</v>
      </c>
      <c r="M26" s="8" t="s">
        <v>55</v>
      </c>
      <c r="N26" s="8" t="s">
        <v>55</v>
      </c>
      <c r="O26" s="8" t="s">
        <v>142</v>
      </c>
      <c r="P26" s="8" t="s">
        <v>56</v>
      </c>
    </row>
    <row r="27" spans="1:16" ht="12.75" customHeight="1" x14ac:dyDescent="0.2">
      <c r="A27" s="8" t="s">
        <v>53</v>
      </c>
      <c r="B27" s="18">
        <v>66263</v>
      </c>
      <c r="C27" s="19">
        <v>0</v>
      </c>
      <c r="D27" s="8" t="s">
        <v>143</v>
      </c>
      <c r="E27" s="20">
        <v>0</v>
      </c>
      <c r="F27" s="20">
        <v>0</v>
      </c>
      <c r="G27" s="8" t="s">
        <v>54</v>
      </c>
      <c r="H27" s="20">
        <v>0</v>
      </c>
      <c r="I27" s="8" t="s">
        <v>144</v>
      </c>
      <c r="J27" s="19">
        <v>0</v>
      </c>
      <c r="K27" s="8" t="s">
        <v>143</v>
      </c>
      <c r="L27" s="8" t="s">
        <v>55</v>
      </c>
      <c r="M27" s="8" t="s">
        <v>55</v>
      </c>
      <c r="N27" s="8" t="s">
        <v>55</v>
      </c>
      <c r="O27" s="8" t="s">
        <v>145</v>
      </c>
      <c r="P27" s="8" t="s">
        <v>53</v>
      </c>
    </row>
    <row r="28" spans="1:16" ht="12.75" customHeight="1" x14ac:dyDescent="0.2">
      <c r="A28" s="8" t="s">
        <v>72</v>
      </c>
      <c r="B28" s="18">
        <v>66264</v>
      </c>
      <c r="C28" s="19">
        <v>0</v>
      </c>
      <c r="D28" s="8" t="s">
        <v>81</v>
      </c>
      <c r="E28" s="20">
        <v>0</v>
      </c>
      <c r="F28" s="20">
        <v>3</v>
      </c>
      <c r="G28" s="8" t="s">
        <v>54</v>
      </c>
      <c r="H28" s="20">
        <v>3</v>
      </c>
      <c r="I28" s="8" t="s">
        <v>82</v>
      </c>
      <c r="J28" s="19">
        <v>0</v>
      </c>
      <c r="K28" s="8" t="s">
        <v>146</v>
      </c>
      <c r="L28" s="8" t="s">
        <v>55</v>
      </c>
      <c r="M28" s="8" t="s">
        <v>55</v>
      </c>
      <c r="N28" s="8" t="s">
        <v>55</v>
      </c>
      <c r="O28" s="8" t="s">
        <v>147</v>
      </c>
      <c r="P28" s="8" t="s">
        <v>72</v>
      </c>
    </row>
    <row r="29" spans="1:16" ht="12.75" customHeight="1" x14ac:dyDescent="0.2">
      <c r="A29" s="8" t="s">
        <v>72</v>
      </c>
      <c r="B29" s="18">
        <v>66265</v>
      </c>
      <c r="C29" s="19">
        <v>0</v>
      </c>
      <c r="D29" s="8" t="s">
        <v>83</v>
      </c>
      <c r="E29" s="20">
        <v>0</v>
      </c>
      <c r="F29" s="20">
        <v>4</v>
      </c>
      <c r="G29" s="8" t="s">
        <v>54</v>
      </c>
      <c r="H29" s="20">
        <v>4</v>
      </c>
      <c r="I29" s="8" t="s">
        <v>84</v>
      </c>
      <c r="J29" s="19">
        <v>0</v>
      </c>
      <c r="K29" s="8" t="s">
        <v>148</v>
      </c>
      <c r="L29" s="8" t="s">
        <v>55</v>
      </c>
      <c r="M29" s="8" t="s">
        <v>55</v>
      </c>
      <c r="N29" s="8" t="s">
        <v>55</v>
      </c>
      <c r="O29" s="8" t="s">
        <v>149</v>
      </c>
      <c r="P29" s="8" t="s">
        <v>72</v>
      </c>
    </row>
    <row r="30" spans="1:16" ht="12.75" customHeight="1" x14ac:dyDescent="0.2">
      <c r="A30" s="8" t="s">
        <v>72</v>
      </c>
      <c r="B30" s="18">
        <v>66266</v>
      </c>
      <c r="C30" s="19">
        <v>0</v>
      </c>
      <c r="D30" s="8" t="s">
        <v>150</v>
      </c>
      <c r="E30" s="20">
        <v>0</v>
      </c>
      <c r="F30" s="20">
        <v>2</v>
      </c>
      <c r="G30" s="8" t="s">
        <v>54</v>
      </c>
      <c r="H30" s="20">
        <v>2</v>
      </c>
      <c r="I30" s="8" t="s">
        <v>151</v>
      </c>
      <c r="J30" s="19">
        <v>0</v>
      </c>
      <c r="K30" s="8" t="s">
        <v>152</v>
      </c>
      <c r="L30" s="8" t="s">
        <v>55</v>
      </c>
      <c r="M30" s="8" t="s">
        <v>55</v>
      </c>
      <c r="N30" s="8" t="s">
        <v>55</v>
      </c>
      <c r="O30" s="8" t="s">
        <v>153</v>
      </c>
      <c r="P30" s="8" t="s">
        <v>72</v>
      </c>
    </row>
    <row r="31" spans="1:16" ht="12.75" customHeight="1" x14ac:dyDescent="0.2">
      <c r="A31" s="8" t="s">
        <v>72</v>
      </c>
      <c r="B31" s="18">
        <v>66267</v>
      </c>
      <c r="C31" s="19">
        <v>0</v>
      </c>
      <c r="D31" s="8" t="s">
        <v>154</v>
      </c>
      <c r="E31" s="20">
        <v>0</v>
      </c>
      <c r="F31" s="20">
        <v>2</v>
      </c>
      <c r="G31" s="8" t="s">
        <v>54</v>
      </c>
      <c r="H31" s="20">
        <v>2</v>
      </c>
      <c r="I31" s="8" t="s">
        <v>155</v>
      </c>
      <c r="J31" s="19">
        <v>0</v>
      </c>
      <c r="K31" s="8" t="s">
        <v>156</v>
      </c>
      <c r="L31" s="8" t="s">
        <v>55</v>
      </c>
      <c r="M31" s="8" t="s">
        <v>55</v>
      </c>
      <c r="N31" s="8" t="s">
        <v>55</v>
      </c>
      <c r="O31" s="8" t="s">
        <v>157</v>
      </c>
      <c r="P31" s="8" t="s">
        <v>72</v>
      </c>
    </row>
    <row r="32" spans="1:16" ht="12.75" customHeight="1" x14ac:dyDescent="0.2">
      <c r="A32" s="8" t="s">
        <v>53</v>
      </c>
      <c r="B32" s="18">
        <v>66268</v>
      </c>
      <c r="C32" s="19">
        <v>0</v>
      </c>
      <c r="D32" s="8" t="s">
        <v>85</v>
      </c>
      <c r="E32" s="20">
        <v>0</v>
      </c>
      <c r="F32" s="20">
        <v>0</v>
      </c>
      <c r="G32" s="8" t="s">
        <v>54</v>
      </c>
      <c r="H32" s="20">
        <v>0</v>
      </c>
      <c r="I32" s="8" t="s">
        <v>86</v>
      </c>
      <c r="J32" s="19">
        <v>0</v>
      </c>
      <c r="K32" s="8" t="s">
        <v>85</v>
      </c>
      <c r="L32" s="8" t="s">
        <v>55</v>
      </c>
      <c r="M32" s="8" t="s">
        <v>55</v>
      </c>
      <c r="N32" s="8" t="s">
        <v>55</v>
      </c>
      <c r="O32" s="8" t="s">
        <v>158</v>
      </c>
      <c r="P32" s="8" t="s">
        <v>53</v>
      </c>
    </row>
    <row r="33" spans="1:16" ht="12.75" customHeight="1" x14ac:dyDescent="0.2">
      <c r="A33" s="8" t="s">
        <v>72</v>
      </c>
      <c r="B33" s="18">
        <v>66269</v>
      </c>
      <c r="C33" s="19">
        <v>0</v>
      </c>
      <c r="D33" s="8" t="s">
        <v>116</v>
      </c>
      <c r="E33" s="20">
        <v>0</v>
      </c>
      <c r="F33" s="20">
        <v>6</v>
      </c>
      <c r="G33" s="8" t="s">
        <v>54</v>
      </c>
      <c r="H33" s="20">
        <v>6</v>
      </c>
      <c r="I33" s="8" t="s">
        <v>117</v>
      </c>
      <c r="J33" s="19">
        <v>0</v>
      </c>
      <c r="K33" s="8" t="s">
        <v>159</v>
      </c>
      <c r="L33" s="8" t="s">
        <v>55</v>
      </c>
      <c r="M33" s="8" t="s">
        <v>55</v>
      </c>
      <c r="N33" s="8" t="s">
        <v>55</v>
      </c>
      <c r="O33" s="8" t="s">
        <v>160</v>
      </c>
      <c r="P33" s="8" t="s">
        <v>72</v>
      </c>
    </row>
    <row r="34" spans="1:16" ht="12.75" customHeight="1" x14ac:dyDescent="0.2">
      <c r="A34" s="8" t="s">
        <v>72</v>
      </c>
      <c r="B34" s="18">
        <v>66270</v>
      </c>
      <c r="C34" s="19">
        <v>0</v>
      </c>
      <c r="D34" s="8" t="s">
        <v>88</v>
      </c>
      <c r="E34" s="20">
        <v>0</v>
      </c>
      <c r="F34" s="20">
        <v>2</v>
      </c>
      <c r="G34" s="8" t="s">
        <v>54</v>
      </c>
      <c r="H34" s="20">
        <v>2</v>
      </c>
      <c r="I34" s="8" t="s">
        <v>89</v>
      </c>
      <c r="J34" s="19">
        <v>0</v>
      </c>
      <c r="K34" s="8" t="s">
        <v>161</v>
      </c>
      <c r="L34" s="8" t="s">
        <v>55</v>
      </c>
      <c r="M34" s="8" t="s">
        <v>55</v>
      </c>
      <c r="N34" s="8" t="s">
        <v>55</v>
      </c>
      <c r="O34" s="8" t="s">
        <v>162</v>
      </c>
      <c r="P34" s="8" t="s">
        <v>72</v>
      </c>
    </row>
    <row r="35" spans="1:16" ht="12.75" customHeight="1" x14ac:dyDescent="0.2">
      <c r="A35" s="8" t="s">
        <v>72</v>
      </c>
      <c r="B35" s="18">
        <v>66271</v>
      </c>
      <c r="C35" s="19">
        <v>0</v>
      </c>
      <c r="D35" s="8" t="s">
        <v>90</v>
      </c>
      <c r="E35" s="20">
        <v>0</v>
      </c>
      <c r="F35" s="20">
        <v>4</v>
      </c>
      <c r="G35" s="8" t="s">
        <v>54</v>
      </c>
      <c r="H35" s="20">
        <v>4</v>
      </c>
      <c r="I35" s="8" t="s">
        <v>91</v>
      </c>
      <c r="J35" s="19">
        <v>0</v>
      </c>
      <c r="K35" s="8" t="s">
        <v>163</v>
      </c>
      <c r="L35" s="8" t="s">
        <v>55</v>
      </c>
      <c r="M35" s="8" t="s">
        <v>55</v>
      </c>
      <c r="N35" s="8" t="s">
        <v>55</v>
      </c>
      <c r="O35" s="8" t="s">
        <v>164</v>
      </c>
      <c r="P35" s="8" t="s">
        <v>72</v>
      </c>
    </row>
    <row r="36" spans="1:16" ht="12.75" customHeight="1" x14ac:dyDescent="0.2">
      <c r="A36" s="8" t="s">
        <v>72</v>
      </c>
      <c r="B36" s="18">
        <v>66272</v>
      </c>
      <c r="C36" s="19">
        <v>0</v>
      </c>
      <c r="D36" s="8" t="s">
        <v>92</v>
      </c>
      <c r="E36" s="20">
        <v>0</v>
      </c>
      <c r="F36" s="20">
        <v>6</v>
      </c>
      <c r="G36" s="8" t="s">
        <v>54</v>
      </c>
      <c r="H36" s="20">
        <v>6</v>
      </c>
      <c r="I36" s="8" t="s">
        <v>93</v>
      </c>
      <c r="J36" s="19">
        <v>0</v>
      </c>
      <c r="K36" s="8" t="s">
        <v>165</v>
      </c>
      <c r="L36" s="8" t="s">
        <v>55</v>
      </c>
      <c r="M36" s="8" t="s">
        <v>55</v>
      </c>
      <c r="N36" s="8" t="s">
        <v>55</v>
      </c>
      <c r="O36" s="8" t="s">
        <v>166</v>
      </c>
      <c r="P36" s="8" t="s">
        <v>72</v>
      </c>
    </row>
    <row r="37" spans="1:16" ht="12.75" customHeight="1" x14ac:dyDescent="0.2">
      <c r="A37" s="8" t="s">
        <v>62</v>
      </c>
      <c r="B37" s="18">
        <v>66273</v>
      </c>
      <c r="C37" s="19">
        <v>0</v>
      </c>
      <c r="D37" s="8" t="s">
        <v>94</v>
      </c>
      <c r="E37" s="20">
        <v>0</v>
      </c>
      <c r="F37" s="20">
        <v>1</v>
      </c>
      <c r="G37" s="8" t="s">
        <v>54</v>
      </c>
      <c r="H37" s="20">
        <v>1</v>
      </c>
      <c r="I37" s="8" t="s">
        <v>95</v>
      </c>
      <c r="J37" s="19">
        <v>0</v>
      </c>
      <c r="K37" s="8" t="s">
        <v>96</v>
      </c>
      <c r="L37" s="8" t="s">
        <v>55</v>
      </c>
      <c r="M37" s="8" t="s">
        <v>55</v>
      </c>
      <c r="N37" s="8" t="s">
        <v>55</v>
      </c>
      <c r="O37" s="8" t="s">
        <v>167</v>
      </c>
      <c r="P37" s="8" t="s">
        <v>62</v>
      </c>
    </row>
    <row r="38" spans="1:16" ht="12.75" customHeight="1" x14ac:dyDescent="0.2">
      <c r="A38" s="8" t="s">
        <v>53</v>
      </c>
      <c r="B38" s="18">
        <v>66274</v>
      </c>
      <c r="C38" s="19">
        <v>0</v>
      </c>
      <c r="D38" s="8" t="s">
        <v>97</v>
      </c>
      <c r="E38" s="20">
        <v>0</v>
      </c>
      <c r="F38" s="20">
        <v>0</v>
      </c>
      <c r="G38" s="8" t="s">
        <v>54</v>
      </c>
      <c r="H38" s="20">
        <v>0</v>
      </c>
      <c r="I38" s="8" t="s">
        <v>98</v>
      </c>
      <c r="J38" s="19">
        <v>0</v>
      </c>
      <c r="K38" s="8" t="s">
        <v>99</v>
      </c>
      <c r="L38" s="8" t="s">
        <v>55</v>
      </c>
      <c r="M38" s="8" t="s">
        <v>55</v>
      </c>
      <c r="N38" s="8" t="s">
        <v>55</v>
      </c>
      <c r="O38" s="8" t="s">
        <v>168</v>
      </c>
      <c r="P38" s="8" t="s">
        <v>53</v>
      </c>
    </row>
    <row r="39" spans="1:16" ht="12.75" customHeight="1" x14ac:dyDescent="0.2">
      <c r="A39" s="8" t="s">
        <v>53</v>
      </c>
      <c r="B39" s="18">
        <v>66275</v>
      </c>
      <c r="C39" s="19">
        <v>0</v>
      </c>
      <c r="D39" s="8" t="s">
        <v>169</v>
      </c>
      <c r="E39" s="20">
        <v>0</v>
      </c>
      <c r="F39" s="20">
        <v>0</v>
      </c>
      <c r="G39" s="8" t="s">
        <v>54</v>
      </c>
      <c r="H39" s="20">
        <v>0</v>
      </c>
      <c r="I39" s="8" t="s">
        <v>170</v>
      </c>
      <c r="J39" s="19">
        <v>0</v>
      </c>
      <c r="K39" s="8" t="s">
        <v>169</v>
      </c>
      <c r="L39" s="8" t="s">
        <v>55</v>
      </c>
      <c r="M39" s="8" t="s">
        <v>55</v>
      </c>
      <c r="N39" s="8" t="s">
        <v>55</v>
      </c>
      <c r="O39" s="8" t="s">
        <v>171</v>
      </c>
      <c r="P39" s="8" t="s">
        <v>53</v>
      </c>
    </row>
    <row r="40" spans="1:16" ht="12.75" customHeight="1" x14ac:dyDescent="0.2">
      <c r="A40" s="8" t="s">
        <v>87</v>
      </c>
      <c r="B40" s="18">
        <v>66276</v>
      </c>
      <c r="C40" s="19">
        <v>0</v>
      </c>
      <c r="D40" s="8" t="s">
        <v>100</v>
      </c>
      <c r="E40" s="20">
        <v>0</v>
      </c>
      <c r="F40" s="20">
        <v>1</v>
      </c>
      <c r="G40" s="8" t="s">
        <v>54</v>
      </c>
      <c r="H40" s="20">
        <v>1</v>
      </c>
      <c r="I40" s="8" t="s">
        <v>101</v>
      </c>
      <c r="J40" s="19">
        <v>0</v>
      </c>
      <c r="K40" s="8" t="s">
        <v>102</v>
      </c>
      <c r="L40" s="8" t="s">
        <v>55</v>
      </c>
      <c r="M40" s="8" t="s">
        <v>55</v>
      </c>
      <c r="N40" s="8" t="s">
        <v>55</v>
      </c>
      <c r="O40" s="8" t="s">
        <v>172</v>
      </c>
      <c r="P40" s="8" t="s">
        <v>87</v>
      </c>
    </row>
    <row r="41" spans="1:16" ht="12.75" customHeight="1" x14ac:dyDescent="0.2">
      <c r="A41" s="8" t="s">
        <v>62</v>
      </c>
      <c r="B41" s="18">
        <v>66277</v>
      </c>
      <c r="C41" s="19">
        <v>0</v>
      </c>
      <c r="D41" s="8" t="s">
        <v>103</v>
      </c>
      <c r="E41" s="20">
        <v>0</v>
      </c>
      <c r="F41" s="20">
        <v>3</v>
      </c>
      <c r="G41" s="8" t="s">
        <v>54</v>
      </c>
      <c r="H41" s="20">
        <v>3</v>
      </c>
      <c r="I41" s="8" t="s">
        <v>104</v>
      </c>
      <c r="J41" s="19">
        <v>0</v>
      </c>
      <c r="K41" s="8" t="s">
        <v>105</v>
      </c>
      <c r="L41" s="8" t="s">
        <v>55</v>
      </c>
      <c r="M41" s="8" t="s">
        <v>55</v>
      </c>
      <c r="N41" s="8" t="s">
        <v>55</v>
      </c>
      <c r="O41" s="8" t="s">
        <v>173</v>
      </c>
      <c r="P41" s="8" t="s">
        <v>62</v>
      </c>
    </row>
    <row r="42" spans="1:16" ht="12.75" customHeight="1" x14ac:dyDescent="0.2">
      <c r="A42" s="8" t="s">
        <v>53</v>
      </c>
      <c r="B42" s="18">
        <v>66278</v>
      </c>
      <c r="C42" s="19">
        <v>0</v>
      </c>
      <c r="D42" s="8" t="s">
        <v>106</v>
      </c>
      <c r="E42" s="20">
        <v>0</v>
      </c>
      <c r="F42" s="20">
        <v>0</v>
      </c>
      <c r="G42" s="8" t="s">
        <v>54</v>
      </c>
      <c r="H42" s="20">
        <v>0</v>
      </c>
      <c r="I42" s="8" t="s">
        <v>107</v>
      </c>
      <c r="J42" s="19">
        <v>0</v>
      </c>
      <c r="K42" s="8" t="s">
        <v>106</v>
      </c>
      <c r="L42" s="8" t="s">
        <v>55</v>
      </c>
      <c r="M42" s="8" t="s">
        <v>55</v>
      </c>
      <c r="N42" s="8" t="s">
        <v>55</v>
      </c>
      <c r="O42" s="8" t="s">
        <v>174</v>
      </c>
      <c r="P42" s="8" t="s">
        <v>53</v>
      </c>
    </row>
    <row r="43" spans="1:16" ht="12.75" customHeight="1" x14ac:dyDescent="0.2">
      <c r="A43" s="8" t="s">
        <v>53</v>
      </c>
      <c r="B43" s="18">
        <v>66279</v>
      </c>
      <c r="C43" s="19">
        <v>0</v>
      </c>
      <c r="D43" s="8" t="s">
        <v>175</v>
      </c>
      <c r="E43" s="20">
        <v>0</v>
      </c>
      <c r="F43" s="20">
        <v>0</v>
      </c>
      <c r="G43" s="8" t="s">
        <v>54</v>
      </c>
      <c r="H43" s="20">
        <v>0</v>
      </c>
      <c r="I43" s="8" t="s">
        <v>176</v>
      </c>
      <c r="J43" s="19">
        <v>0</v>
      </c>
      <c r="K43" s="8" t="s">
        <v>175</v>
      </c>
      <c r="L43" s="8" t="s">
        <v>55</v>
      </c>
      <c r="M43" s="8" t="s">
        <v>55</v>
      </c>
      <c r="N43" s="8" t="s">
        <v>55</v>
      </c>
      <c r="O43" s="8" t="s">
        <v>177</v>
      </c>
      <c r="P43" s="8" t="s">
        <v>53</v>
      </c>
    </row>
    <row r="44" spans="1:16" ht="12.75" customHeight="1" x14ac:dyDescent="0.2">
      <c r="A44" s="8" t="s">
        <v>62</v>
      </c>
      <c r="B44" s="18">
        <v>66280</v>
      </c>
      <c r="C44" s="19">
        <v>0</v>
      </c>
      <c r="D44" s="8" t="s">
        <v>108</v>
      </c>
      <c r="E44" s="20">
        <v>0</v>
      </c>
      <c r="F44" s="20">
        <v>6</v>
      </c>
      <c r="G44" s="8" t="s">
        <v>54</v>
      </c>
      <c r="H44" s="20">
        <v>6</v>
      </c>
      <c r="I44" s="8" t="s">
        <v>109</v>
      </c>
      <c r="J44" s="19">
        <v>0</v>
      </c>
      <c r="K44" s="8" t="s">
        <v>110</v>
      </c>
      <c r="L44" s="8" t="s">
        <v>55</v>
      </c>
      <c r="M44" s="8" t="s">
        <v>55</v>
      </c>
      <c r="N44" s="8" t="s">
        <v>55</v>
      </c>
      <c r="O44" s="8" t="s">
        <v>178</v>
      </c>
      <c r="P44" s="8" t="s">
        <v>62</v>
      </c>
    </row>
    <row r="45" spans="1:16" ht="12.75" customHeight="1" x14ac:dyDescent="0.2">
      <c r="A45" s="8" t="s">
        <v>53</v>
      </c>
      <c r="B45" s="18">
        <v>66281</v>
      </c>
      <c r="C45" s="19">
        <v>0</v>
      </c>
      <c r="D45" s="8" t="s">
        <v>111</v>
      </c>
      <c r="E45" s="20">
        <v>0</v>
      </c>
      <c r="F45" s="20">
        <v>0</v>
      </c>
      <c r="G45" s="8" t="s">
        <v>54</v>
      </c>
      <c r="H45" s="20">
        <v>0</v>
      </c>
      <c r="I45" s="8" t="s">
        <v>112</v>
      </c>
      <c r="J45" s="19">
        <v>0</v>
      </c>
      <c r="K45" s="8" t="s">
        <v>111</v>
      </c>
      <c r="L45" s="8" t="s">
        <v>55</v>
      </c>
      <c r="M45" s="8" t="s">
        <v>55</v>
      </c>
      <c r="N45" s="8" t="s">
        <v>55</v>
      </c>
      <c r="O45" s="8" t="s">
        <v>179</v>
      </c>
      <c r="P45" s="8" t="s">
        <v>53</v>
      </c>
    </row>
    <row r="46" spans="1:16" ht="12.75" customHeight="1" x14ac:dyDescent="0.2">
      <c r="A46" s="8" t="s">
        <v>62</v>
      </c>
      <c r="B46" s="18">
        <v>66282</v>
      </c>
      <c r="C46" s="19">
        <v>0</v>
      </c>
      <c r="D46" s="8" t="s">
        <v>180</v>
      </c>
      <c r="E46" s="20">
        <v>0</v>
      </c>
      <c r="F46" s="20">
        <v>1</v>
      </c>
      <c r="G46" s="8" t="s">
        <v>54</v>
      </c>
      <c r="H46" s="20">
        <v>1</v>
      </c>
      <c r="I46" s="8" t="s">
        <v>181</v>
      </c>
      <c r="J46" s="19">
        <v>0</v>
      </c>
      <c r="K46" s="8" t="s">
        <v>182</v>
      </c>
      <c r="L46" s="8" t="s">
        <v>55</v>
      </c>
      <c r="M46" s="8" t="s">
        <v>55</v>
      </c>
      <c r="N46" s="8" t="s">
        <v>55</v>
      </c>
      <c r="O46" s="8" t="s">
        <v>183</v>
      </c>
      <c r="P46" s="8" t="s">
        <v>62</v>
      </c>
    </row>
    <row r="47" spans="1:16" ht="12.75" customHeight="1" x14ac:dyDescent="0.2">
      <c r="A47" s="8" t="s">
        <v>53</v>
      </c>
      <c r="B47" s="18">
        <v>66283</v>
      </c>
      <c r="C47" s="19">
        <v>0</v>
      </c>
      <c r="D47" s="8" t="s">
        <v>63</v>
      </c>
      <c r="E47" s="20">
        <v>0</v>
      </c>
      <c r="F47" s="20">
        <v>0</v>
      </c>
      <c r="G47" s="8" t="s">
        <v>54</v>
      </c>
      <c r="H47" s="20">
        <v>0</v>
      </c>
      <c r="I47" s="8" t="s">
        <v>64</v>
      </c>
      <c r="J47" s="19">
        <v>0</v>
      </c>
      <c r="K47" s="8" t="s">
        <v>65</v>
      </c>
      <c r="L47" s="8" t="s">
        <v>55</v>
      </c>
      <c r="M47" s="8" t="s">
        <v>55</v>
      </c>
      <c r="N47" s="8" t="s">
        <v>55</v>
      </c>
      <c r="O47" s="8" t="s">
        <v>184</v>
      </c>
      <c r="P47" s="8" t="s">
        <v>53</v>
      </c>
    </row>
    <row r="48" spans="1:16" ht="12.75" customHeight="1" x14ac:dyDescent="0.2">
      <c r="A48" s="8" t="s">
        <v>66</v>
      </c>
      <c r="B48" s="18">
        <v>66284</v>
      </c>
      <c r="C48" s="19">
        <v>0</v>
      </c>
      <c r="D48" s="8" t="s">
        <v>67</v>
      </c>
      <c r="E48" s="20">
        <v>0</v>
      </c>
      <c r="F48" s="20">
        <v>1</v>
      </c>
      <c r="G48" s="8" t="s">
        <v>54</v>
      </c>
      <c r="H48" s="20">
        <v>1</v>
      </c>
      <c r="I48" s="8" t="s">
        <v>68</v>
      </c>
      <c r="J48" s="19">
        <v>0</v>
      </c>
      <c r="K48" s="8" t="s">
        <v>69</v>
      </c>
      <c r="L48" s="8" t="s">
        <v>55</v>
      </c>
      <c r="M48" s="8" t="s">
        <v>55</v>
      </c>
      <c r="N48" s="8" t="s">
        <v>55</v>
      </c>
      <c r="O48" s="8" t="s">
        <v>185</v>
      </c>
      <c r="P48" s="8" t="s">
        <v>66</v>
      </c>
    </row>
    <row r="49" spans="1:13" ht="12.75" customHeight="1" x14ac:dyDescent="0.2"/>
    <row r="50" spans="1:13" ht="12.75" customHeight="1" x14ac:dyDescent="0.2"/>
    <row r="51" spans="1:13" ht="12.75" customHeight="1" x14ac:dyDescent="0.2">
      <c r="B51" s="8" t="s">
        <v>186</v>
      </c>
    </row>
    <row r="52" spans="1:13" ht="12.75" customHeight="1" x14ac:dyDescent="0.2"/>
    <row r="53" spans="1:13" ht="12.75" customHeight="1" x14ac:dyDescent="0.2"/>
    <row r="54" spans="1:13" ht="12.75" customHeight="1" x14ac:dyDescent="0.2">
      <c r="B54" s="8" t="s">
        <v>187</v>
      </c>
      <c r="C54" s="8" t="s">
        <v>42</v>
      </c>
      <c r="D54" s="8" t="s">
        <v>188</v>
      </c>
      <c r="E54" s="8" t="s">
        <v>189</v>
      </c>
      <c r="F54" s="8" t="s">
        <v>36</v>
      </c>
      <c r="G54" s="8" t="s">
        <v>190</v>
      </c>
      <c r="H54" s="8" t="s">
        <v>10</v>
      </c>
      <c r="I54" s="8" t="s">
        <v>191</v>
      </c>
      <c r="J54" s="8" t="s">
        <v>192</v>
      </c>
      <c r="K54" s="8" t="s">
        <v>19</v>
      </c>
      <c r="L54" s="8" t="s">
        <v>19</v>
      </c>
      <c r="M54" s="8" t="s">
        <v>19</v>
      </c>
    </row>
    <row r="55" spans="1:13" ht="12.75" customHeight="1" x14ac:dyDescent="0.2">
      <c r="M55" s="8" t="s">
        <v>193</v>
      </c>
    </row>
    <row r="56" spans="1:13" ht="12.75" customHeight="1" x14ac:dyDescent="0.2">
      <c r="A56" s="8" t="s">
        <v>19</v>
      </c>
    </row>
    <row r="57" spans="1:13" ht="12.75" customHeight="1" x14ac:dyDescent="0.2"/>
    <row r="58" spans="1:13" ht="12.75" customHeight="1" x14ac:dyDescent="0.2"/>
    <row r="59" spans="1:13" ht="12.75" customHeight="1" x14ac:dyDescent="0.2"/>
    <row r="60" spans="1:13" ht="12.75" customHeight="1" x14ac:dyDescent="0.2">
      <c r="B60" s="8" t="s">
        <v>194</v>
      </c>
      <c r="C60" s="8" t="s">
        <v>42</v>
      </c>
      <c r="D60" s="8" t="s">
        <v>195</v>
      </c>
      <c r="E60" s="8" t="s">
        <v>190</v>
      </c>
      <c r="F60" s="8" t="s">
        <v>196</v>
      </c>
      <c r="G60" s="8" t="s">
        <v>197</v>
      </c>
      <c r="H60" s="8" t="s">
        <v>36</v>
      </c>
      <c r="I60" s="8" t="s">
        <v>192</v>
      </c>
      <c r="J60" s="8" t="s">
        <v>198</v>
      </c>
      <c r="K60" s="8" t="s">
        <v>0</v>
      </c>
      <c r="L60" s="8" t="s">
        <v>1</v>
      </c>
    </row>
    <row r="61" spans="1:13" ht="12.75" customHeight="1" x14ac:dyDescent="0.2">
      <c r="A61" s="18">
        <v>35627</v>
      </c>
      <c r="B61" s="8" t="s">
        <v>19</v>
      </c>
      <c r="C61" s="8" t="s">
        <v>199</v>
      </c>
      <c r="D61" s="20">
        <v>2</v>
      </c>
      <c r="E61" s="8" t="s">
        <v>200</v>
      </c>
      <c r="F61" s="8" t="s">
        <v>201</v>
      </c>
      <c r="G61" s="8" t="s">
        <v>25</v>
      </c>
      <c r="H61" s="8" t="s">
        <v>202</v>
      </c>
      <c r="I61" s="8" t="s">
        <v>202</v>
      </c>
      <c r="J61" s="8" t="s">
        <v>202</v>
      </c>
      <c r="L61" s="8" t="s">
        <v>19</v>
      </c>
    </row>
    <row r="62" spans="1:13" ht="12.75" customHeight="1" x14ac:dyDescent="0.2">
      <c r="A62" s="8" t="s">
        <v>203</v>
      </c>
      <c r="B62" s="19">
        <v>46007</v>
      </c>
      <c r="C62" s="20">
        <v>8</v>
      </c>
    </row>
    <row r="63" spans="1:13" ht="12.75" customHeight="1" x14ac:dyDescent="0.2"/>
    <row r="64" spans="1:13" ht="12.75" customHeight="1" x14ac:dyDescent="0.2">
      <c r="A64" s="18">
        <v>35632</v>
      </c>
      <c r="B64" s="8" t="s">
        <v>19</v>
      </c>
      <c r="C64" s="8" t="s">
        <v>204</v>
      </c>
      <c r="D64" s="20">
        <v>1</v>
      </c>
      <c r="E64" s="8" t="s">
        <v>205</v>
      </c>
      <c r="F64" s="8" t="s">
        <v>206</v>
      </c>
      <c r="G64" s="8" t="s">
        <v>25</v>
      </c>
      <c r="H64" s="8" t="s">
        <v>202</v>
      </c>
      <c r="I64" s="8" t="s">
        <v>202</v>
      </c>
      <c r="J64" s="8" t="s">
        <v>202</v>
      </c>
      <c r="L64" s="8" t="s">
        <v>19</v>
      </c>
    </row>
    <row r="65" spans="1:12" ht="12.75" customHeight="1" x14ac:dyDescent="0.2">
      <c r="A65" s="8" t="s">
        <v>207</v>
      </c>
      <c r="B65" s="19">
        <v>46007</v>
      </c>
      <c r="C65" s="20">
        <v>4</v>
      </c>
    </row>
    <row r="66" spans="1:12" ht="12.75" customHeight="1" x14ac:dyDescent="0.2"/>
    <row r="67" spans="1:12" ht="12.75" customHeight="1" x14ac:dyDescent="0.2">
      <c r="A67" s="18">
        <v>39133</v>
      </c>
      <c r="B67" s="8" t="s">
        <v>19</v>
      </c>
      <c r="C67" s="8" t="s">
        <v>208</v>
      </c>
      <c r="D67" s="20">
        <v>0.5</v>
      </c>
      <c r="E67" s="8" t="s">
        <v>209</v>
      </c>
      <c r="F67" s="8" t="s">
        <v>210</v>
      </c>
      <c r="G67" s="8" t="s">
        <v>25</v>
      </c>
      <c r="H67" s="8" t="s">
        <v>202</v>
      </c>
      <c r="I67" s="8" t="s">
        <v>202</v>
      </c>
      <c r="J67" s="8" t="s">
        <v>202</v>
      </c>
      <c r="L67" s="8" t="s">
        <v>19</v>
      </c>
    </row>
    <row r="68" spans="1:12" ht="12.75" customHeight="1" x14ac:dyDescent="0.2">
      <c r="A68" s="8" t="s">
        <v>211</v>
      </c>
    </row>
    <row r="69" spans="1:12" ht="12.75" customHeight="1" x14ac:dyDescent="0.2">
      <c r="A69" s="8" t="s">
        <v>212</v>
      </c>
      <c r="B69" s="19">
        <v>46069</v>
      </c>
      <c r="C69" s="20">
        <v>1</v>
      </c>
    </row>
    <row r="70" spans="1:12" ht="12.75" customHeight="1" x14ac:dyDescent="0.2"/>
    <row r="71" spans="1:12" ht="12.75" customHeight="1" x14ac:dyDescent="0.2">
      <c r="A71" s="18">
        <v>39134</v>
      </c>
      <c r="B71" s="8" t="s">
        <v>19</v>
      </c>
      <c r="C71" s="8" t="s">
        <v>213</v>
      </c>
      <c r="D71" s="20">
        <v>4</v>
      </c>
      <c r="E71" s="8" t="s">
        <v>214</v>
      </c>
      <c r="F71" s="8" t="s">
        <v>215</v>
      </c>
      <c r="G71" s="8" t="s">
        <v>25</v>
      </c>
      <c r="H71" s="8" t="s">
        <v>202</v>
      </c>
      <c r="I71" s="8" t="s">
        <v>202</v>
      </c>
      <c r="J71" s="8" t="s">
        <v>202</v>
      </c>
      <c r="L71" s="8" t="s">
        <v>19</v>
      </c>
    </row>
    <row r="72" spans="1:12" ht="12.75" customHeight="1" x14ac:dyDescent="0.2">
      <c r="A72" s="8" t="s">
        <v>216</v>
      </c>
    </row>
    <row r="73" spans="1:12" ht="12.75" customHeight="1" x14ac:dyDescent="0.2">
      <c r="A73" s="8" t="s">
        <v>212</v>
      </c>
      <c r="B73" s="19">
        <v>46069</v>
      </c>
      <c r="C73" s="20">
        <v>10</v>
      </c>
    </row>
    <row r="74" spans="1:12" ht="12.75" customHeight="1" x14ac:dyDescent="0.2"/>
    <row r="75" spans="1:12" ht="12.75" customHeight="1" x14ac:dyDescent="0.2">
      <c r="A75" s="18">
        <v>39135</v>
      </c>
      <c r="B75" s="8" t="s">
        <v>19</v>
      </c>
      <c r="C75" s="8" t="s">
        <v>217</v>
      </c>
      <c r="D75" s="20">
        <v>1</v>
      </c>
      <c r="E75" s="8" t="s">
        <v>218</v>
      </c>
      <c r="F75" s="8" t="s">
        <v>219</v>
      </c>
      <c r="G75" s="8" t="s">
        <v>25</v>
      </c>
      <c r="H75" s="8" t="s">
        <v>202</v>
      </c>
      <c r="I75" s="8" t="s">
        <v>202</v>
      </c>
      <c r="J75" s="8" t="s">
        <v>202</v>
      </c>
      <c r="L75" s="8" t="s">
        <v>19</v>
      </c>
    </row>
    <row r="76" spans="1:12" ht="12.75" customHeight="1" x14ac:dyDescent="0.2">
      <c r="A76" s="8" t="s">
        <v>216</v>
      </c>
    </row>
    <row r="77" spans="1:12" ht="12.75" customHeight="1" x14ac:dyDescent="0.2">
      <c r="A77" s="8" t="s">
        <v>212</v>
      </c>
      <c r="B77" s="19">
        <v>46069</v>
      </c>
      <c r="C77" s="20">
        <v>1</v>
      </c>
    </row>
    <row r="78" spans="1:12" ht="12.75" customHeight="1" x14ac:dyDescent="0.2"/>
    <row r="79" spans="1:12" ht="12.75" customHeight="1" x14ac:dyDescent="0.2"/>
    <row r="80" spans="1:12" ht="12.75" customHeight="1" x14ac:dyDescent="0.2"/>
    <row r="81" spans="2:10" ht="12.75" customHeight="1" x14ac:dyDescent="0.2">
      <c r="B81" s="8" t="s">
        <v>220</v>
      </c>
      <c r="C81" s="8" t="s">
        <v>221</v>
      </c>
      <c r="D81" s="8" t="s">
        <v>45</v>
      </c>
      <c r="E81" s="8" t="s">
        <v>33</v>
      </c>
      <c r="F81" s="8" t="s">
        <v>222</v>
      </c>
      <c r="G81" s="8" t="s">
        <v>223</v>
      </c>
      <c r="H81" s="8" t="s">
        <v>224</v>
      </c>
      <c r="I81" s="8" t="s">
        <v>48</v>
      </c>
    </row>
    <row r="82" spans="2:10" ht="12.75" customHeight="1" x14ac:dyDescent="0.2">
      <c r="G82" s="8" t="s">
        <v>24</v>
      </c>
    </row>
    <row r="83" spans="2:10" ht="12.75" customHeight="1" x14ac:dyDescent="0.2"/>
    <row r="84" spans="2:10" ht="12.75" customHeight="1" x14ac:dyDescent="0.2"/>
    <row r="85" spans="2:10" ht="12.75" customHeight="1" x14ac:dyDescent="0.2">
      <c r="B85" s="8" t="s">
        <v>225</v>
      </c>
      <c r="C85" s="8" t="s">
        <v>196</v>
      </c>
      <c r="D85" s="8" t="s">
        <v>226</v>
      </c>
      <c r="E85" s="8" t="s">
        <v>197</v>
      </c>
      <c r="F85" s="8" t="s">
        <v>36</v>
      </c>
      <c r="H85" s="8" t="s">
        <v>47</v>
      </c>
      <c r="I85" s="8" t="s">
        <v>10</v>
      </c>
      <c r="J85" s="8" t="s">
        <v>192</v>
      </c>
    </row>
    <row r="86" spans="2:10" ht="12.75" customHeight="1" x14ac:dyDescent="0.2"/>
    <row r="87" spans="2:10" ht="12.75" customHeight="1" x14ac:dyDescent="0.2">
      <c r="B87" s="8" t="s">
        <v>16</v>
      </c>
      <c r="C87" s="8" t="s">
        <v>119</v>
      </c>
      <c r="E87" s="8" t="s">
        <v>19</v>
      </c>
      <c r="F87" s="8" t="s">
        <v>19</v>
      </c>
      <c r="G87" s="8" t="s">
        <v>21</v>
      </c>
      <c r="H87" s="8" t="s">
        <v>19</v>
      </c>
      <c r="J87" s="8" t="s">
        <v>19</v>
      </c>
    </row>
    <row r="88" spans="2:10" ht="12.75" customHeight="1" x14ac:dyDescent="0.2"/>
    <row r="89" spans="2:10" ht="12.75" customHeight="1" x14ac:dyDescent="0.2"/>
    <row r="90" spans="2:10" ht="12.75" customHeight="1" x14ac:dyDescent="0.2"/>
    <row r="91" spans="2:10" ht="12.75" customHeight="1" x14ac:dyDescent="0.2"/>
    <row r="92" spans="2:10" ht="12.75" customHeight="1" x14ac:dyDescent="0.2"/>
    <row r="93" spans="2:10" ht="12.75" customHeight="1" x14ac:dyDescent="0.2"/>
    <row r="94" spans="2:10" ht="12.75" customHeight="1" x14ac:dyDescent="0.2"/>
    <row r="95" spans="2:10" ht="12.75" customHeight="1" x14ac:dyDescent="0.2"/>
    <row r="96" spans="2:10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109-25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>
        <f>'Build Plan w Hours'!C7</f>
        <v>0</v>
      </c>
      <c r="C2" s="40">
        <f>'Build Plan w Hours'!D7</f>
        <v>0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109-25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>
        <f>'Build Plan w Hours'!C8</f>
        <v>0</v>
      </c>
      <c r="C8" s="40">
        <f>'Build Plan w Hours'!D8</f>
        <v>0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109-25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Description</v>
      </c>
      <c r="C14" s="40" t="str">
        <f>'Build Plan w Hours'!D9</f>
        <v>Run Rate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 t="str">
        <f>'Build Plan w Hours'!E9</f>
        <v>Oper/Serv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109-25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.010</v>
      </c>
      <c r="C20" s="40" t="str">
        <f>'Build Plan w Hours'!D10</f>
        <v>Receive Material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109-25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.QC1</v>
      </c>
      <c r="C26" s="40" t="str">
        <f>'Build Plan w Hours'!D11</f>
        <v>UT top and bottom heads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109-25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.100</v>
      </c>
      <c r="C32" s="40" t="str">
        <f>'Build Plan w Hours'!D12</f>
        <v>Cut nozzle pipe and clean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2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109-25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.105</v>
      </c>
      <c r="C38" s="40" t="str">
        <f>'Build Plan w Hours'!D13</f>
        <v>Build nozzles and weld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4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109-25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(CHECK!)_x000D_
CUT PARTS ON TABLE &amp; CUT SHELL PIPE TO LENGTH AT SAW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109-25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109-25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saddles_x000D_
FORM SADDLES &amp; WELD ON GROUND LUG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109-25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.OI1</v>
      </c>
      <c r="C62" s="40" t="str">
        <f>'Build Plan w Hours'!D17</f>
        <v>ASME Hold Point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109-25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.600</v>
      </c>
      <c r="C68" s="40" t="str">
        <f>'Build Plan w Hours'!D18</f>
        <v>Fit bottom head to shell_x000D_
FIT BOTH LEFT AND RIGHT HEADS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109-25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.620</v>
      </c>
      <c r="C74" s="40" t="str">
        <f>'Build Plan w Hours'!D19</f>
        <v>Lay out shell, burn and clean holes_x000D_
CUT NOZZLE HOLES IN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109-25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.637</v>
      </c>
      <c r="C80" s="40" t="str">
        <f>'Build Plan w Hours'!D20</f>
        <v>Grind inside welds smooth - shell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109-25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.638</v>
      </c>
      <c r="C86" s="40" t="str">
        <f>'Build Plan w Hours'!D21</f>
        <v>Polish inside weld seams - shell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109-25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.QC5</v>
      </c>
      <c r="C92" s="40" t="str">
        <f>'Build Plan w Hours'!D22</f>
        <v>QC Inspection - Internal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109-25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.645</v>
      </c>
      <c r="C98" s="40" t="str">
        <f>'Build Plan w Hours'!D23</f>
        <v>Weld all outside seams_x000D_
FULL PEN BOTH LEFT AND RIGHT HEADS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6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109-25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.720</v>
      </c>
      <c r="C104" s="40" t="str">
        <f>'Build Plan w Hours'!D24</f>
        <v>Install supports - legs, lugs, anchors, saddles, skirt_x000D_
AND WELD COMPLETE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109-25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.725</v>
      </c>
      <c r="C110" s="40" t="str">
        <f>'Build Plan w Hours'!D25</f>
        <v>Set nozzles in shell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109-25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.726</v>
      </c>
      <c r="C116" s="40" t="str">
        <f>'Build Plan w Hours'!D26</f>
        <v>Weld shell nozzles, manways, etc._x000D_
FULL PEN FROM OUTSIDE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109-25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.765</v>
      </c>
      <c r="C122" s="40" t="str">
        <f>'Build Plan w Hours'!D27</f>
        <v>Install name tag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1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109-25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.QC6</v>
      </c>
      <c r="C128" s="40" t="str">
        <f>'Build Plan w Hours'!D28</f>
        <v>QC Inspection - Fabrication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109-25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.OI2</v>
      </c>
      <c r="C134" s="40" t="str">
        <f>'Build Plan w Hours'!D29</f>
        <v>ASME Inspection Internal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109-25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.801</v>
      </c>
      <c r="C140" s="40" t="str">
        <f>'Build Plan w Hours'!D30</f>
        <v>Move to shop test area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109-25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.910</v>
      </c>
      <c r="C146" s="40" t="str">
        <f>'Build Plan w Hours'!D31</f>
        <v>Test tank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3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109-25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.QC7</v>
      </c>
      <c r="C152" s="40" t="str">
        <f>'Build Plan w Hours'!D32</f>
        <v>QC Inspection -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109-25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.OI3</v>
      </c>
      <c r="C158" s="40" t="str">
        <f>'Build Plan w Hours'!D33</f>
        <v>ASME Inspection Test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109-25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.920</v>
      </c>
      <c r="C164" s="40" t="str">
        <f>'Build Plan w Hours'!D34</f>
        <v>Clean tank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6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109-25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.QC8</v>
      </c>
      <c r="C170" s="40" t="str">
        <f>'Build Plan w Hours'!D35</f>
        <v>QC Inspection -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109-25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.940</v>
      </c>
      <c r="C176" s="40" t="str">
        <f>'Build Plan w Hours'!D36</f>
        <v>Prepare tank for shipment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109-25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.QC95</v>
      </c>
      <c r="C182" s="40" t="str">
        <f>'Build Plan w Hours'!D37</f>
        <v>QC Inspection - Final &amp; Loose Items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109-25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.960</v>
      </c>
      <c r="C188" s="40" t="str">
        <f>'Build Plan w Hours'!D38</f>
        <v>Load on truck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109-25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109-25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109-25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109-25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109-25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109-25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Location</v>
      </c>
      <c r="C224" s="40" t="str">
        <f>'Build Plan w Hours'!D44</f>
        <v/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 t="str">
        <f>'Build Plan w Hours'!E44</f>
        <v>Due Date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109-25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109-25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109-25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109-25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109-25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109-25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Quantity</v>
      </c>
      <c r="C260" s="40" t="str">
        <f>'Build Plan w Hours'!D50</f>
        <v>Name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 t="str">
        <f>'Build Plan w Hours'!E50</f>
        <v>Vendor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109-25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______________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 t="str">
        <f>'Build Plan w Hours'!E51</f>
        <v>Build Head to Specifications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109-25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109-25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109-25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______________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 t="str">
        <f>'Build Plan w Hours'!E54</f>
        <v>SA312-316/316L WLD #4POLISH INSIDE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109-25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109-25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109-25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______________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 t="str">
        <f>'Build Plan w Hours'!E57</f>
        <v>Pipe 316L 2" Sch40 Welded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109-25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109-25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109-25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109-25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______________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 t="str">
        <f>'Build Plan w Hours'!E61</f>
        <v>Flange 316L 2" 150# RFSO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109-25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109-25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109-25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109-25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______________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 t="str">
        <f>'Build Plan w Hours'!E65</f>
        <v>Studpad 316L 2" 150# Std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109-25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109-25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109-25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109-25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109-25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109-25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 t="str">
        <f>'Build Plan w Hours'!C71</f>
        <v>Sch End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 t="str">
        <f>'Build Plan w Hours'!E71</f>
        <v>Rev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109-25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109-25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109-25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109-25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 t="str">
        <f>'Build Plan w Hours'!C75</f>
        <v>Description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 t="str">
        <f>'Build Plan w Hours'!E75</f>
        <v>Due Date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109-25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109-25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 t="str">
        <f>'Build Plan w Hours'!E77</f>
        <v/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109-25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109-25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109-25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109-25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109-25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109-25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109-25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109-25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109-25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109-25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>
        <f>'Build Plan w Hours'!C7</f>
        <v>0</v>
      </c>
      <c r="C2" s="40">
        <f>'Build Plan w Hours'!D7</f>
        <v>0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109-25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>
        <f>'Build Plan w Hours'!C8</f>
        <v>0</v>
      </c>
      <c r="C8" s="40">
        <f>'Build Plan w Hours'!D8</f>
        <v>0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109-25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Description</v>
      </c>
      <c r="C14" s="40" t="str">
        <f>'Build Plan w Hours'!D9</f>
        <v>Run Rate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109-25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.010</v>
      </c>
      <c r="C20" s="40" t="str">
        <f>'Build Plan w Hours'!D10</f>
        <v>Receive Material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109-25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.QC1</v>
      </c>
      <c r="C26" s="40" t="str">
        <f>'Build Plan w Hours'!D11</f>
        <v>UT top and bottom heads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109-25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.100</v>
      </c>
      <c r="C32" s="40" t="str">
        <f>'Build Plan w Hours'!D12</f>
        <v>Cut nozzle pipe and clean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109-25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.105</v>
      </c>
      <c r="C38" s="40" t="str">
        <f>'Build Plan w Hours'!D13</f>
        <v>Build nozzles and weld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109-25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.155</v>
      </c>
      <c r="C44" s="40" t="str">
        <f>'Build Plan w Hours'!D14</f>
        <v>Burn and clean parts:  lugs, supports, repads, base ring, etc. (CHECK!)_x000D_
CUT PARTS ON TABLE &amp; CUT SHELL PIPE TO LENGTH AT SAW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109-25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.156</v>
      </c>
      <c r="C50" s="40" t="str">
        <f>'Build Plan w Hours'!D15</f>
        <v/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109-25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.165</v>
      </c>
      <c r="C56" s="40" t="str">
        <f>'Build Plan w Hours'!D16</f>
        <v>Build supports: legs, lugs, saddles_x000D_
FORM SADDLES &amp; WELD ON GROUND LUG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109-25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.OI1</v>
      </c>
      <c r="C62" s="40" t="str">
        <f>'Build Plan w Hours'!D17</f>
        <v>ASME Hold Point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109-25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.600</v>
      </c>
      <c r="C68" s="40" t="str">
        <f>'Build Plan w Hours'!D18</f>
        <v>Fit bottom head to shell_x000D_
FIT BOTH LEFT AND RIGHT HEADS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109-25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.620</v>
      </c>
      <c r="C74" s="40" t="str">
        <f>'Build Plan w Hours'!D19</f>
        <v>Lay out shell, burn and clean holes_x000D_
CUT NOZZLE HOLES IN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109-25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.637</v>
      </c>
      <c r="C80" s="40" t="str">
        <f>'Build Plan w Hours'!D20</f>
        <v>Grind inside welds smooth - shell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109-25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.638</v>
      </c>
      <c r="C86" s="40" t="str">
        <f>'Build Plan w Hours'!D21</f>
        <v>Polish inside weld seams - shell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109-25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.QC5</v>
      </c>
      <c r="C92" s="40" t="str">
        <f>'Build Plan w Hours'!D22</f>
        <v>QC Inspection - Internal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109-25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.645</v>
      </c>
      <c r="C98" s="40" t="str">
        <f>'Build Plan w Hours'!D23</f>
        <v>Weld all outside seams_x000D_
FULL PEN BOTH LEFT AND RIGHT HEADS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109-25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.720</v>
      </c>
      <c r="C104" s="40" t="str">
        <f>'Build Plan w Hours'!D24</f>
        <v>Install supports - legs, lugs, anchors, saddles, skirt_x000D_
AND WELD COMPLETE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109-25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.725</v>
      </c>
      <c r="C110" s="40" t="str">
        <f>'Build Plan w Hours'!D25</f>
        <v>Set nozzles in shell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109-25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.726</v>
      </c>
      <c r="C116" s="40" t="str">
        <f>'Build Plan w Hours'!D26</f>
        <v>Weld shell nozzles, manways, etc._x000D_
FULL PEN FROM OUTSIDE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109-25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.765</v>
      </c>
      <c r="C122" s="40" t="str">
        <f>'Build Plan w Hours'!D27</f>
        <v>Install name tag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109-25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.QC6</v>
      </c>
      <c r="C128" s="40" t="str">
        <f>'Build Plan w Hours'!D28</f>
        <v>QC Inspection - Fabrication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109-25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.OI2</v>
      </c>
      <c r="C134" s="40" t="str">
        <f>'Build Plan w Hours'!D29</f>
        <v>ASME Inspection Internal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109-25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.801</v>
      </c>
      <c r="C140" s="40" t="str">
        <f>'Build Plan w Hours'!D30</f>
        <v>Move to shop test area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109-25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.910</v>
      </c>
      <c r="C146" s="40" t="str">
        <f>'Build Plan w Hours'!D31</f>
        <v>Test tank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109-25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.QC7</v>
      </c>
      <c r="C152" s="40" t="str">
        <f>'Build Plan w Hours'!D32</f>
        <v>QC Inspection -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109-25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.OI3</v>
      </c>
      <c r="C158" s="40" t="str">
        <f>'Build Plan w Hours'!D33</f>
        <v>ASME Inspection Test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109-25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.920</v>
      </c>
      <c r="C164" s="40" t="str">
        <f>'Build Plan w Hours'!D34</f>
        <v>Clean tank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109-25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.QC8</v>
      </c>
      <c r="C170" s="40" t="str">
        <f>'Build Plan w Hours'!D35</f>
        <v>QC Inspection - Clean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109-25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.940</v>
      </c>
      <c r="C176" s="40" t="str">
        <f>'Build Plan w Hours'!D36</f>
        <v>Prepare tank for shipment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109-25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.QC95</v>
      </c>
      <c r="C182" s="40" t="str">
        <f>'Build Plan w Hours'!D37</f>
        <v>QC Inspection - Final &amp; Loose Items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109-25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.960</v>
      </c>
      <c r="C188" s="40" t="str">
        <f>'Build Plan w Hours'!D38</f>
        <v>Load on truck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109-25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109-25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109-25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109-25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109-25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109-25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Location</v>
      </c>
      <c r="C224" s="40" t="str">
        <f>'Build Plan w Hours'!D44</f>
        <v/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109-25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109-25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109-25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109-25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109-25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109-25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Quantity</v>
      </c>
      <c r="C260" s="40" t="str">
        <f>'Build Plan w Hours'!D50</f>
        <v>Name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109-25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______________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109-25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109-25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109-25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______________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109-25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109-25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109-25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______________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109-25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109-25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109-25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109-25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______________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109-25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109-25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109-25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109-25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 t="str">
        <f>'Build Plan w Hours'!C65</f>
        <v>______________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109-25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109-25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109-25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109-25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109-25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109-25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 t="str">
        <f>'Build Plan w Hours'!C71</f>
        <v>Sch End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109-25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109-25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109-25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109-25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 t="str">
        <f>'Build Plan w Hours'!C75</f>
        <v>Description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109-25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109-25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109-25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109-25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109-25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109-25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109-25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109-25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109-25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109-25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109-25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109-25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109-25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2026-04-02T20:15:06Z</cp:lastPrinted>
  <dcterms:created xsi:type="dcterms:W3CDTF">2016-06-28T20:53:17Z</dcterms:created>
  <dcterms:modified xsi:type="dcterms:W3CDTF">2026-04-02T20:17:18Z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