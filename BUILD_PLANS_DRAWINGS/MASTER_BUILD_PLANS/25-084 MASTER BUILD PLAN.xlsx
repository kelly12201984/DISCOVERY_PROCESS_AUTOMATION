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84-25 - Atlas Minerals - Sulfur Holding Tank\"/>
    </mc:Choice>
  </mc:AlternateContent>
  <xr:revisionPtr revIDLastSave="0" documentId="13_ncr:1_{7E119ABF-9080-445E-A5AE-4D1FE83BC50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Hours'!$A$1:$H$75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<sst xmlns="http://schemas.openxmlformats.org/spreadsheetml/2006/main" count="1866" uniqueCount="265">
  <si>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</si>
  <si>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</si>
  <si>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</si>
  <si>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</si>
  <si>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</si>
  <si>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</si>
  <si>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</si>
  <si>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</si>
  <si>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</si>
  <si>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</si>
  <si>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</si>
  <si>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</si>
  <si>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</si>
  <si>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</si>
  <si>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</si>
  <si>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</si>
  <si>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</si>
  <si>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</si>
  <si>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</si>
  <si>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</si>
  <si>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</si>
  <si>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</si>
  <si>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</si>
  <si>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</si>
  <si>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</si>
  <si>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</si>
  <si>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</si>
  <si>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</si>
  <si>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</si>
  <si>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</si>
  <si>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</si>
  <si>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</si>
  <si>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</si>
  <si>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</si>
  <si>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</si>
  <si>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</si>
  <si>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</si>
  <si>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</si>
  <si>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</si>
  <si>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</si>
  <si>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</si>
  <si>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</si>
  <si>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</si>
  <si>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</si>
  <si>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</si>
  <si>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</si>
  <si>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</si>
  <si>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</si>
  <si>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</si>
  <si>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</si>
  <si>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</si>
  <si>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</si>
  <si>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</si>
  <si>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</si>
  <si>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</si>
  <si>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</si>
  <si>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</si>
  <si>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</si>
  <si>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</si>
  <si>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</si>
  <si>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</si>
  <si>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</si>
  <si>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</si>
  <si>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</si>
  <si>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</si>
  <si>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</si>
  <si>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</si>
  <si>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</si>
  <si>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</si>
  <si>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</si>
  <si>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</si>
  <si>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</si>
  <si>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</si>
  <si>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</si>
  <si>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</si>
  <si>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</si>
  <si>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</si>
  <si>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</si>
  <si>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</si>
  <si>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</si>
  <si>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Brn MW Neck, Clean, Bevel</t>
  </si>
  <si>
    <t>.120</t>
  </si>
  <si>
    <t>Burn manway neck (CHECK BEFORE BURNING) - Clean and Bevel</t>
  </si>
  <si>
    <t>Roll Manway Neck</t>
  </si>
  <si>
    <t>.125</t>
  </si>
  <si>
    <t>Roll manway neck</t>
  </si>
  <si>
    <t>S/U Weld MW Flg, Neck Sem</t>
  </si>
  <si>
    <t>.130</t>
  </si>
  <si>
    <t>Set up and weld manway flange and neck seam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</si>
  <si>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</si>
  <si>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</si>
  <si>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</si>
  <si>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</si>
  <si>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</si>
  <si>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</si>
  <si>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</si>
  <si>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</si>
  <si>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</si>
  <si>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</si>
  <si>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</si>
  <si>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</si>
  <si>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</si>
  <si>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</si>
  <si>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</si>
  <si>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</si>
  <si>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</si>
  <si>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</si>
  <si>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</si>
  <si>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</si>
  <si>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Tack Shell Courses</t>
  </si>
  <si>
    <t>.605</t>
  </si>
  <si>
    <t>Weld Inside Round Seams</t>
  </si>
  <si>
    <t>.610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</si>
  <si>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</si>
  <si>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</si>
  <si>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</si>
  <si>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</si>
  <si>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</si>
  <si>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</si>
  <si>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</si>
  <si>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</si>
  <si>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</si>
  <si>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</si>
  <si>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</si>
  <si>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</si>
  <si>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</si>
  <si>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</si>
  <si>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</si>
  <si>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</si>
  <si>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</si>
  <si>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</si>
  <si>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</si>
  <si>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</si>
  <si>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</si>
  <si>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</si>
  <si>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</si>
  <si>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</si>
  <si>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</si>
  <si>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</si>
  <si>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</si>
  <si>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</si>
  <si>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</si>
  <si>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</si>
  <si>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QC Inspection - Test</t>
  </si>
  <si>
    <t>.QC7</t>
  </si>
  <si>
    <t>QC Inspection - Clean</t>
  </si>
  <si>
    <t>.QC8</t>
  </si>
  <si>
    <t>Build Bottom Head/Cone</t>
  </si>
  <si>
    <t>.450</t>
  </si>
  <si>
    <t>Cut Parts on Burn Table</t>
  </si>
  <si>
    <t>Clean &amp; Prep Parts</t>
  </si>
  <si>
    <t>.156</t>
  </si>
  <si>
    <t>Cut, Build Ladder Parts</t>
  </si>
  <si>
    <t>.262</t>
  </si>
  <si>
    <t>Cut/make parts for ladder: rungs, rails, etc.</t>
  </si>
  <si>
    <t>Build Ladder-Weld</t>
  </si>
  <si>
    <t>.270</t>
  </si>
  <si>
    <t>Cut, Build Handrail Parts</t>
  </si>
  <si>
    <t>.272</t>
  </si>
  <si>
    <t>Cut/Build parts for handrail</t>
  </si>
  <si>
    <t>Build Handrail-Weld</t>
  </si>
  <si>
    <t>.282</t>
  </si>
  <si>
    <t>Build handrail - weld out</t>
  </si>
  <si>
    <t>Cut, Build Platform Parts</t>
  </si>
  <si>
    <t>.285</t>
  </si>
  <si>
    <t>Burn Platform Grating</t>
  </si>
  <si>
    <t>.290</t>
  </si>
  <si>
    <t>Burn grating for platforms, clean and band</t>
  </si>
  <si>
    <t>Build Platform-Weld</t>
  </si>
  <si>
    <t>.292</t>
  </si>
  <si>
    <t>Build platform - weld out</t>
  </si>
  <si>
    <t>Mount Platform Handrail</t>
  </si>
  <si>
    <t>.295</t>
  </si>
  <si>
    <t>Mount handrail on platform</t>
  </si>
  <si>
    <t>QC Inspection - Pre Sub C</t>
  </si>
  <si>
    <t>.QC2</t>
  </si>
  <si>
    <t>QC Inspection - Components prior to shipping to Subcontractor</t>
  </si>
  <si>
    <t>Build bottom head/cone</t>
  </si>
  <si>
    <t>Tack shell courses together</t>
  </si>
  <si>
    <t>Weld inside round seams</t>
  </si>
  <si>
    <t>Weld all Outside Seams</t>
  </si>
  <si>
    <t>.645</t>
  </si>
  <si>
    <t>Weld all outside seams</t>
  </si>
  <si>
    <t>Fit Handrail, I&amp;W Clips</t>
  </si>
  <si>
    <t>.750</t>
  </si>
  <si>
    <t>Fit handrail - install and weld clips</t>
  </si>
  <si>
    <t>Fit Ladder, I&amp;W Clips</t>
  </si>
  <si>
    <t>.755</t>
  </si>
  <si>
    <t>Fit ladder - install and weld clips</t>
  </si>
  <si>
    <t>Fit Platform, I&amp;W Clips</t>
  </si>
  <si>
    <t>.760</t>
  </si>
  <si>
    <t>Fit platform - install and weld clips, bracing, etc.</t>
  </si>
  <si>
    <t>SULFUR HOLDING TANK</t>
  </si>
  <si>
    <t>106053</t>
  </si>
  <si>
    <t>9186.3</t>
  </si>
  <si>
    <t>1</t>
  </si>
  <si>
    <t>Build nozzles and weld_x000D_
USE COBOT TO WELD RF50 NOZZLES</t>
  </si>
  <si>
    <t>Build supports: legs, lugs, saddles_x000D_
TANK ONLY</t>
  </si>
  <si>
    <t>Make lift lugs, ground lugs, etc.</t>
  </si>
  <si>
    <t>Roll/Burn vacuum rings</t>
  </si>
  <si>
    <t>.240</t>
  </si>
  <si>
    <t>Roll/Burn vacuum rings (CHECK BEFORE BURNING)_x000D_
INSULATION RINGS AND VACUUM RINGS CUT ON CNC</t>
  </si>
  <si>
    <t>Build ladder - weld out_x000D_
FOR (1) STRAIGHT LADDER NO CAGE</t>
  </si>
  <si>
    <t>Roll Handrail Pipe</t>
  </si>
  <si>
    <t>.275</t>
  </si>
  <si>
    <t>Roll handrail pipe</t>
  </si>
  <si>
    <t>Roll Handrail Toe Plate</t>
  </si>
  <si>
    <t>.280</t>
  </si>
  <si>
    <t>Roll handrail toe plate</t>
  </si>
  <si>
    <t>Cut/Build parts for platform_x000D_
INCL COPING CHANNELS &amp; MAKE RINGS FOR NOZ CUT-OUTS</t>
  </si>
  <si>
    <t>Wrap Top &amp; Bottom Heads</t>
  </si>
  <si>
    <t>.300</t>
  </si>
  <si>
    <t>Wrap top and bottom heads</t>
  </si>
  <si>
    <t>Shells: bring in plate, square, trim and clean_x000D_
MAKE (2) SINGLE SHELLS, GRIND PREP EDGES</t>
  </si>
  <si>
    <t>Roll shells, tack and weld inside seams_x000D_
INCL WELD LONG SEAMS W/ COBOT</t>
  </si>
  <si>
    <t>Lay out top head, burn and clean holes_x000D_
CUT HOLES AT CNC TABLE</t>
  </si>
  <si>
    <t>Set  nozzles, lift lugs, etc. in top head - tack</t>
  </si>
  <si>
    <t>Weld out top head nozzles, etc. _x000D_
AND LIFT LUGS</t>
  </si>
  <si>
    <t>Fab Internal Coil Support</t>
  </si>
  <si>
    <t>.580</t>
  </si>
  <si>
    <t>Fabricate internal coil supports</t>
  </si>
  <si>
    <t>Fab Internal Coil</t>
  </si>
  <si>
    <t>.590</t>
  </si>
  <si>
    <t>Fabricate internal coil</t>
  </si>
  <si>
    <t>ASME Hold Point</t>
  </si>
  <si>
    <t>.OI1</t>
  </si>
  <si>
    <t>Fit bottom head to shell</t>
  </si>
  <si>
    <t>Lay out shell, burn and clean holes</t>
  </si>
  <si>
    <t>Install Internal Coil/Spt</t>
  </si>
  <si>
    <t>.635</t>
  </si>
  <si>
    <t>Install internal coil and supports</t>
  </si>
  <si>
    <t>Fit top head to shell - tack</t>
  </si>
  <si>
    <t>Weld top to shell</t>
  </si>
  <si>
    <t>.641</t>
  </si>
  <si>
    <t>Weld top head to shell - inside_x000D_
INCL HOLE WATCH</t>
  </si>
  <si>
    <t>Install Insul/Vac Rings</t>
  </si>
  <si>
    <t>.715</t>
  </si>
  <si>
    <t>Install insulation/vacuum rings - tack</t>
  </si>
  <si>
    <t>Install supports - legs, lugs, anchors, saddles, skirt_x000D_
AND WELD</t>
  </si>
  <si>
    <t>Set nozzles in shell - tack</t>
  </si>
  <si>
    <t>Weld shell nozzles, manways, etc.</t>
  </si>
  <si>
    <t>UT Components</t>
  </si>
  <si>
    <t>.QC51</t>
  </si>
  <si>
    <t>Customer Inspection</t>
  </si>
  <si>
    <t>.OI4</t>
  </si>
  <si>
    <t>ASME Inspection Internal</t>
  </si>
  <si>
    <t>.OI2</t>
  </si>
  <si>
    <t>Test tank_x000D_
TEST VESSEL AND COIL</t>
  </si>
  <si>
    <t>ASME Inspection Test</t>
  </si>
  <si>
    <t>.OI3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</si>
  <si>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</si>
  <si>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</si>
  <si>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</si>
  <si>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</si>
  <si>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</si>
  <si>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</si>
  <si>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</si>
  <si>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</si>
  <si>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</si>
  <si>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</si>
  <si>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</si>
  <si>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</si>
  <si>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</si>
  <si>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Load on truck_x000D_
VESSEL AND THEN SHIP LOOSE LOAD SEPARATE</t>
  </si>
  <si>
    <t>084-25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</si>
</sst>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75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SULFUR HOLDING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 TO WELD RF50 NOZZLES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.120</v>
      </c>
      <c r="D9" s="22" t="str">
        <f>'Sheet2-PASTE HERE!'!K19</f>
        <v>Burn manway neck (CHECK BEFORE BURNING) - Clean and Bevel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.125</v>
      </c>
      <c r="D10" s="22" t="str">
        <f>'Sheet2-PASTE HERE!'!K20</f>
        <v>Roll manway neck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.130</v>
      </c>
      <c r="D11" s="22" t="str">
        <f>'Sheet2-PASTE HERE!'!K21</f>
        <v>Set up and weld manway flange and neck seam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24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.156</v>
      </c>
      <c r="D13" s="22">
        <f>'Sheet2-PASTE HERE!'!K23</f>
        <v>0</v>
      </c>
      <c r="E13" s="13">
        <f>'Sheet2-PASTE HERE!'!F23</f>
        <v>14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.165</v>
      </c>
      <c r="D14" s="22" t="str">
        <f>'Sheet2-PASTE HERE!'!K24</f>
        <v>Build supports: legs, lugs, saddles_x000D_
TANK ONLY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.240</v>
      </c>
      <c r="D16" s="22" t="str">
        <f>'Sheet2-PASTE HERE!'!K26</f>
        <v>Roll/Burn vacuum rings (CHECK BEFORE BURNING)_x000D_
INSULATION RINGS AND VACUUM RINGS CUT ON CNC</v>
      </c>
      <c r="E16" s="13">
        <f>'Sheet2-PASTE HERE!'!F26</f>
        <v>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.262</v>
      </c>
      <c r="D17" s="22" t="str">
        <f>'Sheet2-PASTE HERE!'!K27</f>
        <v>Cut/make parts for ladder: rungs, rails, etc.</v>
      </c>
      <c r="E17" s="13">
        <f>'Sheet2-PASTE HERE!'!F27</f>
        <v>4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.270</v>
      </c>
      <c r="D18" s="22" t="str">
        <f>'Sheet2-PASTE HERE!'!K28</f>
        <v>Build ladder - weld out_x000D_
FOR (1) STRAIGHT LADDER NO CAGE</v>
      </c>
      <c r="E18" s="13">
        <f>'Sheet2-PASTE HERE!'!F28</f>
        <v>14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.272</v>
      </c>
      <c r="D19" s="22" t="str">
        <f>'Sheet2-PASTE HERE!'!K29</f>
        <v>Cut/Build parts for handrail</v>
      </c>
      <c r="E19" s="13">
        <f>'Sheet2-PASTE HERE!'!F29</f>
        <v>6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.275</v>
      </c>
      <c r="D20" s="22" t="str">
        <f>'Sheet2-PASTE HERE!'!K30</f>
        <v>Roll handrail pipe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.280</v>
      </c>
      <c r="D21" s="22" t="str">
        <f>'Sheet2-PASTE HERE!'!K31</f>
        <v>Roll handrail toe plate</v>
      </c>
      <c r="E21" s="13">
        <f>'Sheet2-PASTE HERE!'!F31</f>
        <v>2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.282</v>
      </c>
      <c r="D22" s="22" t="str">
        <f>'Sheet2-PASTE HERE!'!K32</f>
        <v>Build handrail - weld out</v>
      </c>
      <c r="E22" s="13">
        <f>'Sheet2-PASTE HERE!'!F32</f>
        <v>24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.285</v>
      </c>
      <c r="D23" s="22" t="str">
        <f>'Sheet2-PASTE HERE!'!K33</f>
        <v>Cut/Build parts for platform_x000D_
INCL COPING CHANNELS &amp; MAKE RINGS FOR NOZ CUT-OUTS</v>
      </c>
      <c r="E23" s="13">
        <f>'Sheet2-PASTE HERE!'!F33</f>
        <v>28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.290</v>
      </c>
      <c r="D24" s="22" t="str">
        <f>'Sheet2-PASTE HERE!'!K34</f>
        <v>Burn grating for platforms, clean and band</v>
      </c>
      <c r="E24" s="13">
        <f>'Sheet2-PASTE HERE!'!F34</f>
        <v>12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.292</v>
      </c>
      <c r="D25" s="22" t="str">
        <f>'Sheet2-PASTE HERE!'!K35</f>
        <v>Build platform - weld out</v>
      </c>
      <c r="E25" s="13">
        <f>'Sheet2-PASTE HERE!'!F35</f>
        <v>32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.295</v>
      </c>
      <c r="D26" s="22" t="str">
        <f>'Sheet2-PASTE HERE!'!K36</f>
        <v>Mount handrail on platform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.QC2</v>
      </c>
      <c r="D27" s="22" t="str">
        <f>'Sheet2-PASTE HERE!'!K37</f>
        <v>QC Inspection - Components prior to shipping to Subcontractor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.300</v>
      </c>
      <c r="D28" s="22" t="str">
        <f>'Sheet2-PASTE HERE!'!K38</f>
        <v>Wrap top and bottom heads</v>
      </c>
      <c r="E28" s="13">
        <f>'Sheet2-PASTE HERE!'!F38</f>
        <v>2</v>
      </c>
      <c r="F28" s="12"/>
      <c r="G28" s="12"/>
      <c r="H28" s="12"/>
      <c r="K28">
        <f t="shared" si="2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.QC3</v>
      </c>
      <c r="D29" s="22" t="str">
        <f>'Sheet2-PASTE HERE!'!K39</f>
        <v>UT Shells</v>
      </c>
      <c r="E29" s="13">
        <f>'Sheet2-PASTE HERE!'!F39</f>
        <v>0</v>
      </c>
      <c r="F29" s="12"/>
      <c r="G29" s="12"/>
      <c r="H29" s="12"/>
      <c r="K29">
        <f t="shared" si="2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.305</v>
      </c>
      <c r="D30" s="22" t="str">
        <f>'Sheet2-PASTE HERE!'!K40</f>
        <v>Shells: bring in plate, square, trim and clean_x000D_
MAKE (2) SINGLE SHELLS, GRIND PREP EDGES</v>
      </c>
      <c r="E30" s="13">
        <f>'Sheet2-PASTE HERE!'!F40</f>
        <v>4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.315</v>
      </c>
      <c r="D31" s="22" t="str">
        <f>'Sheet2-PASTE HERE!'!K41</f>
        <v>Roll shells, tack and weld inside seams_x000D_
INCL WELD LONG SEAMS W/ COBOT</v>
      </c>
      <c r="E31" s="13">
        <f>'Sheet2-PASTE HERE!'!F41</f>
        <v>9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.355</v>
      </c>
      <c r="D33" s="22" t="str">
        <f>'Sheet2-PASTE HERE!'!K43</f>
        <v>Lay out top head, burn and clean holes_x000D_
CUT HOLES AT CNC TABLE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.365</v>
      </c>
      <c r="D34" s="22" t="str">
        <f>'Sheet2-PASTE HERE!'!K44</f>
        <v>Set  nozzles, lift lugs, etc. in top head - tack</v>
      </c>
      <c r="E34" s="13">
        <f>'Sheet2-PASTE HERE!'!F44</f>
        <v>8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.366</v>
      </c>
      <c r="D35" s="22" t="str">
        <f>'Sheet2-PASTE HERE!'!K45</f>
        <v>Weld out top head nozzles, etc. _x000D_
AND LIFT LUGS</v>
      </c>
      <c r="E35" s="13">
        <f>'Sheet2-PASTE HERE!'!F45</f>
        <v>12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.450</v>
      </c>
      <c r="D36" s="22" t="str">
        <f>'Sheet2-PASTE HERE!'!K46</f>
        <v>Build bottom head/cone</v>
      </c>
      <c r="E36" s="13">
        <f>'Sheet2-PASTE HERE!'!F46</f>
        <v>10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2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.580</v>
      </c>
      <c r="D38" s="22" t="str">
        <f>'Sheet2-PASTE HERE!'!K48</f>
        <v>Fabricate internal coil supports</v>
      </c>
      <c r="E38" s="13">
        <f>'Sheet2-PASTE HERE!'!F48</f>
        <v>12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.590</v>
      </c>
      <c r="D39" s="22" t="str">
        <f>'Sheet2-PASTE HERE!'!K49</f>
        <v>Fabricate internal coil</v>
      </c>
      <c r="E39" s="13">
        <f>'Sheet2-PASTE HERE!'!F49</f>
        <v>60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.OI1</v>
      </c>
      <c r="D40" s="22" t="str">
        <f>'Sheet2-PASTE HERE!'!K50</f>
        <v>ASME Hold Point</v>
      </c>
      <c r="E40" s="13">
        <f>'Sheet2-PASTE HERE!'!F50</f>
        <v>0</v>
      </c>
      <c r="F40" s="12"/>
      <c r="G40" s="12"/>
      <c r="H40" s="12"/>
      <c r="K40">
        <f t="shared" si="2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</v>
      </c>
      <c r="E41" s="13">
        <f>'Sheet2-PASTE HERE!'!F51</f>
        <v>12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.605</v>
      </c>
      <c r="D42" s="22" t="str">
        <f>'Sheet2-PASTE HERE!'!K52</f>
        <v>Tack shell courses together</v>
      </c>
      <c r="E42" s="13">
        <f>'Sheet2-PASTE HERE!'!F52</f>
        <v>3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.610</v>
      </c>
      <c r="D43" s="22" t="str">
        <f>'Sheet2-PASTE HERE!'!K53</f>
        <v>Weld inside round seams</v>
      </c>
      <c r="E43" s="13">
        <f>'Sheet2-PASTE HERE!'!F53</f>
        <v>2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</v>
      </c>
      <c r="E44" s="13">
        <f>'Sheet2-PASTE HERE!'!F54</f>
        <v>4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.635</v>
      </c>
      <c r="D45" s="22" t="str">
        <f>'Sheet2-PASTE HERE!'!K55</f>
        <v>Install internal coil and supports</v>
      </c>
      <c r="E45" s="13">
        <f>'Sheet2-PASTE HERE!'!F55</f>
        <v>40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.QC5</v>
      </c>
      <c r="D46" s="22" t="str">
        <f>'Sheet2-PASTE HERE!'!K56</f>
        <v>QC Inspection - Internal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.640</v>
      </c>
      <c r="D47" s="22" t="str">
        <f>'Sheet2-PASTE HERE!'!K57</f>
        <v>Fit top head to shell - tack</v>
      </c>
      <c r="E47" s="13">
        <f>'Sheet2-PASTE HERE!'!F57</f>
        <v>4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.641</v>
      </c>
      <c r="D48" s="22" t="str">
        <f>'Sheet2-PASTE HERE!'!K58</f>
        <v>Weld top head to shell - inside_x000D_
INCL HOLE WATCH</v>
      </c>
      <c r="E48" s="13">
        <f>'Sheet2-PASTE HERE!'!F58</f>
        <v>6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.645</v>
      </c>
      <c r="D49" s="22" t="str">
        <f>'Sheet2-PASTE HERE!'!K59</f>
        <v>Weld all outside seams</v>
      </c>
      <c r="E49" s="13">
        <f>'Sheet2-PASTE HERE!'!F59</f>
        <v>12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.800</v>
      </c>
      <c r="D50" s="22" t="str">
        <f>'Sheet2-PASTE HERE!'!K60</f>
        <v>Move tank to detail rolls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.715</v>
      </c>
      <c r="D51" s="22" t="str">
        <f>'Sheet2-PASTE HERE!'!K61</f>
        <v>Install insulation/vacuum rings - tack</v>
      </c>
      <c r="E51" s="13">
        <f>'Sheet2-PASTE HERE!'!F61</f>
        <v>12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AND WELD</v>
      </c>
      <c r="E52" s="13">
        <f>'Sheet2-PASTE HERE!'!F62</f>
        <v>12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</v>
      </c>
      <c r="E53" s="13">
        <f>'Sheet2-PASTE HERE!'!F63</f>
        <v>6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</v>
      </c>
      <c r="E54" s="13">
        <f>'Sheet2-PASTE HERE!'!F64</f>
        <v>12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.750</v>
      </c>
      <c r="D55" s="22" t="str">
        <f>'Sheet2-PASTE HERE!'!K65</f>
        <v>Fit handrail - install and weld clips</v>
      </c>
      <c r="E55" s="13">
        <f>'Sheet2-PASTE HERE!'!F65</f>
        <v>6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.755</v>
      </c>
      <c r="D56" s="22" t="str">
        <f>'Sheet2-PASTE HERE!'!K66</f>
        <v>Fit ladder - install and weld clips</v>
      </c>
      <c r="E56" s="13">
        <f>'Sheet2-PASTE HERE!'!F66</f>
        <v>6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.760</v>
      </c>
      <c r="D57" s="22" t="str">
        <f>'Sheet2-PASTE HERE!'!K67</f>
        <v>Fit platform - install and weld clips, bracing, etc.</v>
      </c>
      <c r="E57" s="13">
        <f>'Sheet2-PASTE HERE!'!F67</f>
        <v>10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.QC51</v>
      </c>
      <c r="D58" s="22" t="str">
        <f>'Sheet2-PASTE HERE!'!K68</f>
        <v>UT Components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.765</v>
      </c>
      <c r="D59" s="22" t="str">
        <f>'Sheet2-PASTE HERE!'!K69</f>
        <v>Install name tag</v>
      </c>
      <c r="E59" s="13">
        <f>'Sheet2-PASTE HERE!'!F69</f>
        <v>1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.770</v>
      </c>
      <c r="D60" s="22" t="str">
        <f>'Sheet2-PASTE HERE!'!K70</f>
        <v>Inspect tank, make repairs, get QC inspector</v>
      </c>
      <c r="E60" s="13">
        <f>'Sheet2-PASTE HERE!'!F70</f>
        <v>1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.QC6</v>
      </c>
      <c r="D61" s="22" t="str">
        <f>'Sheet2-PASTE HERE!'!K71</f>
        <v>QC Inspection - Fabrication</v>
      </c>
      <c r="E61" s="13">
        <f>'Sheet2-PASTE HERE!'!F71</f>
        <v>0</v>
      </c>
      <c r="F61" s="12"/>
      <c r="G61" s="12"/>
      <c r="H61" s="12"/>
      <c r="K61">
        <f t="shared" si="2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.OI4</v>
      </c>
      <c r="D62" s="22" t="str">
        <f>'Sheet2-PASTE HERE!'!K72</f>
        <v>Customer Inspection</v>
      </c>
      <c r="E62" s="13">
        <f>'Sheet2-PASTE HERE!'!F72</f>
        <v>0</v>
      </c>
      <c r="F62" s="12"/>
      <c r="G62" s="12"/>
      <c r="H62" s="12"/>
      <c r="K62">
        <f t="shared" si="2"/>
        <v>1</v>
      </c>
      <c r="L62">
        <f t="shared" si="1"/>
        <v>1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.OI2</v>
      </c>
      <c r="D63" s="22" t="str">
        <f>'Sheet2-PASTE HERE!'!K73</f>
        <v>ASME Inspection Internal</v>
      </c>
      <c r="E63" s="13">
        <f>'Sheet2-PASTE HERE!'!F73</f>
        <v>0</v>
      </c>
      <c r="F63" s="12"/>
      <c r="G63" s="12"/>
      <c r="H63" s="12"/>
      <c r="K63">
        <f t="shared" si="2"/>
        <v>1</v>
      </c>
      <c r="L63">
        <f t="shared" si="1"/>
        <v>1</v>
      </c>
    </row>
    <row r="64" spans="1:12" ht="26.25" customHeight="1" x14ac:dyDescent="0.2">
      <c r="A64" s="10" t="str">
        <f>'Sheet2-PASTE HERE!'!A74</f>
        <v>MOVE TANK</v>
      </c>
      <c r="B64" s="11"/>
      <c r="C64" s="17" t="str">
        <f>'Sheet2-PASTE HERE!'!I74</f>
        <v>.801</v>
      </c>
      <c r="D64" s="22" t="str">
        <f>'Sheet2-PASTE HERE!'!K74</f>
        <v>Move to shop test area</v>
      </c>
      <c r="E64" s="13">
        <f>'Sheet2-PASTE HERE!'!F74</f>
        <v>2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.910</v>
      </c>
      <c r="D65" s="22" t="str">
        <f>'Sheet2-PASTE HERE!'!K75</f>
        <v>Test tank_x000D_
TEST VESSEL AND COIL</v>
      </c>
      <c r="E65" s="13">
        <f>'Sheet2-PASTE HERE!'!F75</f>
        <v>24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.QC7</v>
      </c>
      <c r="D66" s="22" t="str">
        <f>'Sheet2-PASTE HERE!'!K76</f>
        <v>QC Inspection - Test</v>
      </c>
      <c r="E66" s="13">
        <f>'Sheet2-PASTE HERE!'!F76</f>
        <v>0</v>
      </c>
      <c r="F66" s="12"/>
      <c r="G66" s="12"/>
      <c r="H66" s="12"/>
      <c r="K66">
        <f t="shared" si="2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.OI3</v>
      </c>
      <c r="D67" s="22" t="str">
        <f>'Sheet2-PASTE HERE!'!K77</f>
        <v>ASME Inspection Test</v>
      </c>
      <c r="E67" s="13">
        <f>'Sheet2-PASTE HERE!'!F77</f>
        <v>0</v>
      </c>
      <c r="F67" s="12"/>
      <c r="G67" s="12"/>
      <c r="H67" s="12"/>
      <c r="K67">
        <f t="shared" si="2"/>
        <v>1</v>
      </c>
      <c r="L67">
        <f t="shared" si="1"/>
        <v>1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.QC8</v>
      </c>
      <c r="D68" s="22" t="str">
        <f>'Sheet2-PASTE HERE!'!K78</f>
        <v>QC Inspection - Clean</v>
      </c>
      <c r="E68" s="13">
        <f>'Sheet2-PASTE HERE!'!F78</f>
        <v>0</v>
      </c>
      <c r="F68" s="12"/>
      <c r="G68" s="12"/>
      <c r="H68" s="12"/>
      <c r="K68">
        <f t="shared" si="2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.802</v>
      </c>
      <c r="D69" s="22" t="str">
        <f>'Sheet2-PASTE HERE!'!K79</f>
        <v>Move to paint area</v>
      </c>
      <c r="E69" s="13">
        <f>'Sheet2-PASTE HERE!'!F79</f>
        <v>2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.QC9</v>
      </c>
      <c r="D70" s="22" t="str">
        <f>'Sheet2-PASTE HERE!'!K80</f>
        <v>QC Inspection - Sandblast</v>
      </c>
      <c r="E70" s="13">
        <f>'Sheet2-PASTE HERE!'!F80</f>
        <v>0</v>
      </c>
      <c r="F70" s="12"/>
      <c r="G70" s="12"/>
      <c r="H70" s="12"/>
      <c r="K70">
        <f t="shared" si="2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.QC90</v>
      </c>
      <c r="D71" s="22" t="str">
        <f>'Sheet2-PASTE HERE!'!K81</f>
        <v>QC Inspection - Paint</v>
      </c>
      <c r="E71" s="13">
        <f>'Sheet2-PASTE HERE!'!F81</f>
        <v>0</v>
      </c>
      <c r="F71" s="12"/>
      <c r="G71" s="12"/>
      <c r="H71" s="12"/>
      <c r="K71">
        <f t="shared" si="2"/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.940</v>
      </c>
      <c r="D72" s="22" t="str">
        <f>'Sheet2-PASTE HERE!'!K82</f>
        <v>Prepare tank for shipment</v>
      </c>
      <c r="E72" s="13">
        <f>'Sheet2-PASTE HERE!'!F82</f>
        <v>3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.950</v>
      </c>
      <c r="D73" s="22" t="str">
        <f>'Sheet2-PASTE HERE!'!K83</f>
        <v>Check bill of materials and pack loose parts</v>
      </c>
      <c r="E73" s="13">
        <f>'Sheet2-PASTE HERE!'!F83</f>
        <v>4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.QC95</v>
      </c>
      <c r="D74" s="22" t="str">
        <f>'Sheet2-PASTE HERE!'!K84</f>
        <v>QC Inspection - Final &amp; Loose Items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.960</v>
      </c>
      <c r="D75" s="22" t="str">
        <f>'Sheet2-PASTE HERE!'!K85</f>
        <v>Load on truck_x000D_
VESSEL AND THEN SHIP LOOSE LOAD SEPARATE</v>
      </c>
      <c r="E75" s="13">
        <f>'Sheet2-PASTE HERE!'!F85</f>
        <v>10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264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SULFUR HOLDING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weld_x000D_
USE COBOT TO WELD RF50 NOZZLES</v>
      </c>
      <c r="E8" s="13">
        <f>'Sheet2-PASTE HERE!'!F18</f>
        <v>4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.120</v>
      </c>
      <c r="D9" s="22" t="str">
        <f>'Sheet2-PASTE HERE!'!K19</f>
        <v>Burn manway neck (CHECK BEFORE BURNING) - Clean and Bevel</v>
      </c>
      <c r="E9" s="13">
        <f>'Sheet2-PASTE HERE!'!F19</f>
        <v>2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.125</v>
      </c>
      <c r="D10" s="22" t="str">
        <f>'Sheet2-PASTE HERE!'!K20</f>
        <v>Roll manway neck</v>
      </c>
      <c r="E10" s="13">
        <f>'Sheet2-PASTE HERE!'!F20</f>
        <v>2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.130</v>
      </c>
      <c r="D11" s="22" t="str">
        <f>'Sheet2-PASTE HERE!'!K21</f>
        <v>Set up and weld manway flange and neck seam</v>
      </c>
      <c r="E11" s="13">
        <f>'Sheet2-PASTE HERE!'!F21</f>
        <v>6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.155</v>
      </c>
      <c r="D12" s="22" t="str">
        <f>'Sheet2-PASTE HERE!'!K22</f>
        <v>Burn and clean parts:  lugs, supports, repads, base ring, etc. (CHECK!)</v>
      </c>
      <c r="E12" s="13">
        <f>'Sheet2-PASTE HERE!'!F22</f>
        <v>24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.156</v>
      </c>
      <c r="D13" s="22">
        <f>'Sheet2-PASTE HERE!'!K23</f>
        <v>0</v>
      </c>
      <c r="E13" s="13">
        <f>'Sheet2-PASTE HERE!'!F23</f>
        <v>14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.165</v>
      </c>
      <c r="D14" s="22" t="str">
        <f>'Sheet2-PASTE HERE!'!K24</f>
        <v>Build supports: legs, lugs, saddles_x000D_
TANK ONLY</v>
      </c>
      <c r="E14" s="13">
        <f>'Sheet2-PASTE HERE!'!F24</f>
        <v>4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.240</v>
      </c>
      <c r="D16" s="22" t="str">
        <f>'Sheet2-PASTE HERE!'!K26</f>
        <v>Roll/Burn vacuum rings (CHECK BEFORE BURNING)_x000D_
INSULATION RINGS AND VACUUM RINGS CUT ON CNC</v>
      </c>
      <c r="E16" s="13">
        <f>'Sheet2-PASTE HERE!'!F26</f>
        <v>0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.262</v>
      </c>
      <c r="D17" s="22" t="str">
        <f>'Sheet2-PASTE HERE!'!K27</f>
        <v>Cut/make parts for ladder: rungs, rails, etc.</v>
      </c>
      <c r="E17" s="13">
        <f>'Sheet2-PASTE HERE!'!F27</f>
        <v>4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.270</v>
      </c>
      <c r="D18" s="22" t="str">
        <f>'Sheet2-PASTE HERE!'!K28</f>
        <v>Build ladder - weld out_x000D_
FOR (1) STRAIGHT LADDER NO CAGE</v>
      </c>
      <c r="E18" s="13">
        <f>'Sheet2-PASTE HERE!'!F28</f>
        <v>14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.272</v>
      </c>
      <c r="D19" s="22" t="str">
        <f>'Sheet2-PASTE HERE!'!K29</f>
        <v>Cut/Build parts for handrail</v>
      </c>
      <c r="E19" s="13">
        <f>'Sheet2-PASTE HERE!'!F29</f>
        <v>6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.275</v>
      </c>
      <c r="D20" s="22" t="str">
        <f>'Sheet2-PASTE HERE!'!K30</f>
        <v>Roll handrail pipe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.280</v>
      </c>
      <c r="D21" s="22" t="str">
        <f>'Sheet2-PASTE HERE!'!K31</f>
        <v>Roll handrail toe plate</v>
      </c>
      <c r="E21" s="13">
        <f>'Sheet2-PASTE HERE!'!F31</f>
        <v>2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PRE FAB</v>
      </c>
      <c r="B22" s="11"/>
      <c r="C22" s="17" t="str">
        <f>'Sheet2-PASTE HERE!'!I32</f>
        <v>.282</v>
      </c>
      <c r="D22" s="22" t="str">
        <f>'Sheet2-PASTE HERE!'!K32</f>
        <v>Build handrail - weld out</v>
      </c>
      <c r="E22" s="13">
        <f>'Sheet2-PASTE HERE!'!F32</f>
        <v>24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.285</v>
      </c>
      <c r="D23" s="22" t="str">
        <f>'Sheet2-PASTE HERE!'!K33</f>
        <v>Cut/Build parts for platform_x000D_
INCL COPING CHANNELS &amp; MAKE RINGS FOR NOZ CUT-OUTS</v>
      </c>
      <c r="E23" s="13">
        <f>'Sheet2-PASTE HERE!'!F33</f>
        <v>28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.290</v>
      </c>
      <c r="D24" s="22" t="str">
        <f>'Sheet2-PASTE HERE!'!K34</f>
        <v>Burn grating for platforms, clean and band</v>
      </c>
      <c r="E24" s="13">
        <f>'Sheet2-PASTE HERE!'!F34</f>
        <v>12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.292</v>
      </c>
      <c r="D25" s="22" t="str">
        <f>'Sheet2-PASTE HERE!'!K35</f>
        <v>Build platform - weld out</v>
      </c>
      <c r="E25" s="13">
        <f>'Sheet2-PASTE HERE!'!F35</f>
        <v>32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.295</v>
      </c>
      <c r="D26" s="22" t="str">
        <f>'Sheet2-PASTE HERE!'!K36</f>
        <v>Mount handrail on platform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.QC2</v>
      </c>
      <c r="D27" s="22" t="str">
        <f>'Sheet2-PASTE HERE!'!K37</f>
        <v>QC Inspection - Components prior to shipping to Subcontractor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PRE FAB</v>
      </c>
      <c r="B28" s="11"/>
      <c r="C28" s="17" t="str">
        <f>'Sheet2-PASTE HERE!'!I38</f>
        <v>.300</v>
      </c>
      <c r="D28" s="22" t="str">
        <f>'Sheet2-PASTE HERE!'!K38</f>
        <v>Wrap top and bottom heads</v>
      </c>
      <c r="E28" s="13">
        <f>'Sheet2-PASTE HERE!'!F38</f>
        <v>2</v>
      </c>
      <c r="F28" s="12"/>
      <c r="G28" s="12"/>
      <c r="H28" s="12"/>
      <c r="K28">
        <f t="shared" si="0"/>
        <v>0</v>
      </c>
      <c r="L28">
        <f t="shared" si="1"/>
        <v>0</v>
      </c>
    </row>
    <row r="29" spans="1:12" ht="26.25" customHeight="1" x14ac:dyDescent="0.2">
      <c r="A29" s="10" t="str">
        <f>'Sheet2-PASTE HERE!'!A39</f>
        <v>INSPECTION</v>
      </c>
      <c r="B29" s="11"/>
      <c r="C29" s="17" t="str">
        <f>'Sheet2-PASTE HERE!'!I39</f>
        <v>.QC3</v>
      </c>
      <c r="D29" s="22" t="str">
        <f>'Sheet2-PASTE HERE!'!K39</f>
        <v>UT Shells</v>
      </c>
      <c r="E29" s="13">
        <f>'Sheet2-PASTE HERE!'!F39</f>
        <v>0</v>
      </c>
      <c r="F29" s="12"/>
      <c r="G29" s="12"/>
      <c r="H29" s="12"/>
      <c r="K29">
        <f t="shared" si="0"/>
        <v>1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.305</v>
      </c>
      <c r="D30" s="22" t="str">
        <f>'Sheet2-PASTE HERE!'!K40</f>
        <v>Shells: bring in plate, square, trim and clean_x000D_
MAKE (2) SINGLE SHELLS, GRIND PREP EDGES</v>
      </c>
      <c r="E30" s="13">
        <f>'Sheet2-PASTE HERE!'!F40</f>
        <v>4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PRE FAB</v>
      </c>
      <c r="B31" s="11"/>
      <c r="C31" s="17" t="str">
        <f>'Sheet2-PASTE HERE!'!I41</f>
        <v>.315</v>
      </c>
      <c r="D31" s="22" t="str">
        <f>'Sheet2-PASTE HERE!'!K41</f>
        <v>Roll shells, tack and weld inside seams_x000D_
INCL WELD LONG SEAMS W/ COBOT</v>
      </c>
      <c r="E31" s="13">
        <f>'Sheet2-PASTE HERE!'!F41</f>
        <v>9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.QC4</v>
      </c>
      <c r="D32" s="22" t="str">
        <f>'Sheet2-PASTE HERE!'!K42</f>
        <v>QC Inspection - Top/Bottom/Cones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0</v>
      </c>
    </row>
    <row r="33" spans="1:12" ht="26.25" customHeight="1" x14ac:dyDescent="0.2">
      <c r="A33" s="10" t="str">
        <f>'Sheet2-PASTE HERE!'!A43</f>
        <v>PRE FAB</v>
      </c>
      <c r="B33" s="11"/>
      <c r="C33" s="17" t="str">
        <f>'Sheet2-PASTE HERE!'!I43</f>
        <v>.355</v>
      </c>
      <c r="D33" s="22" t="str">
        <f>'Sheet2-PASTE HERE!'!K43</f>
        <v>Lay out top head, burn and clean holes_x000D_
CUT HOLES AT CNC TABLE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PRE FAB</v>
      </c>
      <c r="B34" s="11"/>
      <c r="C34" s="17" t="str">
        <f>'Sheet2-PASTE HERE!'!I44</f>
        <v>.365</v>
      </c>
      <c r="D34" s="22" t="str">
        <f>'Sheet2-PASTE HERE!'!K44</f>
        <v>Set  nozzles, lift lugs, etc. in top head - tack</v>
      </c>
      <c r="E34" s="13">
        <f>'Sheet2-PASTE HERE!'!F44</f>
        <v>8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PRE FAB</v>
      </c>
      <c r="B35" s="11"/>
      <c r="C35" s="17" t="str">
        <f>'Sheet2-PASTE HERE!'!I45</f>
        <v>.366</v>
      </c>
      <c r="D35" s="22" t="str">
        <f>'Sheet2-PASTE HERE!'!K45</f>
        <v>Weld out top head nozzles, etc. _x000D_
AND LIFT LUGS</v>
      </c>
      <c r="E35" s="13">
        <f>'Sheet2-PASTE HERE!'!F45</f>
        <v>12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PRE FAB</v>
      </c>
      <c r="B36" s="11"/>
      <c r="C36" s="17" t="str">
        <f>'Sheet2-PASTE HERE!'!I46</f>
        <v>.450</v>
      </c>
      <c r="D36" s="22" t="str">
        <f>'Sheet2-PASTE HERE!'!K46</f>
        <v>Build bottom head/cone</v>
      </c>
      <c r="E36" s="13">
        <f>'Sheet2-PASTE HERE!'!F46</f>
        <v>10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INSPECTION</v>
      </c>
      <c r="B37" s="11"/>
      <c r="C37" s="17" t="str">
        <f>'Sheet2-PASTE HERE!'!I47</f>
        <v>.QC4</v>
      </c>
      <c r="D37" s="22" t="str">
        <f>'Sheet2-PASTE HERE!'!K47</f>
        <v>QC Inspection - Top/Bottom/Cones</v>
      </c>
      <c r="E37" s="13">
        <f>'Sheet2-PASTE HERE!'!F47</f>
        <v>0</v>
      </c>
      <c r="F37" s="12"/>
      <c r="G37" s="12"/>
      <c r="H37" s="12"/>
      <c r="K37">
        <f t="shared" si="0"/>
        <v>1</v>
      </c>
      <c r="L37">
        <f t="shared" si="1"/>
        <v>0</v>
      </c>
    </row>
    <row r="38" spans="1:12" ht="26.25" customHeight="1" x14ac:dyDescent="0.2">
      <c r="A38" s="10" t="str">
        <f>'Sheet2-PASTE HERE!'!A48</f>
        <v>PRE FAB</v>
      </c>
      <c r="B38" s="11"/>
      <c r="C38" s="17" t="str">
        <f>'Sheet2-PASTE HERE!'!I48</f>
        <v>.580</v>
      </c>
      <c r="D38" s="22" t="str">
        <f>'Sheet2-PASTE HERE!'!K48</f>
        <v>Fabricate internal coil supports</v>
      </c>
      <c r="E38" s="13">
        <f>'Sheet2-PASTE HERE!'!F48</f>
        <v>12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PRE FAB</v>
      </c>
      <c r="B39" s="11"/>
      <c r="C39" s="17" t="str">
        <f>'Sheet2-PASTE HERE!'!I49</f>
        <v>.590</v>
      </c>
      <c r="D39" s="22" t="str">
        <f>'Sheet2-PASTE HERE!'!K49</f>
        <v>Fabricate internal coil</v>
      </c>
      <c r="E39" s="13">
        <f>'Sheet2-PASTE HERE!'!F49</f>
        <v>60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INSPECTION</v>
      </c>
      <c r="B40" s="11"/>
      <c r="C40" s="17" t="str">
        <f>'Sheet2-PASTE HERE!'!I50</f>
        <v>.OI1</v>
      </c>
      <c r="D40" s="22" t="str">
        <f>'Sheet2-PASTE HERE!'!K50</f>
        <v>ASME Hold Point</v>
      </c>
      <c r="E40" s="13">
        <f>'Sheet2-PASTE HERE!'!F50</f>
        <v>0</v>
      </c>
      <c r="F40" s="12"/>
      <c r="G40" s="12"/>
      <c r="H40" s="12"/>
      <c r="K40">
        <f t="shared" si="0"/>
        <v>1</v>
      </c>
      <c r="L40">
        <f t="shared" si="1"/>
        <v>1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.600</v>
      </c>
      <c r="D41" s="22" t="str">
        <f>'Sheet2-PASTE HERE!'!K51</f>
        <v>Fit bottom head to shell</v>
      </c>
      <c r="E41" s="13">
        <f>'Sheet2-PASTE HERE!'!F51</f>
        <v>12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.605</v>
      </c>
      <c r="D42" s="22" t="str">
        <f>'Sheet2-PASTE HERE!'!K52</f>
        <v>Tack shell courses together</v>
      </c>
      <c r="E42" s="13">
        <f>'Sheet2-PASTE HERE!'!F52</f>
        <v>3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.610</v>
      </c>
      <c r="D43" s="22" t="str">
        <f>'Sheet2-PASTE HERE!'!K53</f>
        <v>Weld inside round seams</v>
      </c>
      <c r="E43" s="13">
        <f>'Sheet2-PASTE HERE!'!F53</f>
        <v>2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.620</v>
      </c>
      <c r="D44" s="22" t="str">
        <f>'Sheet2-PASTE HERE!'!K54</f>
        <v>Lay out shell, burn and clean holes</v>
      </c>
      <c r="E44" s="13">
        <f>'Sheet2-PASTE HERE!'!F54</f>
        <v>4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FIT</v>
      </c>
      <c r="B45" s="11"/>
      <c r="C45" s="17" t="str">
        <f>'Sheet2-PASTE HERE!'!I55</f>
        <v>.635</v>
      </c>
      <c r="D45" s="22" t="str">
        <f>'Sheet2-PASTE HERE!'!K55</f>
        <v>Install internal coil and supports</v>
      </c>
      <c r="E45" s="13">
        <f>'Sheet2-PASTE HERE!'!F55</f>
        <v>40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.QC5</v>
      </c>
      <c r="D46" s="22" t="str">
        <f>'Sheet2-PASTE HERE!'!K56</f>
        <v>QC Inspection - Internal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0</v>
      </c>
    </row>
    <row r="47" spans="1:12" ht="26.25" customHeight="1" x14ac:dyDescent="0.2">
      <c r="A47" s="10" t="str">
        <f>'Sheet2-PASTE HERE!'!A57</f>
        <v>FIT</v>
      </c>
      <c r="B47" s="11"/>
      <c r="C47" s="17" t="str">
        <f>'Sheet2-PASTE HERE!'!I57</f>
        <v>.640</v>
      </c>
      <c r="D47" s="22" t="str">
        <f>'Sheet2-PASTE HERE!'!K57</f>
        <v>Fit top head to shell - tack</v>
      </c>
      <c r="E47" s="13">
        <f>'Sheet2-PASTE HERE!'!F57</f>
        <v>4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 t="str">
        <f>'Sheet2-PASTE HERE!'!A58</f>
        <v>FIT</v>
      </c>
      <c r="B48" s="11"/>
      <c r="C48" s="17" t="str">
        <f>'Sheet2-PASTE HERE!'!I58</f>
        <v>.641</v>
      </c>
      <c r="D48" s="22" t="str">
        <f>'Sheet2-PASTE HERE!'!K58</f>
        <v>Weld top head to shell - inside_x000D_
INCL HOLE WATCH</v>
      </c>
      <c r="E48" s="13">
        <f>'Sheet2-PASTE HERE!'!F58</f>
        <v>6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FIT</v>
      </c>
      <c r="B49" s="11"/>
      <c r="C49" s="17" t="str">
        <f>'Sheet2-PASTE HERE!'!I59</f>
        <v>.645</v>
      </c>
      <c r="D49" s="22" t="str">
        <f>'Sheet2-PASTE HERE!'!K59</f>
        <v>Weld all outside seams</v>
      </c>
      <c r="E49" s="13">
        <f>'Sheet2-PASTE HERE!'!F59</f>
        <v>12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.800</v>
      </c>
      <c r="D50" s="22" t="str">
        <f>'Sheet2-PASTE HERE!'!K60</f>
        <v>Move tank to detail rolls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FIT</v>
      </c>
      <c r="B51" s="11"/>
      <c r="C51" s="17" t="str">
        <f>'Sheet2-PASTE HERE!'!I61</f>
        <v>.715</v>
      </c>
      <c r="D51" s="22" t="str">
        <f>'Sheet2-PASTE HERE!'!K61</f>
        <v>Install insulation/vacuum rings - tack</v>
      </c>
      <c r="E51" s="13">
        <f>'Sheet2-PASTE HERE!'!F61</f>
        <v>12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FIT</v>
      </c>
      <c r="B52" s="11"/>
      <c r="C52" s="17" t="str">
        <f>'Sheet2-PASTE HERE!'!I62</f>
        <v>.720</v>
      </c>
      <c r="D52" s="22" t="str">
        <f>'Sheet2-PASTE HERE!'!K62</f>
        <v>Install supports - legs, lugs, anchors, saddles, skirt_x000D_
AND WELD</v>
      </c>
      <c r="E52" s="13">
        <f>'Sheet2-PASTE HERE!'!F62</f>
        <v>12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FIT</v>
      </c>
      <c r="B53" s="11"/>
      <c r="C53" s="17" t="str">
        <f>'Sheet2-PASTE HERE!'!I63</f>
        <v>.725</v>
      </c>
      <c r="D53" s="22" t="str">
        <f>'Sheet2-PASTE HERE!'!K63</f>
        <v>Set nozzles in shell - tack</v>
      </c>
      <c r="E53" s="13">
        <f>'Sheet2-PASTE HERE!'!F63</f>
        <v>6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 t="str">
        <f>'Sheet2-PASTE HERE!'!A64</f>
        <v>FIT</v>
      </c>
      <c r="B54" s="11"/>
      <c r="C54" s="17" t="str">
        <f>'Sheet2-PASTE HERE!'!I64</f>
        <v>.726</v>
      </c>
      <c r="D54" s="22" t="str">
        <f>'Sheet2-PASTE HERE!'!K64</f>
        <v>Weld shell nozzles, manways, etc.</v>
      </c>
      <c r="E54" s="13">
        <f>'Sheet2-PASTE HERE!'!F64</f>
        <v>12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FIT</v>
      </c>
      <c r="B55" s="11"/>
      <c r="C55" s="17" t="str">
        <f>'Sheet2-PASTE HERE!'!I65</f>
        <v>.750</v>
      </c>
      <c r="D55" s="22" t="str">
        <f>'Sheet2-PASTE HERE!'!K65</f>
        <v>Fit handrail - install and weld clips</v>
      </c>
      <c r="E55" s="13">
        <f>'Sheet2-PASTE HERE!'!F65</f>
        <v>6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 t="str">
        <f>'Sheet2-PASTE HERE!'!A66</f>
        <v>FIT</v>
      </c>
      <c r="B56" s="11"/>
      <c r="C56" s="17" t="str">
        <f>'Sheet2-PASTE HERE!'!I66</f>
        <v>.755</v>
      </c>
      <c r="D56" s="22" t="str">
        <f>'Sheet2-PASTE HERE!'!K66</f>
        <v>Fit ladder - install and weld clips</v>
      </c>
      <c r="E56" s="13">
        <f>'Sheet2-PASTE HERE!'!F66</f>
        <v>6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 t="str">
        <f>'Sheet2-PASTE HERE!'!A67</f>
        <v>FIT</v>
      </c>
      <c r="B57" s="11"/>
      <c r="C57" s="17" t="str">
        <f>'Sheet2-PASTE HERE!'!I67</f>
        <v>.760</v>
      </c>
      <c r="D57" s="22" t="str">
        <f>'Sheet2-PASTE HERE!'!K67</f>
        <v>Fit platform - install and weld clips, bracing, etc.</v>
      </c>
      <c r="E57" s="13">
        <f>'Sheet2-PASTE HERE!'!F67</f>
        <v>10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.QC51</v>
      </c>
      <c r="D58" s="22" t="str">
        <f>'Sheet2-PASTE HERE!'!K68</f>
        <v>UT Components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.765</v>
      </c>
      <c r="D59" s="22" t="str">
        <f>'Sheet2-PASTE HERE!'!K69</f>
        <v>Install name tag</v>
      </c>
      <c r="E59" s="13">
        <f>'Sheet2-PASTE HERE!'!F69</f>
        <v>1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FIT</v>
      </c>
      <c r="B60" s="11"/>
      <c r="C60" s="17" t="str">
        <f>'Sheet2-PASTE HERE!'!I70</f>
        <v>.770</v>
      </c>
      <c r="D60" s="22" t="str">
        <f>'Sheet2-PASTE HERE!'!K70</f>
        <v>Inspect tank, make repairs, get QC inspector</v>
      </c>
      <c r="E60" s="13">
        <f>'Sheet2-PASTE HERE!'!F70</f>
        <v>1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 t="str">
        <f>'Sheet2-PASTE HERE!'!A71</f>
        <v>INSPECTION</v>
      </c>
      <c r="B61" s="11"/>
      <c r="C61" s="17" t="str">
        <f>'Sheet2-PASTE HERE!'!I71</f>
        <v>.QC6</v>
      </c>
      <c r="D61" s="22" t="str">
        <f>'Sheet2-PASTE HERE!'!K71</f>
        <v>QC Inspection - Fabrication</v>
      </c>
      <c r="E61" s="13">
        <f>'Sheet2-PASTE HERE!'!F71</f>
        <v>0</v>
      </c>
      <c r="F61" s="12"/>
      <c r="G61" s="12"/>
      <c r="H61" s="12"/>
      <c r="K61">
        <f t="shared" si="0"/>
        <v>1</v>
      </c>
      <c r="L61">
        <f t="shared" si="1"/>
        <v>0</v>
      </c>
    </row>
    <row r="62" spans="1:12" ht="26.25" customHeight="1" x14ac:dyDescent="0.2">
      <c r="A62" s="10" t="str">
        <f>'Sheet2-PASTE HERE!'!A72</f>
        <v>INSPECTION</v>
      </c>
      <c r="B62" s="11"/>
      <c r="C62" s="17" t="str">
        <f>'Sheet2-PASTE HERE!'!I72</f>
        <v>.OI4</v>
      </c>
      <c r="D62" s="22" t="str">
        <f>'Sheet2-PASTE HERE!'!K72</f>
        <v>Customer Inspection</v>
      </c>
      <c r="E62" s="13">
        <f>'Sheet2-PASTE HERE!'!F72</f>
        <v>0</v>
      </c>
      <c r="F62" s="12"/>
      <c r="G62" s="12"/>
      <c r="H62" s="12"/>
      <c r="K62">
        <f t="shared" si="0"/>
        <v>1</v>
      </c>
      <c r="L62">
        <f t="shared" si="1"/>
        <v>1</v>
      </c>
    </row>
    <row r="63" spans="1:12" ht="26.25" customHeight="1" x14ac:dyDescent="0.2">
      <c r="A63" s="10" t="str">
        <f>'Sheet2-PASTE HERE!'!A73</f>
        <v>INSPECTION</v>
      </c>
      <c r="B63" s="11"/>
      <c r="C63" s="17" t="str">
        <f>'Sheet2-PASTE HERE!'!I73</f>
        <v>.OI2</v>
      </c>
      <c r="D63" s="22" t="str">
        <f>'Sheet2-PASTE HERE!'!K73</f>
        <v>ASME Inspection Internal</v>
      </c>
      <c r="E63" s="13">
        <f>'Sheet2-PASTE HERE!'!F73</f>
        <v>0</v>
      </c>
      <c r="F63" s="12"/>
      <c r="G63" s="12"/>
      <c r="H63" s="12"/>
      <c r="K63">
        <f t="shared" si="0"/>
        <v>1</v>
      </c>
      <c r="L63">
        <f t="shared" si="1"/>
        <v>1</v>
      </c>
    </row>
    <row r="64" spans="1:12" ht="26.25" customHeight="1" x14ac:dyDescent="0.2">
      <c r="A64" s="10" t="str">
        <f>'Sheet2-PASTE HERE!'!A74</f>
        <v>MOVE TANK</v>
      </c>
      <c r="B64" s="11"/>
      <c r="C64" s="17" t="str">
        <f>'Sheet2-PASTE HERE!'!I74</f>
        <v>.801</v>
      </c>
      <c r="D64" s="22" t="str">
        <f>'Sheet2-PASTE HERE!'!K74</f>
        <v>Move to shop test area</v>
      </c>
      <c r="E64" s="13">
        <f>'Sheet2-PASTE HERE!'!F74</f>
        <v>2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 t="str">
        <f>'Sheet2-PASTE HERE!'!A75</f>
        <v>FINISHING</v>
      </c>
      <c r="B65" s="11"/>
      <c r="C65" s="17" t="str">
        <f>'Sheet2-PASTE HERE!'!I75</f>
        <v>.910</v>
      </c>
      <c r="D65" s="22" t="str">
        <f>'Sheet2-PASTE HERE!'!K75</f>
        <v>Test tank_x000D_
TEST VESSEL AND COIL</v>
      </c>
      <c r="E65" s="13">
        <f>'Sheet2-PASTE HERE!'!F75</f>
        <v>24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 t="str">
        <f>'Sheet2-PASTE HERE!'!A76</f>
        <v>INSPECTION</v>
      </c>
      <c r="B66" s="11"/>
      <c r="C66" s="17" t="str">
        <f>'Sheet2-PASTE HERE!'!I76</f>
        <v>.QC7</v>
      </c>
      <c r="D66" s="22" t="str">
        <f>'Sheet2-PASTE HERE!'!K76</f>
        <v>QC Inspection - Test</v>
      </c>
      <c r="E66" s="13">
        <f>'Sheet2-PASTE HERE!'!F76</f>
        <v>0</v>
      </c>
      <c r="F66" s="12"/>
      <c r="G66" s="12"/>
      <c r="H66" s="12"/>
      <c r="K66">
        <f t="shared" si="0"/>
        <v>1</v>
      </c>
      <c r="L66">
        <f t="shared" si="1"/>
        <v>0</v>
      </c>
    </row>
    <row r="67" spans="1:12" ht="26.25" customHeight="1" x14ac:dyDescent="0.2">
      <c r="A67" s="10" t="str">
        <f>'Sheet2-PASTE HERE!'!A77</f>
        <v>INSPECTION</v>
      </c>
      <c r="B67" s="11"/>
      <c r="C67" s="17" t="str">
        <f>'Sheet2-PASTE HERE!'!I77</f>
        <v>.OI3</v>
      </c>
      <c r="D67" s="22" t="str">
        <f>'Sheet2-PASTE HERE!'!K77</f>
        <v>ASME Inspection Test</v>
      </c>
      <c r="E67" s="13">
        <f>'Sheet2-PASTE HERE!'!F77</f>
        <v>0</v>
      </c>
      <c r="F67" s="12"/>
      <c r="G67" s="12"/>
      <c r="H67" s="12"/>
      <c r="K67">
        <f t="shared" si="0"/>
        <v>1</v>
      </c>
      <c r="L67">
        <f t="shared" si="1"/>
        <v>1</v>
      </c>
    </row>
    <row r="68" spans="1:12" ht="26.25" customHeight="1" x14ac:dyDescent="0.2">
      <c r="A68" s="10" t="str">
        <f>'Sheet2-PASTE HERE!'!A78</f>
        <v>INSPECTION</v>
      </c>
      <c r="B68" s="11"/>
      <c r="C68" s="17" t="str">
        <f>'Sheet2-PASTE HERE!'!I78</f>
        <v>.QC8</v>
      </c>
      <c r="D68" s="22" t="str">
        <f>'Sheet2-PASTE HERE!'!K78</f>
        <v>QC Inspection - Clean</v>
      </c>
      <c r="E68" s="13">
        <f>'Sheet2-PASTE HERE!'!F78</f>
        <v>0</v>
      </c>
      <c r="F68" s="12"/>
      <c r="G68" s="12"/>
      <c r="H68" s="12"/>
      <c r="K68">
        <f t="shared" si="0"/>
        <v>1</v>
      </c>
      <c r="L68">
        <f t="shared" si="1"/>
        <v>0</v>
      </c>
    </row>
    <row r="69" spans="1:12" ht="26.25" customHeight="1" x14ac:dyDescent="0.2">
      <c r="A69" s="10" t="str">
        <f>'Sheet2-PASTE HERE!'!A79</f>
        <v>MOVE TANK</v>
      </c>
      <c r="B69" s="11"/>
      <c r="C69" s="17" t="str">
        <f>'Sheet2-PASTE HERE!'!I79</f>
        <v>.802</v>
      </c>
      <c r="D69" s="22" t="str">
        <f>'Sheet2-PASTE HERE!'!K79</f>
        <v>Move to paint area</v>
      </c>
      <c r="E69" s="13">
        <f>'Sheet2-PASTE HERE!'!F79</f>
        <v>2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 t="str">
        <f>'Sheet2-PASTE HERE!'!A80</f>
        <v>INSPECTION</v>
      </c>
      <c r="B70" s="11"/>
      <c r="C70" s="17" t="str">
        <f>'Sheet2-PASTE HERE!'!I80</f>
        <v>.QC9</v>
      </c>
      <c r="D70" s="22" t="str">
        <f>'Sheet2-PASTE HERE!'!K80</f>
        <v>QC Inspection - Sandblast</v>
      </c>
      <c r="E70" s="13">
        <f>'Sheet2-PASTE HERE!'!F80</f>
        <v>0</v>
      </c>
      <c r="F70" s="12"/>
      <c r="G70" s="12"/>
      <c r="H70" s="12"/>
      <c r="K70">
        <f t="shared" si="0"/>
        <v>1</v>
      </c>
      <c r="L70">
        <f t="shared" si="1"/>
        <v>0</v>
      </c>
    </row>
    <row r="71" spans="1:12" ht="26.25" customHeight="1" x14ac:dyDescent="0.2">
      <c r="A71" s="10" t="str">
        <f>'Sheet2-PASTE HERE!'!A81</f>
        <v>INSPECTION</v>
      </c>
      <c r="B71" s="11"/>
      <c r="C71" s="17" t="str">
        <f>'Sheet2-PASTE HERE!'!I81</f>
        <v>.QC90</v>
      </c>
      <c r="D71" s="22" t="str">
        <f>'Sheet2-PASTE HERE!'!K81</f>
        <v>QC Inspection - Paint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1</v>
      </c>
      <c r="L71">
        <f t="shared" si="1"/>
        <v>0</v>
      </c>
    </row>
    <row r="72" spans="1:12" ht="26.25" customHeight="1" x14ac:dyDescent="0.2">
      <c r="A72" s="10" t="str">
        <f>'Sheet2-PASTE HERE!'!A82</f>
        <v>FINISHING</v>
      </c>
      <c r="B72" s="11"/>
      <c r="C72" s="17" t="str">
        <f>'Sheet2-PASTE HERE!'!I82</f>
        <v>.940</v>
      </c>
      <c r="D72" s="22" t="str">
        <f>'Sheet2-PASTE HERE!'!K82</f>
        <v>Prepare tank for shipment</v>
      </c>
      <c r="E72" s="13">
        <f>'Sheet2-PASTE HERE!'!F82</f>
        <v>3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 t="str">
        <f>'Sheet2-PASTE HERE!'!A83</f>
        <v>FINISHING</v>
      </c>
      <c r="B73" s="11"/>
      <c r="C73" s="17" t="str">
        <f>'Sheet2-PASTE HERE!'!I83</f>
        <v>.950</v>
      </c>
      <c r="D73" s="22" t="str">
        <f>'Sheet2-PASTE HERE!'!K83</f>
        <v>Check bill of materials and pack loose parts</v>
      </c>
      <c r="E73" s="13">
        <f>'Sheet2-PASTE HERE!'!F83</f>
        <v>4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 t="str">
        <f>'Sheet2-PASTE HERE!'!A84</f>
        <v>INSPECTION</v>
      </c>
      <c r="B74" s="11"/>
      <c r="C74" s="17" t="str">
        <f>'Sheet2-PASTE HERE!'!I84</f>
        <v>.QC95</v>
      </c>
      <c r="D74" s="22" t="str">
        <f>'Sheet2-PASTE HERE!'!K84</f>
        <v>QC Inspection - Final &amp; Loose Items</v>
      </c>
      <c r="E74" s="13">
        <f>'Sheet2-PASTE HERE!'!F84</f>
        <v>0</v>
      </c>
      <c r="F74" s="12"/>
      <c r="G74" s="12"/>
      <c r="H74" s="12"/>
      <c r="K74">
        <f t="shared" si="2"/>
        <v>1</v>
      </c>
      <c r="L74">
        <f t="shared" si="3"/>
        <v>0</v>
      </c>
    </row>
    <row r="75" spans="1:12" ht="26.25" customHeight="1" x14ac:dyDescent="0.2">
      <c r="A75" s="10" t="str">
        <f>'Sheet2-PASTE HERE!'!A85</f>
        <v>SHIPPING</v>
      </c>
      <c r="B75" s="11"/>
      <c r="C75" s="17" t="str">
        <f>'Sheet2-PASTE HERE!'!I85</f>
        <v>.960</v>
      </c>
      <c r="D75" s="22" t="str">
        <f>'Sheet2-PASTE HERE!'!K85</f>
        <v>Load on truck_x000D_
VESSEL AND THEN SHIP LOOSE LOAD SEPARATE</v>
      </c>
      <c r="E75" s="13">
        <f>'Sheet2-PASTE HERE!'!F85</f>
        <v>10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 t="str">
        <f>'Sheet2-PASTE HERE!'!F87</f>
        <v/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192</v>
      </c>
      <c r="C1" s="8" t="s">
        <v>17</v>
      </c>
      <c r="D1" s="8" t="s">
        <v>193</v>
      </c>
      <c r="E1" s="8" t="s">
        <v>18</v>
      </c>
      <c r="F1" s="8" t="s">
        <v>194</v>
      </c>
      <c r="G1" s="8" t="s">
        <v>192</v>
      </c>
      <c r="H1" s="8" t="s">
        <v>20</v>
      </c>
      <c r="I1" s="8" t="s">
        <v>195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45856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513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55088</v>
      </c>
      <c r="C15" s="19">
        <v>0</v>
      </c>
      <c r="D15" s="8" t="s">
        <v>72</v>
      </c>
      <c r="E15" s="20">
        <v>0</v>
      </c>
      <c r="F15" s="20">
        <v>0</v>
      </c>
      <c r="G15" s="8" t="s">
        <v>54</v>
      </c>
      <c r="H15" s="20">
        <v>0</v>
      </c>
      <c r="I15" s="8" t="s">
        <v>73</v>
      </c>
      <c r="J15" s="19">
        <v>0</v>
      </c>
      <c r="K15" s="8" t="s">
        <v>72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55089</v>
      </c>
      <c r="C16" s="19">
        <v>0</v>
      </c>
      <c r="D16" s="8" t="s">
        <v>74</v>
      </c>
      <c r="E16" s="20">
        <v>0</v>
      </c>
      <c r="F16" s="20">
        <v>0</v>
      </c>
      <c r="G16" s="8" t="s">
        <v>54</v>
      </c>
      <c r="H16" s="20">
        <v>0</v>
      </c>
      <c r="I16" s="8" t="s">
        <v>75</v>
      </c>
      <c r="J16" s="19">
        <v>0</v>
      </c>
      <c r="K16" s="8" t="s">
        <v>76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55090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77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55091</v>
      </c>
      <c r="C18" s="19">
        <v>0</v>
      </c>
      <c r="D18" s="8" t="s">
        <v>78</v>
      </c>
      <c r="E18" s="20">
        <v>0</v>
      </c>
      <c r="F18" s="20">
        <v>4</v>
      </c>
      <c r="G18" s="8" t="s">
        <v>54</v>
      </c>
      <c r="H18" s="20">
        <v>4</v>
      </c>
      <c r="I18" s="8" t="s">
        <v>79</v>
      </c>
      <c r="J18" s="19">
        <v>0</v>
      </c>
      <c r="K18" s="8" t="s">
        <v>196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55092</v>
      </c>
      <c r="C19" s="19">
        <v>0</v>
      </c>
      <c r="D19" s="8" t="s">
        <v>80</v>
      </c>
      <c r="E19" s="20">
        <v>0</v>
      </c>
      <c r="F19" s="20">
        <v>2</v>
      </c>
      <c r="G19" s="8" t="s">
        <v>54</v>
      </c>
      <c r="H19" s="20">
        <v>2</v>
      </c>
      <c r="I19" s="8" t="s">
        <v>81</v>
      </c>
      <c r="J19" s="19">
        <v>0</v>
      </c>
      <c r="K19" s="8" t="s">
        <v>82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55093</v>
      </c>
      <c r="C20" s="19">
        <v>0</v>
      </c>
      <c r="D20" s="8" t="s">
        <v>83</v>
      </c>
      <c r="E20" s="20">
        <v>0</v>
      </c>
      <c r="F20" s="20">
        <v>2</v>
      </c>
      <c r="G20" s="8" t="s">
        <v>54</v>
      </c>
      <c r="H20" s="20">
        <v>2</v>
      </c>
      <c r="I20" s="8" t="s">
        <v>84</v>
      </c>
      <c r="J20" s="19">
        <v>0</v>
      </c>
      <c r="K20" s="8" t="s">
        <v>85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55094</v>
      </c>
      <c r="C21" s="19">
        <v>0</v>
      </c>
      <c r="D21" s="8" t="s">
        <v>86</v>
      </c>
      <c r="E21" s="20">
        <v>0</v>
      </c>
      <c r="F21" s="20">
        <v>6</v>
      </c>
      <c r="G21" s="8" t="s">
        <v>54</v>
      </c>
      <c r="H21" s="20">
        <v>6</v>
      </c>
      <c r="I21" s="8" t="s">
        <v>87</v>
      </c>
      <c r="J21" s="19">
        <v>0</v>
      </c>
      <c r="K21" s="8" t="s">
        <v>88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55095</v>
      </c>
      <c r="C22" s="19">
        <v>0</v>
      </c>
      <c r="D22" s="8" t="s">
        <v>149</v>
      </c>
      <c r="E22" s="20">
        <v>0</v>
      </c>
      <c r="F22" s="20">
        <v>24</v>
      </c>
      <c r="G22" s="8" t="s">
        <v>54</v>
      </c>
      <c r="H22" s="20">
        <v>24</v>
      </c>
      <c r="I22" s="8" t="s">
        <v>59</v>
      </c>
      <c r="J22" s="19">
        <v>0</v>
      </c>
      <c r="K22" s="8" t="s">
        <v>89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55096</v>
      </c>
      <c r="C23" s="19">
        <v>0</v>
      </c>
      <c r="D23" s="8" t="s">
        <v>150</v>
      </c>
      <c r="E23" s="20">
        <v>0</v>
      </c>
      <c r="F23" s="20">
        <v>14</v>
      </c>
      <c r="G23" s="8" t="s">
        <v>54</v>
      </c>
      <c r="H23" s="20">
        <v>14</v>
      </c>
      <c r="I23" s="8" t="s">
        <v>151</v>
      </c>
      <c r="J23" s="19">
        <v>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55097</v>
      </c>
      <c r="C24" s="19">
        <v>0</v>
      </c>
      <c r="D24" s="8" t="s">
        <v>60</v>
      </c>
      <c r="E24" s="20">
        <v>0</v>
      </c>
      <c r="F24" s="20">
        <v>4</v>
      </c>
      <c r="G24" s="8" t="s">
        <v>54</v>
      </c>
      <c r="H24" s="20">
        <v>4</v>
      </c>
      <c r="I24" s="8" t="s">
        <v>61</v>
      </c>
      <c r="J24" s="19">
        <v>0</v>
      </c>
      <c r="K24" s="8" t="s">
        <v>197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55098</v>
      </c>
      <c r="C25" s="19">
        <v>0</v>
      </c>
      <c r="D25" s="8" t="s">
        <v>90</v>
      </c>
      <c r="E25" s="20">
        <v>0</v>
      </c>
      <c r="F25" s="20">
        <v>2</v>
      </c>
      <c r="G25" s="8" t="s">
        <v>54</v>
      </c>
      <c r="H25" s="20">
        <v>2</v>
      </c>
      <c r="I25" s="8" t="s">
        <v>91</v>
      </c>
      <c r="J25" s="19">
        <v>0</v>
      </c>
      <c r="K25" s="8" t="s">
        <v>198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55099</v>
      </c>
      <c r="C26" s="19">
        <v>0</v>
      </c>
      <c r="D26" s="8" t="s">
        <v>199</v>
      </c>
      <c r="E26" s="20">
        <v>0</v>
      </c>
      <c r="F26" s="20">
        <v>0</v>
      </c>
      <c r="G26" s="8" t="s">
        <v>54</v>
      </c>
      <c r="H26" s="20">
        <v>0</v>
      </c>
      <c r="I26" s="8" t="s">
        <v>200</v>
      </c>
      <c r="J26" s="19">
        <v>0</v>
      </c>
      <c r="K26" s="8" t="s">
        <v>201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55100</v>
      </c>
      <c r="C27" s="19">
        <v>0</v>
      </c>
      <c r="D27" s="8" t="s">
        <v>152</v>
      </c>
      <c r="E27" s="20">
        <v>0</v>
      </c>
      <c r="F27" s="20">
        <v>4</v>
      </c>
      <c r="G27" s="8" t="s">
        <v>54</v>
      </c>
      <c r="H27" s="20">
        <v>4</v>
      </c>
      <c r="I27" s="8" t="s">
        <v>153</v>
      </c>
      <c r="J27" s="19">
        <v>0</v>
      </c>
      <c r="K27" s="8" t="s">
        <v>154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55101</v>
      </c>
      <c r="C28" s="19">
        <v>0</v>
      </c>
      <c r="D28" s="8" t="s">
        <v>155</v>
      </c>
      <c r="E28" s="20">
        <v>0</v>
      </c>
      <c r="F28" s="20">
        <v>14</v>
      </c>
      <c r="G28" s="8" t="s">
        <v>54</v>
      </c>
      <c r="H28" s="20">
        <v>14</v>
      </c>
      <c r="I28" s="8" t="s">
        <v>156</v>
      </c>
      <c r="J28" s="19">
        <v>0</v>
      </c>
      <c r="K28" s="8" t="s">
        <v>202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55102</v>
      </c>
      <c r="C29" s="19">
        <v>0</v>
      </c>
      <c r="D29" s="8" t="s">
        <v>157</v>
      </c>
      <c r="E29" s="20">
        <v>0</v>
      </c>
      <c r="F29" s="20">
        <v>6</v>
      </c>
      <c r="G29" s="8" t="s">
        <v>54</v>
      </c>
      <c r="H29" s="20">
        <v>6</v>
      </c>
      <c r="I29" s="8" t="s">
        <v>158</v>
      </c>
      <c r="J29" s="19">
        <v>0</v>
      </c>
      <c r="K29" s="8" t="s">
        <v>159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55103</v>
      </c>
      <c r="C30" s="19">
        <v>0</v>
      </c>
      <c r="D30" s="8" t="s">
        <v>203</v>
      </c>
      <c r="E30" s="20">
        <v>0</v>
      </c>
      <c r="F30" s="20">
        <v>4</v>
      </c>
      <c r="G30" s="8" t="s">
        <v>54</v>
      </c>
      <c r="H30" s="20">
        <v>4</v>
      </c>
      <c r="I30" s="8" t="s">
        <v>204</v>
      </c>
      <c r="J30" s="19">
        <v>0</v>
      </c>
      <c r="K30" s="8" t="s">
        <v>205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55104</v>
      </c>
      <c r="C31" s="19">
        <v>0</v>
      </c>
      <c r="D31" s="8" t="s">
        <v>206</v>
      </c>
      <c r="E31" s="20">
        <v>0</v>
      </c>
      <c r="F31" s="20">
        <v>2</v>
      </c>
      <c r="G31" s="8" t="s">
        <v>54</v>
      </c>
      <c r="H31" s="20">
        <v>2</v>
      </c>
      <c r="I31" s="8" t="s">
        <v>207</v>
      </c>
      <c r="J31" s="19">
        <v>0</v>
      </c>
      <c r="K31" s="8" t="s">
        <v>208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56</v>
      </c>
      <c r="B32" s="18">
        <v>55105</v>
      </c>
      <c r="C32" s="19">
        <v>0</v>
      </c>
      <c r="D32" s="8" t="s">
        <v>160</v>
      </c>
      <c r="E32" s="20">
        <v>0</v>
      </c>
      <c r="F32" s="20">
        <v>24</v>
      </c>
      <c r="G32" s="8" t="s">
        <v>54</v>
      </c>
      <c r="H32" s="20">
        <v>24</v>
      </c>
      <c r="I32" s="8" t="s">
        <v>161</v>
      </c>
      <c r="J32" s="19">
        <v>0</v>
      </c>
      <c r="K32" s="8" t="s">
        <v>162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55106</v>
      </c>
      <c r="C33" s="19">
        <v>0</v>
      </c>
      <c r="D33" s="8" t="s">
        <v>163</v>
      </c>
      <c r="E33" s="20">
        <v>0</v>
      </c>
      <c r="F33" s="20">
        <v>28</v>
      </c>
      <c r="G33" s="8" t="s">
        <v>54</v>
      </c>
      <c r="H33" s="20">
        <v>28</v>
      </c>
      <c r="I33" s="8" t="s">
        <v>164</v>
      </c>
      <c r="J33" s="19">
        <v>0</v>
      </c>
      <c r="K33" s="8" t="s">
        <v>209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55107</v>
      </c>
      <c r="C34" s="19">
        <v>0</v>
      </c>
      <c r="D34" s="8" t="s">
        <v>165</v>
      </c>
      <c r="E34" s="20">
        <v>0</v>
      </c>
      <c r="F34" s="20">
        <v>12</v>
      </c>
      <c r="G34" s="8" t="s">
        <v>54</v>
      </c>
      <c r="H34" s="20">
        <v>12</v>
      </c>
      <c r="I34" s="8" t="s">
        <v>166</v>
      </c>
      <c r="J34" s="19">
        <v>0</v>
      </c>
      <c r="K34" s="8" t="s">
        <v>167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55108</v>
      </c>
      <c r="C35" s="19">
        <v>0</v>
      </c>
      <c r="D35" s="8" t="s">
        <v>168</v>
      </c>
      <c r="E35" s="20">
        <v>0</v>
      </c>
      <c r="F35" s="20">
        <v>32</v>
      </c>
      <c r="G35" s="8" t="s">
        <v>54</v>
      </c>
      <c r="H35" s="20">
        <v>32</v>
      </c>
      <c r="I35" s="8" t="s">
        <v>169</v>
      </c>
      <c r="J35" s="19">
        <v>0</v>
      </c>
      <c r="K35" s="8" t="s">
        <v>170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55109</v>
      </c>
      <c r="C36" s="19">
        <v>0</v>
      </c>
      <c r="D36" s="8" t="s">
        <v>171</v>
      </c>
      <c r="E36" s="20">
        <v>0</v>
      </c>
      <c r="F36" s="20">
        <v>6</v>
      </c>
      <c r="G36" s="8" t="s">
        <v>54</v>
      </c>
      <c r="H36" s="20">
        <v>6</v>
      </c>
      <c r="I36" s="8" t="s">
        <v>172</v>
      </c>
      <c r="J36" s="19">
        <v>0</v>
      </c>
      <c r="K36" s="8" t="s">
        <v>173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55110</v>
      </c>
      <c r="C37" s="19">
        <v>0</v>
      </c>
      <c r="D37" s="8" t="s">
        <v>174</v>
      </c>
      <c r="E37" s="20">
        <v>0</v>
      </c>
      <c r="F37" s="20">
        <v>0</v>
      </c>
      <c r="G37" s="8" t="s">
        <v>54</v>
      </c>
      <c r="H37" s="20">
        <v>0</v>
      </c>
      <c r="I37" s="8" t="s">
        <v>175</v>
      </c>
      <c r="J37" s="19">
        <v>0</v>
      </c>
      <c r="K37" s="8" t="s">
        <v>176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56</v>
      </c>
      <c r="B38" s="18">
        <v>55111</v>
      </c>
      <c r="C38" s="19">
        <v>0</v>
      </c>
      <c r="D38" s="8" t="s">
        <v>210</v>
      </c>
      <c r="E38" s="20">
        <v>0</v>
      </c>
      <c r="F38" s="20">
        <v>2</v>
      </c>
      <c r="G38" s="8" t="s">
        <v>54</v>
      </c>
      <c r="H38" s="20">
        <v>2</v>
      </c>
      <c r="I38" s="8" t="s">
        <v>211</v>
      </c>
      <c r="J38" s="19">
        <v>0</v>
      </c>
      <c r="K38" s="8" t="s">
        <v>212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53</v>
      </c>
      <c r="B39" s="18">
        <v>55112</v>
      </c>
      <c r="C39" s="19">
        <v>0</v>
      </c>
      <c r="D39" s="8" t="s">
        <v>92</v>
      </c>
      <c r="E39" s="20">
        <v>0</v>
      </c>
      <c r="F39" s="20">
        <v>0</v>
      </c>
      <c r="G39" s="8" t="s">
        <v>54</v>
      </c>
      <c r="H39" s="20">
        <v>0</v>
      </c>
      <c r="I39" s="8" t="s">
        <v>93</v>
      </c>
      <c r="J39" s="19">
        <v>0</v>
      </c>
      <c r="K39" s="8" t="s">
        <v>92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55113</v>
      </c>
      <c r="C40" s="19">
        <v>0</v>
      </c>
      <c r="D40" s="8" t="s">
        <v>94</v>
      </c>
      <c r="E40" s="20">
        <v>0</v>
      </c>
      <c r="F40" s="20">
        <v>4</v>
      </c>
      <c r="G40" s="8" t="s">
        <v>54</v>
      </c>
      <c r="H40" s="20">
        <v>4</v>
      </c>
      <c r="I40" s="8" t="s">
        <v>95</v>
      </c>
      <c r="J40" s="19">
        <v>0</v>
      </c>
      <c r="K40" s="8" t="s">
        <v>213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56</v>
      </c>
      <c r="B41" s="18">
        <v>55114</v>
      </c>
      <c r="C41" s="19">
        <v>0</v>
      </c>
      <c r="D41" s="8" t="s">
        <v>96</v>
      </c>
      <c r="E41" s="20">
        <v>0</v>
      </c>
      <c r="F41" s="20">
        <v>9</v>
      </c>
      <c r="G41" s="8" t="s">
        <v>54</v>
      </c>
      <c r="H41" s="20">
        <v>9</v>
      </c>
      <c r="I41" s="8" t="s">
        <v>97</v>
      </c>
      <c r="J41" s="19">
        <v>0</v>
      </c>
      <c r="K41" s="8" t="s">
        <v>214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55115</v>
      </c>
      <c r="C42" s="19">
        <v>0</v>
      </c>
      <c r="D42" s="8" t="s">
        <v>98</v>
      </c>
      <c r="E42" s="20">
        <v>0</v>
      </c>
      <c r="F42" s="20">
        <v>0</v>
      </c>
      <c r="G42" s="8" t="s">
        <v>54</v>
      </c>
      <c r="H42" s="20">
        <v>0</v>
      </c>
      <c r="I42" s="8" t="s">
        <v>99</v>
      </c>
      <c r="J42" s="19">
        <v>0</v>
      </c>
      <c r="K42" s="8" t="s">
        <v>100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56</v>
      </c>
      <c r="B43" s="18">
        <v>55116</v>
      </c>
      <c r="C43" s="19">
        <v>0</v>
      </c>
      <c r="D43" s="8" t="s">
        <v>101</v>
      </c>
      <c r="E43" s="20">
        <v>0</v>
      </c>
      <c r="F43" s="20">
        <v>4</v>
      </c>
      <c r="G43" s="8" t="s">
        <v>54</v>
      </c>
      <c r="H43" s="20">
        <v>4</v>
      </c>
      <c r="I43" s="8" t="s">
        <v>102</v>
      </c>
      <c r="J43" s="19">
        <v>0</v>
      </c>
      <c r="K43" s="8" t="s">
        <v>215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56</v>
      </c>
      <c r="B44" s="18">
        <v>55117</v>
      </c>
      <c r="C44" s="19">
        <v>0</v>
      </c>
      <c r="D44" s="8" t="s">
        <v>103</v>
      </c>
      <c r="E44" s="20">
        <v>0</v>
      </c>
      <c r="F44" s="20">
        <v>8</v>
      </c>
      <c r="G44" s="8" t="s">
        <v>54</v>
      </c>
      <c r="H44" s="20">
        <v>8</v>
      </c>
      <c r="I44" s="8" t="s">
        <v>104</v>
      </c>
      <c r="J44" s="19">
        <v>0</v>
      </c>
      <c r="K44" s="8" t="s">
        <v>216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56</v>
      </c>
      <c r="B45" s="18">
        <v>55118</v>
      </c>
      <c r="C45" s="19">
        <v>0</v>
      </c>
      <c r="D45" s="8" t="s">
        <v>105</v>
      </c>
      <c r="E45" s="20">
        <v>0</v>
      </c>
      <c r="F45" s="20">
        <v>12</v>
      </c>
      <c r="G45" s="8" t="s">
        <v>54</v>
      </c>
      <c r="H45" s="20">
        <v>12</v>
      </c>
      <c r="I45" s="8" t="s">
        <v>106</v>
      </c>
      <c r="J45" s="19">
        <v>0</v>
      </c>
      <c r="K45" s="8" t="s">
        <v>217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56</v>
      </c>
      <c r="B46" s="18">
        <v>55119</v>
      </c>
      <c r="C46" s="19">
        <v>0</v>
      </c>
      <c r="D46" s="8" t="s">
        <v>147</v>
      </c>
      <c r="E46" s="20">
        <v>0</v>
      </c>
      <c r="F46" s="20">
        <v>10</v>
      </c>
      <c r="G46" s="8" t="s">
        <v>54</v>
      </c>
      <c r="H46" s="20">
        <v>10</v>
      </c>
      <c r="I46" s="8" t="s">
        <v>148</v>
      </c>
      <c r="J46" s="19">
        <v>0</v>
      </c>
      <c r="K46" s="8" t="s">
        <v>177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53</v>
      </c>
      <c r="B47" s="18">
        <v>55120</v>
      </c>
      <c r="C47" s="19">
        <v>0</v>
      </c>
      <c r="D47" s="8" t="s">
        <v>98</v>
      </c>
      <c r="E47" s="20">
        <v>0</v>
      </c>
      <c r="F47" s="20">
        <v>0</v>
      </c>
      <c r="G47" s="8" t="s">
        <v>54</v>
      </c>
      <c r="H47" s="20">
        <v>0</v>
      </c>
      <c r="I47" s="8" t="s">
        <v>99</v>
      </c>
      <c r="J47" s="19">
        <v>0</v>
      </c>
      <c r="K47" s="8" t="s">
        <v>100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56</v>
      </c>
      <c r="B48" s="18">
        <v>55121</v>
      </c>
      <c r="C48" s="19">
        <v>0</v>
      </c>
      <c r="D48" s="8" t="s">
        <v>218</v>
      </c>
      <c r="E48" s="20">
        <v>0</v>
      </c>
      <c r="F48" s="20">
        <v>12</v>
      </c>
      <c r="G48" s="8" t="s">
        <v>54</v>
      </c>
      <c r="H48" s="20">
        <v>12</v>
      </c>
      <c r="I48" s="8" t="s">
        <v>219</v>
      </c>
      <c r="J48" s="19">
        <v>0</v>
      </c>
      <c r="K48" s="8" t="s">
        <v>220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56</v>
      </c>
      <c r="B49" s="18">
        <v>55122</v>
      </c>
      <c r="C49" s="19">
        <v>0</v>
      </c>
      <c r="D49" s="8" t="s">
        <v>221</v>
      </c>
      <c r="E49" s="20">
        <v>0</v>
      </c>
      <c r="F49" s="20">
        <v>60</v>
      </c>
      <c r="G49" s="8" t="s">
        <v>54</v>
      </c>
      <c r="H49" s="20">
        <v>60</v>
      </c>
      <c r="I49" s="8" t="s">
        <v>222</v>
      </c>
      <c r="J49" s="19">
        <v>0</v>
      </c>
      <c r="K49" s="8" t="s">
        <v>223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53</v>
      </c>
      <c r="B50" s="18">
        <v>55123</v>
      </c>
      <c r="C50" s="19">
        <v>0</v>
      </c>
      <c r="D50" s="8" t="s">
        <v>224</v>
      </c>
      <c r="E50" s="20">
        <v>0</v>
      </c>
      <c r="F50" s="20">
        <v>0</v>
      </c>
      <c r="G50" s="8" t="s">
        <v>54</v>
      </c>
      <c r="H50" s="20">
        <v>0</v>
      </c>
      <c r="I50" s="8" t="s">
        <v>225</v>
      </c>
      <c r="J50" s="19">
        <v>0</v>
      </c>
      <c r="K50" s="8" t="s">
        <v>224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71</v>
      </c>
      <c r="B51" s="18">
        <v>55124</v>
      </c>
      <c r="C51" s="19">
        <v>0</v>
      </c>
      <c r="D51" s="8" t="s">
        <v>107</v>
      </c>
      <c r="E51" s="20">
        <v>0</v>
      </c>
      <c r="F51" s="20">
        <v>12</v>
      </c>
      <c r="G51" s="8" t="s">
        <v>54</v>
      </c>
      <c r="H51" s="20">
        <v>12</v>
      </c>
      <c r="I51" s="8" t="s">
        <v>108</v>
      </c>
      <c r="J51" s="19">
        <v>0</v>
      </c>
      <c r="K51" s="8" t="s">
        <v>226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71</v>
      </c>
      <c r="B52" s="18">
        <v>55125</v>
      </c>
      <c r="C52" s="19">
        <v>0</v>
      </c>
      <c r="D52" s="8" t="s">
        <v>109</v>
      </c>
      <c r="E52" s="20">
        <v>0</v>
      </c>
      <c r="F52" s="20">
        <v>3</v>
      </c>
      <c r="G52" s="8" t="s">
        <v>54</v>
      </c>
      <c r="H52" s="20">
        <v>3</v>
      </c>
      <c r="I52" s="8" t="s">
        <v>110</v>
      </c>
      <c r="J52" s="19">
        <v>0</v>
      </c>
      <c r="K52" s="8" t="s">
        <v>178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71</v>
      </c>
      <c r="B53" s="18">
        <v>55126</v>
      </c>
      <c r="C53" s="19">
        <v>0</v>
      </c>
      <c r="D53" s="8" t="s">
        <v>111</v>
      </c>
      <c r="E53" s="20">
        <v>0</v>
      </c>
      <c r="F53" s="20">
        <v>2</v>
      </c>
      <c r="G53" s="8" t="s">
        <v>54</v>
      </c>
      <c r="H53" s="20">
        <v>2</v>
      </c>
      <c r="I53" s="8" t="s">
        <v>112</v>
      </c>
      <c r="J53" s="19">
        <v>0</v>
      </c>
      <c r="K53" s="8" t="s">
        <v>179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71</v>
      </c>
      <c r="B54" s="18">
        <v>55127</v>
      </c>
      <c r="C54" s="19">
        <v>0</v>
      </c>
      <c r="D54" s="8" t="s">
        <v>113</v>
      </c>
      <c r="E54" s="20">
        <v>0</v>
      </c>
      <c r="F54" s="20">
        <v>4</v>
      </c>
      <c r="G54" s="8" t="s">
        <v>54</v>
      </c>
      <c r="H54" s="20">
        <v>4</v>
      </c>
      <c r="I54" s="8" t="s">
        <v>114</v>
      </c>
      <c r="J54" s="19">
        <v>0</v>
      </c>
      <c r="K54" s="8" t="s">
        <v>227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71</v>
      </c>
      <c r="B55" s="18">
        <v>55128</v>
      </c>
      <c r="C55" s="19">
        <v>0</v>
      </c>
      <c r="D55" s="8" t="s">
        <v>228</v>
      </c>
      <c r="E55" s="20">
        <v>0</v>
      </c>
      <c r="F55" s="20">
        <v>40</v>
      </c>
      <c r="G55" s="8" t="s">
        <v>54</v>
      </c>
      <c r="H55" s="20">
        <v>40</v>
      </c>
      <c r="I55" s="8" t="s">
        <v>229</v>
      </c>
      <c r="J55" s="19">
        <v>0</v>
      </c>
      <c r="K55" s="8" t="s">
        <v>230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55129</v>
      </c>
      <c r="C56" s="19">
        <v>0</v>
      </c>
      <c r="D56" s="8" t="s">
        <v>115</v>
      </c>
      <c r="E56" s="20">
        <v>0</v>
      </c>
      <c r="F56" s="20">
        <v>0</v>
      </c>
      <c r="G56" s="8" t="s">
        <v>54</v>
      </c>
      <c r="H56" s="20">
        <v>0</v>
      </c>
      <c r="I56" s="8" t="s">
        <v>116</v>
      </c>
      <c r="J56" s="19">
        <v>0</v>
      </c>
      <c r="K56" s="8" t="s">
        <v>115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71</v>
      </c>
      <c r="B57" s="18">
        <v>55130</v>
      </c>
      <c r="C57" s="19">
        <v>0</v>
      </c>
      <c r="D57" s="8" t="s">
        <v>117</v>
      </c>
      <c r="E57" s="20">
        <v>0</v>
      </c>
      <c r="F57" s="20">
        <v>4</v>
      </c>
      <c r="G57" s="8" t="s">
        <v>54</v>
      </c>
      <c r="H57" s="20">
        <v>4</v>
      </c>
      <c r="I57" s="8" t="s">
        <v>118</v>
      </c>
      <c r="J57" s="19">
        <v>0</v>
      </c>
      <c r="K57" s="8" t="s">
        <v>231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71</v>
      </c>
      <c r="B58" s="18">
        <v>55131</v>
      </c>
      <c r="C58" s="19">
        <v>0</v>
      </c>
      <c r="D58" s="8" t="s">
        <v>232</v>
      </c>
      <c r="E58" s="20">
        <v>0</v>
      </c>
      <c r="F58" s="20">
        <v>6</v>
      </c>
      <c r="G58" s="8" t="s">
        <v>54</v>
      </c>
      <c r="H58" s="20">
        <v>6</v>
      </c>
      <c r="I58" s="8" t="s">
        <v>233</v>
      </c>
      <c r="J58" s="19">
        <v>0</v>
      </c>
      <c r="K58" s="8" t="s">
        <v>234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71</v>
      </c>
      <c r="B59" s="18">
        <v>55132</v>
      </c>
      <c r="C59" s="19">
        <v>0</v>
      </c>
      <c r="D59" s="8" t="s">
        <v>180</v>
      </c>
      <c r="E59" s="20">
        <v>0</v>
      </c>
      <c r="F59" s="20">
        <v>12</v>
      </c>
      <c r="G59" s="8" t="s">
        <v>54</v>
      </c>
      <c r="H59" s="20">
        <v>12</v>
      </c>
      <c r="I59" s="8" t="s">
        <v>181</v>
      </c>
      <c r="J59" s="19">
        <v>0</v>
      </c>
      <c r="K59" s="8" t="s">
        <v>182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119</v>
      </c>
      <c r="B60" s="18">
        <v>55133</v>
      </c>
      <c r="C60" s="19">
        <v>0</v>
      </c>
      <c r="D60" s="8" t="s">
        <v>120</v>
      </c>
      <c r="E60" s="20">
        <v>0</v>
      </c>
      <c r="F60" s="20">
        <v>2</v>
      </c>
      <c r="G60" s="8" t="s">
        <v>54</v>
      </c>
      <c r="H60" s="20">
        <v>2</v>
      </c>
      <c r="I60" s="8" t="s">
        <v>121</v>
      </c>
      <c r="J60" s="19">
        <v>0</v>
      </c>
      <c r="K60" s="8" t="s">
        <v>122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71</v>
      </c>
      <c r="B61" s="18">
        <v>55134</v>
      </c>
      <c r="C61" s="19">
        <v>0</v>
      </c>
      <c r="D61" s="8" t="s">
        <v>235</v>
      </c>
      <c r="E61" s="20">
        <v>0</v>
      </c>
      <c r="F61" s="20">
        <v>12</v>
      </c>
      <c r="G61" s="8" t="s">
        <v>54</v>
      </c>
      <c r="H61" s="20">
        <v>12</v>
      </c>
      <c r="I61" s="8" t="s">
        <v>236</v>
      </c>
      <c r="J61" s="19">
        <v>0</v>
      </c>
      <c r="K61" s="8" t="s">
        <v>237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71</v>
      </c>
      <c r="B62" s="18">
        <v>55135</v>
      </c>
      <c r="C62" s="19">
        <v>0</v>
      </c>
      <c r="D62" s="8" t="s">
        <v>123</v>
      </c>
      <c r="E62" s="20">
        <v>0</v>
      </c>
      <c r="F62" s="20">
        <v>12</v>
      </c>
      <c r="G62" s="8" t="s">
        <v>54</v>
      </c>
      <c r="H62" s="20">
        <v>12</v>
      </c>
      <c r="I62" s="8" t="s">
        <v>124</v>
      </c>
      <c r="J62" s="19">
        <v>0</v>
      </c>
      <c r="K62" s="8" t="s">
        <v>238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71</v>
      </c>
      <c r="B63" s="18">
        <v>55136</v>
      </c>
      <c r="C63" s="19">
        <v>0</v>
      </c>
      <c r="D63" s="8" t="s">
        <v>125</v>
      </c>
      <c r="E63" s="20">
        <v>0</v>
      </c>
      <c r="F63" s="20">
        <v>6</v>
      </c>
      <c r="G63" s="8" t="s">
        <v>54</v>
      </c>
      <c r="H63" s="20">
        <v>6</v>
      </c>
      <c r="I63" s="8" t="s">
        <v>126</v>
      </c>
      <c r="J63" s="19">
        <v>0</v>
      </c>
      <c r="K63" s="8" t="s">
        <v>239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71</v>
      </c>
      <c r="B64" s="18">
        <v>55137</v>
      </c>
      <c r="C64" s="19">
        <v>0</v>
      </c>
      <c r="D64" s="8" t="s">
        <v>127</v>
      </c>
      <c r="E64" s="20">
        <v>0</v>
      </c>
      <c r="F64" s="20">
        <v>12</v>
      </c>
      <c r="G64" s="8" t="s">
        <v>54</v>
      </c>
      <c r="H64" s="20">
        <v>12</v>
      </c>
      <c r="I64" s="8" t="s">
        <v>128</v>
      </c>
      <c r="J64" s="19">
        <v>0</v>
      </c>
      <c r="K64" s="8" t="s">
        <v>240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71</v>
      </c>
      <c r="B65" s="18">
        <v>55138</v>
      </c>
      <c r="C65" s="19">
        <v>0</v>
      </c>
      <c r="D65" s="8" t="s">
        <v>183</v>
      </c>
      <c r="E65" s="20">
        <v>0</v>
      </c>
      <c r="F65" s="20">
        <v>6</v>
      </c>
      <c r="G65" s="8" t="s">
        <v>54</v>
      </c>
      <c r="H65" s="20">
        <v>6</v>
      </c>
      <c r="I65" s="8" t="s">
        <v>184</v>
      </c>
      <c r="J65" s="19">
        <v>0</v>
      </c>
      <c r="K65" s="8" t="s">
        <v>185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71</v>
      </c>
      <c r="B66" s="18">
        <v>55139</v>
      </c>
      <c r="C66" s="19">
        <v>0</v>
      </c>
      <c r="D66" s="8" t="s">
        <v>186</v>
      </c>
      <c r="E66" s="20">
        <v>0</v>
      </c>
      <c r="F66" s="20">
        <v>6</v>
      </c>
      <c r="G66" s="8" t="s">
        <v>54</v>
      </c>
      <c r="H66" s="20">
        <v>6</v>
      </c>
      <c r="I66" s="8" t="s">
        <v>187</v>
      </c>
      <c r="J66" s="19">
        <v>0</v>
      </c>
      <c r="K66" s="8" t="s">
        <v>188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71</v>
      </c>
      <c r="B67" s="18">
        <v>55140</v>
      </c>
      <c r="C67" s="19">
        <v>0</v>
      </c>
      <c r="D67" s="8" t="s">
        <v>189</v>
      </c>
      <c r="E67" s="20">
        <v>0</v>
      </c>
      <c r="F67" s="20">
        <v>10</v>
      </c>
      <c r="G67" s="8" t="s">
        <v>54</v>
      </c>
      <c r="H67" s="20">
        <v>10</v>
      </c>
      <c r="I67" s="8" t="s">
        <v>190</v>
      </c>
      <c r="J67" s="19">
        <v>0</v>
      </c>
      <c r="K67" s="8" t="s">
        <v>191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55141</v>
      </c>
      <c r="C68" s="19">
        <v>0</v>
      </c>
      <c r="D68" s="8" t="s">
        <v>241</v>
      </c>
      <c r="E68" s="20">
        <v>0</v>
      </c>
      <c r="F68" s="20">
        <v>0</v>
      </c>
      <c r="G68" s="8" t="s">
        <v>54</v>
      </c>
      <c r="H68" s="20">
        <v>0</v>
      </c>
      <c r="I68" s="8" t="s">
        <v>242</v>
      </c>
      <c r="J68" s="19">
        <v>0</v>
      </c>
      <c r="K68" s="8" t="s">
        <v>241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62</v>
      </c>
      <c r="B69" s="18">
        <v>55142</v>
      </c>
      <c r="C69" s="19">
        <v>0</v>
      </c>
      <c r="D69" s="8" t="s">
        <v>129</v>
      </c>
      <c r="E69" s="20">
        <v>0</v>
      </c>
      <c r="F69" s="20">
        <v>1</v>
      </c>
      <c r="G69" s="8" t="s">
        <v>54</v>
      </c>
      <c r="H69" s="20">
        <v>1</v>
      </c>
      <c r="I69" s="8" t="s">
        <v>130</v>
      </c>
      <c r="J69" s="19">
        <v>0</v>
      </c>
      <c r="K69" s="8" t="s">
        <v>131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71</v>
      </c>
      <c r="B70" s="18">
        <v>55143</v>
      </c>
      <c r="C70" s="19">
        <v>0</v>
      </c>
      <c r="D70" s="8" t="s">
        <v>132</v>
      </c>
      <c r="E70" s="20">
        <v>0</v>
      </c>
      <c r="F70" s="20">
        <v>1</v>
      </c>
      <c r="G70" s="8" t="s">
        <v>54</v>
      </c>
      <c r="H70" s="20">
        <v>1</v>
      </c>
      <c r="I70" s="8" t="s">
        <v>133</v>
      </c>
      <c r="J70" s="19">
        <v>0</v>
      </c>
      <c r="K70" s="8" t="s">
        <v>134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53</v>
      </c>
      <c r="B71" s="18">
        <v>55144</v>
      </c>
      <c r="C71" s="19">
        <v>0</v>
      </c>
      <c r="D71" s="8" t="s">
        <v>135</v>
      </c>
      <c r="E71" s="20">
        <v>0</v>
      </c>
      <c r="F71" s="20">
        <v>0</v>
      </c>
      <c r="G71" s="8" t="s">
        <v>54</v>
      </c>
      <c r="H71" s="20">
        <v>0</v>
      </c>
      <c r="I71" s="8" t="s">
        <v>136</v>
      </c>
      <c r="J71" s="19">
        <v>0</v>
      </c>
      <c r="K71" s="8" t="s">
        <v>137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>
      <c r="A72" s="8" t="s">
        <v>53</v>
      </c>
      <c r="B72" s="18">
        <v>55145</v>
      </c>
      <c r="C72" s="19">
        <v>0</v>
      </c>
      <c r="D72" s="8" t="s">
        <v>243</v>
      </c>
      <c r="E72" s="20">
        <v>0</v>
      </c>
      <c r="F72" s="20">
        <v>0</v>
      </c>
      <c r="G72" s="8" t="s">
        <v>54</v>
      </c>
      <c r="H72" s="20">
        <v>0</v>
      </c>
      <c r="I72" s="8" t="s">
        <v>244</v>
      </c>
      <c r="J72" s="19">
        <v>0</v>
      </c>
      <c r="K72" s="8" t="s">
        <v>243</v>
      </c>
      <c r="L72" s="8" t="s">
        <v>55</v>
      </c>
      <c r="M72" s="8" t="s">
        <v>55</v>
      </c>
      <c r="N72" s="8" t="s">
        <v>55</v>
      </c>
    </row>
    <row r="73" spans="1:14" ht="12.75" customHeight="1" x14ac:dyDescent="0.2">
      <c r="A73" s="8" t="s">
        <v>53</v>
      </c>
      <c r="B73" s="18">
        <v>55146</v>
      </c>
      <c r="C73" s="19">
        <v>0</v>
      </c>
      <c r="D73" s="8" t="s">
        <v>245</v>
      </c>
      <c r="E73" s="20">
        <v>0</v>
      </c>
      <c r="F73" s="20">
        <v>0</v>
      </c>
      <c r="G73" s="8" t="s">
        <v>54</v>
      </c>
      <c r="H73" s="20">
        <v>0</v>
      </c>
      <c r="I73" s="8" t="s">
        <v>246</v>
      </c>
      <c r="J73" s="19">
        <v>0</v>
      </c>
      <c r="K73" s="8" t="s">
        <v>245</v>
      </c>
      <c r="L73" s="8" t="s">
        <v>55</v>
      </c>
      <c r="M73" s="8" t="s">
        <v>55</v>
      </c>
      <c r="N73" s="8" t="s">
        <v>55</v>
      </c>
    </row>
    <row r="74" spans="1:14" ht="12.75" customHeight="1" x14ac:dyDescent="0.2">
      <c r="A74" s="8" t="s">
        <v>119</v>
      </c>
      <c r="B74" s="18">
        <v>55147</v>
      </c>
      <c r="C74" s="19">
        <v>0</v>
      </c>
      <c r="D74" s="8" t="s">
        <v>138</v>
      </c>
      <c r="E74" s="20">
        <v>0</v>
      </c>
      <c r="F74" s="20">
        <v>2</v>
      </c>
      <c r="G74" s="8" t="s">
        <v>54</v>
      </c>
      <c r="H74" s="20">
        <v>2</v>
      </c>
      <c r="I74" s="8" t="s">
        <v>139</v>
      </c>
      <c r="J74" s="19">
        <v>0</v>
      </c>
      <c r="K74" s="8" t="s">
        <v>140</v>
      </c>
      <c r="L74" s="8" t="s">
        <v>55</v>
      </c>
      <c r="M74" s="8" t="s">
        <v>55</v>
      </c>
      <c r="N74" s="8" t="s">
        <v>55</v>
      </c>
    </row>
    <row r="75" spans="1:14" ht="12.75" customHeight="1" x14ac:dyDescent="0.2">
      <c r="A75" s="8" t="s">
        <v>62</v>
      </c>
      <c r="B75" s="18">
        <v>55148</v>
      </c>
      <c r="C75" s="19">
        <v>0</v>
      </c>
      <c r="D75" s="8" t="s">
        <v>141</v>
      </c>
      <c r="E75" s="20">
        <v>0</v>
      </c>
      <c r="F75" s="20">
        <v>24</v>
      </c>
      <c r="G75" s="8" t="s">
        <v>54</v>
      </c>
      <c r="H75" s="20">
        <v>24</v>
      </c>
      <c r="I75" s="8" t="s">
        <v>142</v>
      </c>
      <c r="J75" s="19">
        <v>0</v>
      </c>
      <c r="K75" s="8" t="s">
        <v>247</v>
      </c>
      <c r="L75" s="8" t="s">
        <v>55</v>
      </c>
      <c r="M75" s="8" t="s">
        <v>55</v>
      </c>
      <c r="N75" s="8" t="s">
        <v>55</v>
      </c>
    </row>
    <row r="76" spans="1:14" ht="12.75" customHeight="1" x14ac:dyDescent="0.2">
      <c r="A76" s="8" t="s">
        <v>53</v>
      </c>
      <c r="B76" s="18">
        <v>55149</v>
      </c>
      <c r="C76" s="19">
        <v>0</v>
      </c>
      <c r="D76" s="8" t="s">
        <v>143</v>
      </c>
      <c r="E76" s="20">
        <v>0</v>
      </c>
      <c r="F76" s="20">
        <v>0</v>
      </c>
      <c r="G76" s="8" t="s">
        <v>54</v>
      </c>
      <c r="H76" s="20">
        <v>0</v>
      </c>
      <c r="I76" s="8" t="s">
        <v>144</v>
      </c>
      <c r="J76" s="19">
        <v>0</v>
      </c>
      <c r="K76" s="8" t="s">
        <v>143</v>
      </c>
      <c r="L76" s="8" t="s">
        <v>55</v>
      </c>
      <c r="M76" s="8" t="s">
        <v>55</v>
      </c>
      <c r="N76" s="8" t="s">
        <v>55</v>
      </c>
    </row>
    <row r="77" spans="1:14" ht="12.75" customHeight="1" x14ac:dyDescent="0.2">
      <c r="A77" s="8" t="s">
        <v>53</v>
      </c>
      <c r="B77" s="18">
        <v>55150</v>
      </c>
      <c r="C77" s="19">
        <v>0</v>
      </c>
      <c r="D77" s="8" t="s">
        <v>248</v>
      </c>
      <c r="E77" s="20">
        <v>0</v>
      </c>
      <c r="F77" s="20">
        <v>0</v>
      </c>
      <c r="G77" s="8" t="s">
        <v>54</v>
      </c>
      <c r="H77" s="20">
        <v>0</v>
      </c>
      <c r="I77" s="8" t="s">
        <v>249</v>
      </c>
      <c r="J77" s="19">
        <v>0</v>
      </c>
      <c r="K77" s="8" t="s">
        <v>248</v>
      </c>
      <c r="L77" s="8" t="s">
        <v>55</v>
      </c>
      <c r="M77" s="8" t="s">
        <v>55</v>
      </c>
      <c r="N77" s="8" t="s">
        <v>55</v>
      </c>
    </row>
    <row r="78" spans="1:14" ht="12.75" customHeight="1" x14ac:dyDescent="0.2">
      <c r="A78" s="8" t="s">
        <v>53</v>
      </c>
      <c r="B78" s="18">
        <v>55151</v>
      </c>
      <c r="C78" s="19">
        <v>0</v>
      </c>
      <c r="D78" s="8" t="s">
        <v>145</v>
      </c>
      <c r="E78" s="20">
        <v>0</v>
      </c>
      <c r="F78" s="20">
        <v>0</v>
      </c>
      <c r="G78" s="8" t="s">
        <v>54</v>
      </c>
      <c r="H78" s="20">
        <v>0</v>
      </c>
      <c r="I78" s="8" t="s">
        <v>146</v>
      </c>
      <c r="J78" s="19">
        <v>0</v>
      </c>
      <c r="K78" s="8" t="s">
        <v>145</v>
      </c>
      <c r="L78" s="8" t="s">
        <v>55</v>
      </c>
      <c r="M78" s="8" t="s">
        <v>55</v>
      </c>
      <c r="N78" s="8" t="s">
        <v>55</v>
      </c>
    </row>
    <row r="79" spans="1:14" ht="12.75" customHeight="1" x14ac:dyDescent="0.2">
      <c r="A79" s="8" t="s">
        <v>119</v>
      </c>
      <c r="B79" s="18">
        <v>55152</v>
      </c>
      <c r="C79" s="19">
        <v>0</v>
      </c>
      <c r="D79" s="8" t="s">
        <v>250</v>
      </c>
      <c r="E79" s="20">
        <v>0</v>
      </c>
      <c r="F79" s="20">
        <v>2</v>
      </c>
      <c r="G79" s="8" t="s">
        <v>54</v>
      </c>
      <c r="H79" s="20">
        <v>2</v>
      </c>
      <c r="I79" s="8" t="s">
        <v>251</v>
      </c>
      <c r="J79" s="19">
        <v>0</v>
      </c>
      <c r="K79" s="8" t="s">
        <v>252</v>
      </c>
      <c r="L79" s="8" t="s">
        <v>55</v>
      </c>
      <c r="M79" s="8" t="s">
        <v>55</v>
      </c>
      <c r="N79" s="8" t="s">
        <v>55</v>
      </c>
    </row>
    <row r="80" spans="1:14" ht="12.75" customHeight="1" x14ac:dyDescent="0.2">
      <c r="A80" s="8" t="s">
        <v>53</v>
      </c>
      <c r="B80" s="18">
        <v>55153</v>
      </c>
      <c r="C80" s="19">
        <v>0</v>
      </c>
      <c r="D80" s="8" t="s">
        <v>253</v>
      </c>
      <c r="E80" s="20">
        <v>0</v>
      </c>
      <c r="F80" s="20">
        <v>0</v>
      </c>
      <c r="G80" s="8" t="s">
        <v>54</v>
      </c>
      <c r="H80" s="20">
        <v>0</v>
      </c>
      <c r="I80" s="8" t="s">
        <v>254</v>
      </c>
      <c r="J80" s="19">
        <v>0</v>
      </c>
      <c r="K80" s="8" t="s">
        <v>253</v>
      </c>
      <c r="L80" s="8" t="s">
        <v>55</v>
      </c>
      <c r="M80" s="8" t="s">
        <v>55</v>
      </c>
      <c r="N80" s="8" t="s">
        <v>55</v>
      </c>
    </row>
    <row r="81" spans="1:14" ht="12.75" customHeight="1" x14ac:dyDescent="0.2">
      <c r="A81" s="8" t="s">
        <v>53</v>
      </c>
      <c r="B81" s="18">
        <v>55154</v>
      </c>
      <c r="C81" s="19">
        <v>0</v>
      </c>
      <c r="D81" s="8" t="s">
        <v>255</v>
      </c>
      <c r="E81" s="20">
        <v>0</v>
      </c>
      <c r="F81" s="20">
        <v>0</v>
      </c>
      <c r="G81" s="8" t="s">
        <v>54</v>
      </c>
      <c r="H81" s="20">
        <v>0</v>
      </c>
      <c r="I81" s="8" t="s">
        <v>256</v>
      </c>
      <c r="J81" s="19">
        <v>0</v>
      </c>
      <c r="K81" s="8" t="s">
        <v>255</v>
      </c>
      <c r="L81" s="8" t="s">
        <v>55</v>
      </c>
      <c r="M81" s="8" t="s">
        <v>55</v>
      </c>
      <c r="N81" s="8" t="s">
        <v>55</v>
      </c>
    </row>
    <row r="82" spans="1:14" ht="12.75" customHeight="1" x14ac:dyDescent="0.2">
      <c r="A82" s="8" t="s">
        <v>62</v>
      </c>
      <c r="B82" s="18">
        <v>55155</v>
      </c>
      <c r="C82" s="19">
        <v>0</v>
      </c>
      <c r="D82" s="8" t="s">
        <v>257</v>
      </c>
      <c r="E82" s="20">
        <v>0</v>
      </c>
      <c r="F82" s="20">
        <v>3</v>
      </c>
      <c r="G82" s="8" t="s">
        <v>54</v>
      </c>
      <c r="H82" s="20">
        <v>3</v>
      </c>
      <c r="I82" s="8" t="s">
        <v>258</v>
      </c>
      <c r="J82" s="19">
        <v>0</v>
      </c>
      <c r="K82" s="8" t="s">
        <v>259</v>
      </c>
      <c r="L82" s="8" t="s">
        <v>55</v>
      </c>
      <c r="M82" s="8" t="s">
        <v>55</v>
      </c>
      <c r="N82" s="8" t="s">
        <v>55</v>
      </c>
    </row>
    <row r="83" spans="1:14" ht="12.75" customHeight="1" x14ac:dyDescent="0.2">
      <c r="A83" s="8" t="s">
        <v>62</v>
      </c>
      <c r="B83" s="18">
        <v>55156</v>
      </c>
      <c r="C83" s="19">
        <v>0</v>
      </c>
      <c r="D83" s="8" t="s">
        <v>260</v>
      </c>
      <c r="E83" s="20">
        <v>0</v>
      </c>
      <c r="F83" s="20">
        <v>4</v>
      </c>
      <c r="G83" s="8" t="s">
        <v>54</v>
      </c>
      <c r="H83" s="20">
        <v>4</v>
      </c>
      <c r="I83" s="8" t="s">
        <v>261</v>
      </c>
      <c r="J83" s="19">
        <v>0</v>
      </c>
      <c r="K83" s="8" t="s">
        <v>262</v>
      </c>
      <c r="L83" s="8" t="s">
        <v>55</v>
      </c>
      <c r="M83" s="8" t="s">
        <v>55</v>
      </c>
      <c r="N83" s="8" t="s">
        <v>55</v>
      </c>
    </row>
    <row r="84" spans="1:14" ht="12.75" customHeight="1" x14ac:dyDescent="0.2">
      <c r="A84" s="8" t="s">
        <v>53</v>
      </c>
      <c r="B84" s="18">
        <v>55157</v>
      </c>
      <c r="C84" s="19">
        <v>0</v>
      </c>
      <c r="D84" s="8" t="s">
        <v>63</v>
      </c>
      <c r="E84" s="20">
        <v>0</v>
      </c>
      <c r="F84" s="20">
        <v>0</v>
      </c>
      <c r="G84" s="8" t="s">
        <v>54</v>
      </c>
      <c r="H84" s="20">
        <v>0</v>
      </c>
      <c r="I84" s="8" t="s">
        <v>64</v>
      </c>
      <c r="J84" s="19">
        <v>0</v>
      </c>
      <c r="K84" s="8" t="s">
        <v>65</v>
      </c>
      <c r="L84" s="8" t="s">
        <v>55</v>
      </c>
      <c r="M84" s="8" t="s">
        <v>55</v>
      </c>
      <c r="N84" s="8" t="s">
        <v>55</v>
      </c>
    </row>
    <row r="85" spans="1:14" ht="12.75" customHeight="1" x14ac:dyDescent="0.2">
      <c r="A85" s="8" t="s">
        <v>66</v>
      </c>
      <c r="B85" s="18">
        <v>55158</v>
      </c>
      <c r="C85" s="19">
        <v>0</v>
      </c>
      <c r="D85" s="8" t="s">
        <v>67</v>
      </c>
      <c r="E85" s="20">
        <v>0</v>
      </c>
      <c r="F85" s="20">
        <v>10</v>
      </c>
      <c r="G85" s="8" t="s">
        <v>54</v>
      </c>
      <c r="H85" s="20">
        <v>10</v>
      </c>
      <c r="I85" s="8" t="s">
        <v>68</v>
      </c>
      <c r="J85" s="19">
        <v>0</v>
      </c>
      <c r="K85" s="8" t="s">
        <v>263</v>
      </c>
      <c r="L85" s="8" t="s">
        <v>55</v>
      </c>
      <c r="M85" s="8" t="s">
        <v>55</v>
      </c>
      <c r="N85" s="8" t="s">
        <v>55</v>
      </c>
    </row>
    <row r="86" spans="1:14" ht="12.75" customHeight="1" x14ac:dyDescent="0.2"/>
    <row r="87" spans="1:14" ht="12.75" customHeight="1" x14ac:dyDescent="0.2">
      <c r="B87" s="8" t="s">
        <v>16</v>
      </c>
      <c r="C87" s="8" t="s">
        <v>192</v>
      </c>
      <c r="E87" s="8" t="s">
        <v>19</v>
      </c>
      <c r="F87" s="8" t="s">
        <v>19</v>
      </c>
      <c r="G87" s="8" t="s">
        <v>21</v>
      </c>
      <c r="H87" s="8" t="s">
        <v>19</v>
      </c>
      <c r="J87" s="8" t="s">
        <v>19</v>
      </c>
    </row>
    <row r="88" spans="1:14" ht="12.75" customHeight="1" x14ac:dyDescent="0.2"/>
    <row r="89" spans="1:14" ht="12.75" customHeight="1" x14ac:dyDescent="0.2"/>
    <row r="90" spans="1:14" ht="12.75" customHeight="1" x14ac:dyDescent="0.2"/>
    <row r="91" spans="1:14" ht="12.75" customHeight="1" x14ac:dyDescent="0.2"/>
    <row r="92" spans="1:14" ht="12.75" customHeight="1" x14ac:dyDescent="0.2"/>
    <row r="93" spans="1:14" ht="12.75" customHeight="1" x14ac:dyDescent="0.2"/>
    <row r="94" spans="1:14" ht="12.75" customHeight="1" x14ac:dyDescent="0.2"/>
    <row r="95" spans="1:14" ht="12.75" customHeight="1" x14ac:dyDescent="0.2"/>
    <row r="96" spans="1:14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70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69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70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 TO WELD RF50 NOZZLES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69</v>
      </c>
      <c r="B10" s="38">
        <f>'Build Plan w Hours'!E8</f>
        <v>4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70</v>
      </c>
    </row>
    <row r="14" spans="1:9" ht="21.75" customHeight="1" x14ac:dyDescent="0.25">
      <c r="A14" s="29" t="s">
        <v>13</v>
      </c>
      <c r="B14" s="31" t="str">
        <f>'Build Plan w Hours'!C9</f>
        <v>.120</v>
      </c>
      <c r="C14" s="40" t="str">
        <f>'Build Plan w Hours'!D9</f>
        <v>Burn manway neck (CHECK BEFORE BURNING) - Clean and Bevel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69</v>
      </c>
      <c r="B16" s="38">
        <f>'Build Plan w Hours'!E9</f>
        <v>2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70</v>
      </c>
    </row>
    <row r="20" spans="1:9" ht="21.75" customHeight="1" x14ac:dyDescent="0.25">
      <c r="A20" s="29" t="s">
        <v>13</v>
      </c>
      <c r="B20" s="31" t="str">
        <f>'Build Plan w Hours'!C10</f>
        <v>.125</v>
      </c>
      <c r="C20" s="40" t="str">
        <f>'Build Plan w Hours'!D10</f>
        <v>Roll manway neck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69</v>
      </c>
      <c r="B22" s="38">
        <f>'Build Plan w Hours'!E10</f>
        <v>2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70</v>
      </c>
    </row>
    <row r="26" spans="1:9" ht="21.75" customHeight="1" x14ac:dyDescent="0.25">
      <c r="A26" s="29" t="s">
        <v>13</v>
      </c>
      <c r="B26" s="31" t="str">
        <f>'Build Plan w Hours'!C11</f>
        <v>.130</v>
      </c>
      <c r="C26" s="40" t="str">
        <f>'Build Plan w Hours'!D11</f>
        <v>Set up and weld manway flange and neck seam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69</v>
      </c>
      <c r="B28" s="38">
        <f>'Build Plan w Hours'!E11</f>
        <v>6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70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69</v>
      </c>
      <c r="B34" s="38">
        <f>'Build Plan w Hours'!E12</f>
        <v>24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70</v>
      </c>
    </row>
    <row r="38" spans="1:9" ht="21.75" customHeight="1" x14ac:dyDescent="0.25">
      <c r="A38" s="29" t="s">
        <v>13</v>
      </c>
      <c r="B38" s="31" t="str">
        <f>'Build Plan w Hours'!C13</f>
        <v>.156</v>
      </c>
      <c r="C38" s="40">
        <f>'Build Plan w Hours'!D13</f>
        <v>0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69</v>
      </c>
      <c r="B40" s="38">
        <f>'Build Plan w Hours'!E13</f>
        <v>14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70</v>
      </c>
    </row>
    <row r="44" spans="1:9" ht="21.75" customHeight="1" x14ac:dyDescent="0.25">
      <c r="A44" s="29" t="s">
        <v>13</v>
      </c>
      <c r="B44" s="31" t="str">
        <f>'Build Plan w Hours'!C14</f>
        <v>.165</v>
      </c>
      <c r="C44" s="40" t="str">
        <f>'Build Plan w Hours'!D14</f>
        <v>Build supports: legs, lugs, saddles_x000D_
TANK ONLY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69</v>
      </c>
      <c r="B46" s="38">
        <f>'Build Plan w Hours'!E14</f>
        <v>4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70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69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70</v>
      </c>
    </row>
    <row r="56" spans="1:9" ht="21.75" customHeight="1" x14ac:dyDescent="0.25">
      <c r="A56" s="29" t="s">
        <v>13</v>
      </c>
      <c r="B56" s="31" t="str">
        <f>'Build Plan w Hours'!C16</f>
        <v>.240</v>
      </c>
      <c r="C56" s="40" t="str">
        <f>'Build Plan w Hours'!D16</f>
        <v>Roll/Burn vacuum rings (CHECK BEFORE BURNING)_x000D_
INSULATION RINGS AND VACUUM RINGS CUT ON CNC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69</v>
      </c>
      <c r="B58" s="38">
        <f>'Build Plan w Hours'!E16</f>
        <v>0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70</v>
      </c>
    </row>
    <row r="62" spans="1:9" ht="21.75" customHeight="1" x14ac:dyDescent="0.25">
      <c r="A62" s="29" t="s">
        <v>13</v>
      </c>
      <c r="B62" s="31" t="str">
        <f>'Build Plan w Hours'!C17</f>
        <v>.262</v>
      </c>
      <c r="C62" s="40" t="str">
        <f>'Build Plan w Hours'!D17</f>
        <v>Cut/make parts for ladder: rungs, rails,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69</v>
      </c>
      <c r="B64" s="38">
        <f>'Build Plan w Hours'!E17</f>
        <v>4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70</v>
      </c>
    </row>
    <row r="68" spans="1:9" ht="21.75" customHeight="1" x14ac:dyDescent="0.25">
      <c r="A68" s="29" t="s">
        <v>13</v>
      </c>
      <c r="B68" s="31" t="str">
        <f>'Build Plan w Hours'!C18</f>
        <v>.270</v>
      </c>
      <c r="C68" s="40" t="str">
        <f>'Build Plan w Hours'!D18</f>
        <v>Build ladder - weld out_x000D_
FOR (1) STRAIGHT LADDER NO CAGE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69</v>
      </c>
      <c r="B70" s="38">
        <f>'Build Plan w Hours'!E18</f>
        <v>14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70</v>
      </c>
    </row>
    <row r="74" spans="1:9" ht="21.75" customHeight="1" x14ac:dyDescent="0.25">
      <c r="A74" s="29" t="s">
        <v>13</v>
      </c>
      <c r="B74" s="31" t="str">
        <f>'Build Plan w Hours'!C19</f>
        <v>.272</v>
      </c>
      <c r="C74" s="40" t="str">
        <f>'Build Plan w Hours'!D19</f>
        <v>Cut/Build parts for handrail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69</v>
      </c>
      <c r="B76" s="38">
        <f>'Build Plan w Hours'!E19</f>
        <v>6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70</v>
      </c>
    </row>
    <row r="80" spans="1:9" ht="21.75" customHeight="1" x14ac:dyDescent="0.25">
      <c r="A80" s="29" t="s">
        <v>13</v>
      </c>
      <c r="B80" s="31" t="str">
        <f>'Build Plan w Hours'!C20</f>
        <v>.275</v>
      </c>
      <c r="C80" s="40" t="str">
        <f>'Build Plan w Hours'!D20</f>
        <v>Roll handrail pipe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69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70</v>
      </c>
    </row>
    <row r="86" spans="1:9" ht="21.75" customHeight="1" x14ac:dyDescent="0.25">
      <c r="A86" s="29" t="s">
        <v>13</v>
      </c>
      <c r="B86" s="31" t="str">
        <f>'Build Plan w Hours'!C21</f>
        <v>.280</v>
      </c>
      <c r="C86" s="40" t="str">
        <f>'Build Plan w Hours'!D21</f>
        <v>Roll handrail toe plate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69</v>
      </c>
      <c r="B88" s="38">
        <f>'Build Plan w Hours'!E21</f>
        <v>2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70</v>
      </c>
    </row>
    <row r="92" spans="1:9" ht="21.75" customHeight="1" x14ac:dyDescent="0.25">
      <c r="A92" s="29" t="s">
        <v>13</v>
      </c>
      <c r="B92" s="31" t="str">
        <f>'Build Plan w Hours'!C22</f>
        <v>.282</v>
      </c>
      <c r="C92" s="40" t="str">
        <f>'Build Plan w Hours'!D22</f>
        <v>Build handrail - weld out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69</v>
      </c>
      <c r="B94" s="38">
        <f>'Build Plan w Hours'!E22</f>
        <v>24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70</v>
      </c>
    </row>
    <row r="98" spans="1:9" ht="21.75" customHeight="1" x14ac:dyDescent="0.25">
      <c r="A98" s="29" t="s">
        <v>13</v>
      </c>
      <c r="B98" s="31" t="str">
        <f>'Build Plan w Hours'!C23</f>
        <v>.285</v>
      </c>
      <c r="C98" s="40" t="str">
        <f>'Build Plan w Hours'!D23</f>
        <v>Cut/Build parts for platform_x000D_
INCL COPING CHANNELS &amp; MAKE RINGS FOR NOZ CUT-OUTS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69</v>
      </c>
      <c r="B100" s="38">
        <f>'Build Plan w Hours'!E23</f>
        <v>28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70</v>
      </c>
    </row>
    <row r="104" spans="1:9" ht="21.75" customHeight="1" x14ac:dyDescent="0.25">
      <c r="A104" s="29" t="s">
        <v>13</v>
      </c>
      <c r="B104" s="31" t="str">
        <f>'Build Plan w Hours'!C24</f>
        <v>.290</v>
      </c>
      <c r="C104" s="40" t="str">
        <f>'Build Plan w Hours'!D24</f>
        <v>Burn grating for platforms, clean and band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69</v>
      </c>
      <c r="B106" s="38">
        <f>'Build Plan w Hours'!E24</f>
        <v>12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70</v>
      </c>
    </row>
    <row r="110" spans="1:9" ht="21.75" customHeight="1" x14ac:dyDescent="0.25">
      <c r="A110" s="29" t="s">
        <v>13</v>
      </c>
      <c r="B110" s="31" t="str">
        <f>'Build Plan w Hours'!C25</f>
        <v>.292</v>
      </c>
      <c r="C110" s="40" t="str">
        <f>'Build Plan w Hours'!D25</f>
        <v>Build platform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69</v>
      </c>
      <c r="B112" s="38">
        <f>'Build Plan w Hours'!E25</f>
        <v>32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70</v>
      </c>
    </row>
    <row r="116" spans="1:9" ht="21.75" customHeight="1" x14ac:dyDescent="0.25">
      <c r="A116" s="29" t="s">
        <v>13</v>
      </c>
      <c r="B116" s="31" t="str">
        <f>'Build Plan w Hours'!C26</f>
        <v>.295</v>
      </c>
      <c r="C116" s="40" t="str">
        <f>'Build Plan w Hours'!D26</f>
        <v>Mount handrail on platform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69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70</v>
      </c>
    </row>
    <row r="122" spans="1:9" ht="21.75" customHeight="1" x14ac:dyDescent="0.25">
      <c r="A122" s="29" t="s">
        <v>13</v>
      </c>
      <c r="B122" s="31" t="str">
        <f>'Build Plan w Hours'!C27</f>
        <v>.QC2</v>
      </c>
      <c r="C122" s="40" t="str">
        <f>'Build Plan w Hours'!D27</f>
        <v>QC Inspection - Components prior to shipping to Subcontractor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69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70</v>
      </c>
    </row>
    <row r="128" spans="1:9" ht="21.75" customHeight="1" x14ac:dyDescent="0.25">
      <c r="A128" s="29" t="s">
        <v>13</v>
      </c>
      <c r="B128" s="31" t="str">
        <f>'Build Plan w Hours'!C28</f>
        <v>.300</v>
      </c>
      <c r="C128" s="40" t="str">
        <f>'Build Plan w Hours'!D28</f>
        <v>Wrap top and bottom heads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69</v>
      </c>
      <c r="B130" s="38">
        <f>'Build Plan w Hours'!E28</f>
        <v>2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70</v>
      </c>
    </row>
    <row r="134" spans="1:9" ht="21.75" customHeight="1" x14ac:dyDescent="0.25">
      <c r="A134" s="29" t="s">
        <v>13</v>
      </c>
      <c r="B134" s="31" t="str">
        <f>'Build Plan w Hours'!C29</f>
        <v>.QC3</v>
      </c>
      <c r="C134" s="40" t="str">
        <f>'Build Plan w Hours'!D29</f>
        <v>UT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69</v>
      </c>
      <c r="B136" s="38">
        <f>'Build Plan w Hours'!E29</f>
        <v>0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70</v>
      </c>
    </row>
    <row r="140" spans="1:9" ht="21.75" customHeight="1" x14ac:dyDescent="0.25">
      <c r="A140" s="29" t="s">
        <v>13</v>
      </c>
      <c r="B140" s="31" t="str">
        <f>'Build Plan w Hours'!C30</f>
        <v>.305</v>
      </c>
      <c r="C140" s="40" t="str">
        <f>'Build Plan w Hours'!D30</f>
        <v>Shells: bring in plate, square, trim and clean_x000D_
MAKE (2) SINGLE SHELLS, GRIND PREP EDGES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69</v>
      </c>
      <c r="B142" s="38">
        <f>'Build Plan w Hours'!E30</f>
        <v>4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70</v>
      </c>
    </row>
    <row r="146" spans="1:9" ht="21.75" customHeight="1" x14ac:dyDescent="0.25">
      <c r="A146" s="29" t="s">
        <v>13</v>
      </c>
      <c r="B146" s="31" t="str">
        <f>'Build Plan w Hours'!C31</f>
        <v>.315</v>
      </c>
      <c r="C146" s="40" t="str">
        <f>'Build Plan w Hours'!D31</f>
        <v>Roll shells, tack and weld inside seams_x000D_
INCL WELD LONG SEAMS W/ COBOT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69</v>
      </c>
      <c r="B148" s="38">
        <f>'Build Plan w Hours'!E31</f>
        <v>9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70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69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70</v>
      </c>
    </row>
    <row r="158" spans="1:9" ht="21.75" customHeight="1" x14ac:dyDescent="0.25">
      <c r="A158" s="29" t="s">
        <v>13</v>
      </c>
      <c r="B158" s="31" t="str">
        <f>'Build Plan w Hours'!C33</f>
        <v>.355</v>
      </c>
      <c r="C158" s="40" t="str">
        <f>'Build Plan w Hours'!D33</f>
        <v>Lay out top head, burn and clean holes_x000D_
CUT HOLES AT CNC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69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70</v>
      </c>
    </row>
    <row r="164" spans="1:9" ht="21.75" customHeight="1" x14ac:dyDescent="0.25">
      <c r="A164" s="29" t="s">
        <v>13</v>
      </c>
      <c r="B164" s="31" t="str">
        <f>'Build Plan w Hours'!C34</f>
        <v>.365</v>
      </c>
      <c r="C164" s="40" t="str">
        <f>'Build Plan w Hours'!D34</f>
        <v>Set  nozzles, lift lugs, etc. in top head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69</v>
      </c>
      <c r="B166" s="38">
        <f>'Build Plan w Hours'!E34</f>
        <v>8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70</v>
      </c>
    </row>
    <row r="170" spans="1:9" ht="21.75" customHeight="1" x14ac:dyDescent="0.25">
      <c r="A170" s="29" t="s">
        <v>13</v>
      </c>
      <c r="B170" s="31" t="str">
        <f>'Build Plan w Hours'!C35</f>
        <v>.366</v>
      </c>
      <c r="C170" s="40" t="str">
        <f>'Build Plan w Hours'!D35</f>
        <v>Weld out top head nozzles, etc. _x000D_
AND LIFT LUGS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69</v>
      </c>
      <c r="B172" s="38">
        <f>'Build Plan w Hours'!E35</f>
        <v>12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70</v>
      </c>
    </row>
    <row r="176" spans="1:9" ht="21.75" customHeight="1" x14ac:dyDescent="0.25">
      <c r="A176" s="29" t="s">
        <v>13</v>
      </c>
      <c r="B176" s="31" t="str">
        <f>'Build Plan w Hours'!C36</f>
        <v>.450</v>
      </c>
      <c r="C176" s="40" t="str">
        <f>'Build Plan w Hours'!D36</f>
        <v>Build bottom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69</v>
      </c>
      <c r="B178" s="38">
        <f>'Build Plan w Hours'!E36</f>
        <v>10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70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69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70</v>
      </c>
    </row>
    <row r="188" spans="1:9" ht="21.75" customHeight="1" x14ac:dyDescent="0.25">
      <c r="A188" s="29" t="s">
        <v>13</v>
      </c>
      <c r="B188" s="31" t="str">
        <f>'Build Plan w Hours'!C38</f>
        <v>.580</v>
      </c>
      <c r="C188" s="40" t="str">
        <f>'Build Plan w Hours'!D38</f>
        <v>Fabricate internal coil supports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69</v>
      </c>
      <c r="B190" s="38">
        <f>'Build Plan w Hours'!E38</f>
        <v>12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70</v>
      </c>
    </row>
    <row r="194" spans="1:9" ht="21.75" customHeight="1" x14ac:dyDescent="0.25">
      <c r="A194" s="29" t="s">
        <v>13</v>
      </c>
      <c r="B194" s="31" t="str">
        <f>'Build Plan w Hours'!C39</f>
        <v>.590</v>
      </c>
      <c r="C194" s="40" t="str">
        <f>'Build Plan w Hours'!D39</f>
        <v>Fabricate internal coil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69</v>
      </c>
      <c r="B196" s="38">
        <f>'Build Plan w Hours'!E39</f>
        <v>60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70</v>
      </c>
    </row>
    <row r="200" spans="1:9" ht="21.75" customHeight="1" x14ac:dyDescent="0.25">
      <c r="A200" s="29" t="s">
        <v>13</v>
      </c>
      <c r="B200" s="31" t="str">
        <f>'Build Plan w Hours'!C40</f>
        <v>.OI1</v>
      </c>
      <c r="C200" s="40" t="str">
        <f>'Build Plan w Hours'!D40</f>
        <v>ASME Hold Point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69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70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69</v>
      </c>
      <c r="B208" s="38">
        <f>'Build Plan w Hours'!E41</f>
        <v>12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70</v>
      </c>
    </row>
    <row r="212" spans="1:9" ht="21.75" customHeight="1" x14ac:dyDescent="0.25">
      <c r="A212" s="29" t="s">
        <v>13</v>
      </c>
      <c r="B212" s="31" t="str">
        <f>'Build Plan w Hours'!C42</f>
        <v>.605</v>
      </c>
      <c r="C212" s="40" t="str">
        <f>'Build Plan w Hours'!D42</f>
        <v>Tack shell courses together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69</v>
      </c>
      <c r="B214" s="38">
        <f>'Build Plan w Hours'!E42</f>
        <v>3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70</v>
      </c>
    </row>
    <row r="218" spans="1:9" ht="21.75" customHeight="1" x14ac:dyDescent="0.25">
      <c r="A218" s="29" t="s">
        <v>13</v>
      </c>
      <c r="B218" s="31" t="str">
        <f>'Build Plan w Hours'!C43</f>
        <v>.610</v>
      </c>
      <c r="C218" s="40" t="str">
        <f>'Build Plan w Hours'!D43</f>
        <v>Weld inside round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69</v>
      </c>
      <c r="B220" s="38">
        <f>'Build Plan w Hours'!E43</f>
        <v>2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70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69</v>
      </c>
      <c r="B226" s="38">
        <f>'Build Plan w Hours'!E44</f>
        <v>4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70</v>
      </c>
    </row>
    <row r="230" spans="1:9" ht="21.75" customHeight="1" x14ac:dyDescent="0.25">
      <c r="A230" s="29" t="s">
        <v>13</v>
      </c>
      <c r="B230" s="31" t="str">
        <f>'Build Plan w Hours'!C45</f>
        <v>.635</v>
      </c>
      <c r="C230" s="40" t="str">
        <f>'Build Plan w Hours'!D45</f>
        <v>Install internal coil and supports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69</v>
      </c>
      <c r="B232" s="38">
        <f>'Build Plan w Hours'!E45</f>
        <v>40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70</v>
      </c>
    </row>
    <row r="236" spans="1:9" ht="21.75" customHeight="1" x14ac:dyDescent="0.25">
      <c r="A236" s="29" t="s">
        <v>13</v>
      </c>
      <c r="B236" s="31" t="str">
        <f>'Build Plan w Hours'!C46</f>
        <v>.QC5</v>
      </c>
      <c r="C236" s="40" t="str">
        <f>'Build Plan w Hours'!D46</f>
        <v>QC Inspection - Internal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69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70</v>
      </c>
    </row>
    <row r="242" spans="1:9" ht="21.75" customHeight="1" x14ac:dyDescent="0.25">
      <c r="A242" s="29" t="s">
        <v>13</v>
      </c>
      <c r="B242" s="31" t="str">
        <f>'Build Plan w Hours'!C47</f>
        <v>.640</v>
      </c>
      <c r="C242" s="40" t="str">
        <f>'Build Plan w Hours'!D47</f>
        <v>Fit top head to shell - tack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69</v>
      </c>
      <c r="B244" s="38">
        <f>'Build Plan w Hours'!E47</f>
        <v>4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70</v>
      </c>
    </row>
    <row r="248" spans="1:9" ht="21.75" customHeight="1" x14ac:dyDescent="0.25">
      <c r="A248" s="29" t="s">
        <v>13</v>
      </c>
      <c r="B248" s="31" t="str">
        <f>'Build Plan w Hours'!C48</f>
        <v>.641</v>
      </c>
      <c r="C248" s="40" t="str">
        <f>'Build Plan w Hours'!D48</f>
        <v>Weld top head to shell - inside_x000D_
INCL HOLE WATCH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69</v>
      </c>
      <c r="B250" s="38">
        <f>'Build Plan w Hours'!E48</f>
        <v>6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70</v>
      </c>
    </row>
    <row r="254" spans="1:9" ht="21.75" customHeight="1" x14ac:dyDescent="0.25">
      <c r="A254" s="29" t="s">
        <v>13</v>
      </c>
      <c r="B254" s="31" t="str">
        <f>'Build Plan w Hours'!C49</f>
        <v>.645</v>
      </c>
      <c r="C254" s="40" t="str">
        <f>'Build Plan w Hours'!D49</f>
        <v>Weld all outside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69</v>
      </c>
      <c r="B256" s="38">
        <f>'Build Plan w Hours'!E49</f>
        <v>12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70</v>
      </c>
    </row>
    <row r="260" spans="1:9" ht="21.75" customHeight="1" x14ac:dyDescent="0.25">
      <c r="A260" s="29" t="s">
        <v>13</v>
      </c>
      <c r="B260" s="31" t="str">
        <f>'Build Plan w Hours'!C50</f>
        <v>.800</v>
      </c>
      <c r="C260" s="40" t="str">
        <f>'Build Plan w Hours'!D50</f>
        <v>Move tank to detail rolls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69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70</v>
      </c>
    </row>
    <row r="266" spans="1:9" ht="21.75" customHeight="1" x14ac:dyDescent="0.25">
      <c r="A266" s="29" t="s">
        <v>13</v>
      </c>
      <c r="B266" s="31" t="str">
        <f>'Build Plan w Hours'!C51</f>
        <v>.715</v>
      </c>
      <c r="C266" s="40" t="str">
        <f>'Build Plan w Hours'!D51</f>
        <v>Install insulation/vacuum rings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69</v>
      </c>
      <c r="B268" s="38">
        <f>'Build Plan w Hours'!E51</f>
        <v>12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70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69</v>
      </c>
      <c r="B274" s="38">
        <f>'Build Plan w Hours'!E52</f>
        <v>12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70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69</v>
      </c>
      <c r="B280" s="38">
        <f>'Build Plan w Hours'!E53</f>
        <v>6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70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69</v>
      </c>
      <c r="B286" s="38">
        <f>'Build Plan w Hours'!E54</f>
        <v>12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70</v>
      </c>
    </row>
    <row r="290" spans="1:9" ht="21.75" customHeight="1" x14ac:dyDescent="0.25">
      <c r="A290" s="29" t="s">
        <v>13</v>
      </c>
      <c r="B290" s="31" t="str">
        <f>'Build Plan w Hours'!C55</f>
        <v>.750</v>
      </c>
      <c r="C290" s="40" t="str">
        <f>'Build Plan w Hours'!D55</f>
        <v>Fit handrail - install and weld clips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69</v>
      </c>
      <c r="B292" s="38">
        <f>'Build Plan w Hours'!E55</f>
        <v>6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70</v>
      </c>
    </row>
    <row r="296" spans="1:9" ht="21.75" customHeight="1" x14ac:dyDescent="0.25">
      <c r="A296" s="29" t="s">
        <v>13</v>
      </c>
      <c r="B296" s="31" t="str">
        <f>'Build Plan w Hours'!C56</f>
        <v>.755</v>
      </c>
      <c r="C296" s="40" t="str">
        <f>'Build Plan w Hours'!D56</f>
        <v>Fit ladder - install and weld clips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69</v>
      </c>
      <c r="B298" s="38">
        <f>'Build Plan w Hours'!E56</f>
        <v>6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70</v>
      </c>
    </row>
    <row r="302" spans="1:9" ht="21.75" customHeight="1" x14ac:dyDescent="0.25">
      <c r="A302" s="29" t="s">
        <v>13</v>
      </c>
      <c r="B302" s="31" t="str">
        <f>'Build Plan w Hours'!C57</f>
        <v>.760</v>
      </c>
      <c r="C302" s="40" t="str">
        <f>'Build Plan w Hours'!D57</f>
        <v>Fit platform - install and weld clips, bracing, etc.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69</v>
      </c>
      <c r="B304" s="38">
        <f>'Build Plan w Hours'!E57</f>
        <v>10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70</v>
      </c>
    </row>
    <row r="308" spans="1:9" ht="21.75" customHeight="1" x14ac:dyDescent="0.25">
      <c r="A308" s="29" t="s">
        <v>13</v>
      </c>
      <c r="B308" s="31" t="str">
        <f>'Build Plan w Hours'!C58</f>
        <v>.QC51</v>
      </c>
      <c r="C308" s="40" t="str">
        <f>'Build Plan w Hours'!D58</f>
        <v>UT Components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69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70</v>
      </c>
    </row>
    <row r="314" spans="1:9" ht="21.75" customHeight="1" x14ac:dyDescent="0.25">
      <c r="A314" s="29" t="s">
        <v>13</v>
      </c>
      <c r="B314" s="31" t="str">
        <f>'Build Plan w Hours'!C59</f>
        <v>.765</v>
      </c>
      <c r="C314" s="40" t="str">
        <f>'Build Plan w Hours'!D59</f>
        <v>Install name tag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69</v>
      </c>
      <c r="B316" s="38">
        <f>'Build Plan w Hours'!E59</f>
        <v>1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70</v>
      </c>
    </row>
    <row r="320" spans="1:9" ht="21.75" customHeight="1" x14ac:dyDescent="0.25">
      <c r="A320" s="29" t="s">
        <v>13</v>
      </c>
      <c r="B320" s="31" t="str">
        <f>'Build Plan w Hours'!C60</f>
        <v>.770</v>
      </c>
      <c r="C320" s="40" t="str">
        <f>'Build Plan w Hours'!D60</f>
        <v>Inspect tank, make repairs, get QC inspector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69</v>
      </c>
      <c r="B322" s="38">
        <f>'Build Plan w Hours'!E60</f>
        <v>1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70</v>
      </c>
    </row>
    <row r="326" spans="1:9" ht="21.75" customHeight="1" x14ac:dyDescent="0.25">
      <c r="A326" s="29" t="s">
        <v>13</v>
      </c>
      <c r="B326" s="31" t="str">
        <f>'Build Plan w Hours'!C61</f>
        <v>.QC6</v>
      </c>
      <c r="C326" s="40" t="str">
        <f>'Build Plan w Hours'!D61</f>
        <v>QC Inspection - Fabrication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69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70</v>
      </c>
    </row>
    <row r="332" spans="1:9" ht="21.75" customHeight="1" x14ac:dyDescent="0.25">
      <c r="A332" s="29" t="s">
        <v>13</v>
      </c>
      <c r="B332" s="31" t="str">
        <f>'Build Plan w Hours'!C62</f>
        <v>.OI4</v>
      </c>
      <c r="C332" s="40" t="str">
        <f>'Build Plan w Hours'!D62</f>
        <v>Customer Inspection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69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70</v>
      </c>
    </row>
    <row r="338" spans="1:9" ht="21.75" customHeight="1" x14ac:dyDescent="0.25">
      <c r="A338" s="29" t="s">
        <v>13</v>
      </c>
      <c r="B338" s="31" t="str">
        <f>'Build Plan w Hours'!C63</f>
        <v>.OI2</v>
      </c>
      <c r="C338" s="40" t="str">
        <f>'Build Plan w Hours'!D63</f>
        <v>ASME Inspection Internal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69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70</v>
      </c>
    </row>
    <row r="344" spans="1:9" ht="21.75" customHeight="1" x14ac:dyDescent="0.25">
      <c r="A344" s="29" t="s">
        <v>13</v>
      </c>
      <c r="B344" s="31" t="str">
        <f>'Build Plan w Hours'!C64</f>
        <v>.801</v>
      </c>
      <c r="C344" s="40" t="str">
        <f>'Build Plan w Hours'!D64</f>
        <v>Move to shop test area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69</v>
      </c>
      <c r="B346" s="38">
        <f>'Build Plan w Hours'!E64</f>
        <v>2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70</v>
      </c>
    </row>
    <row r="350" spans="1:9" ht="21.75" customHeight="1" x14ac:dyDescent="0.25">
      <c r="A350" s="29" t="s">
        <v>13</v>
      </c>
      <c r="B350" s="31" t="str">
        <f>'Build Plan w Hours'!C65</f>
        <v>.910</v>
      </c>
      <c r="C350" s="40" t="str">
        <f>'Build Plan w Hours'!D65</f>
        <v>Test tank_x000D_
TEST VESSEL AND COIL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69</v>
      </c>
      <c r="B352" s="38">
        <f>'Build Plan w Hours'!E65</f>
        <v>24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70</v>
      </c>
    </row>
    <row r="356" spans="1:9" ht="21.75" customHeight="1" x14ac:dyDescent="0.25">
      <c r="A356" s="29" t="s">
        <v>13</v>
      </c>
      <c r="B356" s="31" t="str">
        <f>'Build Plan w Hours'!C66</f>
        <v>.QC7</v>
      </c>
      <c r="C356" s="40" t="str">
        <f>'Build Plan w Hours'!D66</f>
        <v>QC Inspection - Test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69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084-25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70</v>
      </c>
    </row>
    <row r="362" spans="1:9" ht="21" customHeight="1" x14ac:dyDescent="0.25">
      <c r="A362" s="29" t="s">
        <v>13</v>
      </c>
      <c r="B362" s="31" t="str">
        <f>'Build Plan w Hours'!C67</f>
        <v>.OI3</v>
      </c>
      <c r="C362" s="40" t="str">
        <f>'Build Plan w Hours'!D67</f>
        <v>ASME Inspection Test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69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084-25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70</v>
      </c>
    </row>
    <row r="368" spans="1:9" ht="21" customHeight="1" x14ac:dyDescent="0.25">
      <c r="A368" s="29" t="s">
        <v>13</v>
      </c>
      <c r="B368" s="31" t="str">
        <f>'Build Plan w Hours'!C68</f>
        <v>.QC8</v>
      </c>
      <c r="C368" s="40" t="str">
        <f>'Build Plan w Hours'!D68</f>
        <v>QC Inspection - Clean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69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084-25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70</v>
      </c>
    </row>
    <row r="374" spans="1:9" ht="21" customHeight="1" x14ac:dyDescent="0.25">
      <c r="A374" s="29" t="s">
        <v>13</v>
      </c>
      <c r="B374" s="31" t="str">
        <f>'Build Plan w Hours'!C69</f>
        <v>.802</v>
      </c>
      <c r="C374" s="40" t="str">
        <f>'Build Plan w Hours'!D69</f>
        <v>Move to paint area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69</v>
      </c>
      <c r="B376" s="38">
        <f>'Build Plan w Hours'!E69</f>
        <v>2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084-25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70</v>
      </c>
    </row>
    <row r="380" spans="1:9" ht="21" customHeight="1" x14ac:dyDescent="0.25">
      <c r="A380" s="29" t="s">
        <v>13</v>
      </c>
      <c r="B380" s="31" t="str">
        <f>'Build Plan w Hours'!C70</f>
        <v>.QC9</v>
      </c>
      <c r="C380" s="40" t="str">
        <f>'Build Plan w Hours'!D70</f>
        <v>QC Inspection - Sandblast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69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084-25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70</v>
      </c>
    </row>
    <row r="386" spans="1:9" ht="21" customHeight="1" x14ac:dyDescent="0.25">
      <c r="A386" s="29" t="s">
        <v>13</v>
      </c>
      <c r="B386" s="31" t="str">
        <f>'Build Plan w Hours'!C71</f>
        <v>.QC90</v>
      </c>
      <c r="C386" s="40" t="str">
        <f>'Build Plan w Hours'!D71</f>
        <v>QC Inspection - Paint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69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084-25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70</v>
      </c>
    </row>
    <row r="392" spans="1:9" ht="21" customHeight="1" x14ac:dyDescent="0.25">
      <c r="A392" s="29" t="s">
        <v>13</v>
      </c>
      <c r="B392" s="31" t="str">
        <f>'Build Plan w Hours'!C72</f>
        <v>.940</v>
      </c>
      <c r="C392" s="40" t="str">
        <f>'Build Plan w Hours'!D72</f>
        <v>Prepare tank for shipment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69</v>
      </c>
      <c r="B394" s="38">
        <f>'Build Plan w Hours'!E72</f>
        <v>3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70</v>
      </c>
    </row>
    <row r="398" spans="1:9" ht="21" customHeight="1" x14ac:dyDescent="0.25">
      <c r="A398" s="29" t="s">
        <v>13</v>
      </c>
      <c r="B398" s="31" t="str">
        <f>'Build Plan w Hours'!C73</f>
        <v>.950</v>
      </c>
      <c r="C398" s="40" t="str">
        <f>'Build Plan w Hours'!D73</f>
        <v>Check bill of materials and pack loose parts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69</v>
      </c>
      <c r="B400" s="38">
        <f>'Build Plan w Hours'!E73</f>
        <v>4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70</v>
      </c>
    </row>
    <row r="404" spans="1:9" ht="21" customHeight="1" x14ac:dyDescent="0.25">
      <c r="A404" s="29" t="s">
        <v>13</v>
      </c>
      <c r="B404" s="31" t="str">
        <f>'Build Plan w Hours'!C74</f>
        <v>.QC95</v>
      </c>
      <c r="C404" s="40" t="str">
        <f>'Build Plan w Hours'!D74</f>
        <v>QC Inspection - Final &amp; Loose Items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69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70</v>
      </c>
    </row>
    <row r="410" spans="1:9" ht="21" customHeight="1" x14ac:dyDescent="0.25">
      <c r="A410" s="29" t="s">
        <v>13</v>
      </c>
      <c r="B410" s="31" t="str">
        <f>'Build Plan w Hours'!C75</f>
        <v>.960</v>
      </c>
      <c r="C410" s="40" t="str">
        <f>'Build Plan w Hours'!D75</f>
        <v>Load on truck_x000D_
VESSEL AND THEN SHIP LOOSE LOAD SEPARATE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69</v>
      </c>
      <c r="B412" s="38">
        <f>'Build Plan w Hours'!E75</f>
        <v>10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70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69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70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69</v>
      </c>
      <c r="B424" s="38" t="str">
        <f>'Build Plan w Hours'!E77</f>
        <v/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70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69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70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69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69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69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69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69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69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69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69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084-25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70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084-25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70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weld_x000D_
USE COBOT TO WELD RF50 NOZZLES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084-25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70</v>
      </c>
    </row>
    <row r="14" spans="1:9" ht="21.75" customHeight="1" x14ac:dyDescent="0.25">
      <c r="A14" s="29" t="s">
        <v>13</v>
      </c>
      <c r="B14" s="31" t="str">
        <f>'Build Plan w Hours'!C9</f>
        <v>.120</v>
      </c>
      <c r="C14" s="40" t="str">
        <f>'Build Plan w Hours'!D9</f>
        <v>Burn manway neck (CHECK BEFORE BURNING) - Clean and Bevel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084-25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70</v>
      </c>
    </row>
    <row r="20" spans="1:9" ht="21.75" customHeight="1" x14ac:dyDescent="0.25">
      <c r="A20" s="29" t="s">
        <v>13</v>
      </c>
      <c r="B20" s="31" t="str">
        <f>'Build Plan w Hours'!C10</f>
        <v>.125</v>
      </c>
      <c r="C20" s="40" t="str">
        <f>'Build Plan w Hours'!D10</f>
        <v>Roll manway neck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084-25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70</v>
      </c>
    </row>
    <row r="26" spans="1:9" ht="21.75" customHeight="1" x14ac:dyDescent="0.25">
      <c r="A26" s="29" t="s">
        <v>13</v>
      </c>
      <c r="B26" s="31" t="str">
        <f>'Build Plan w Hours'!C11</f>
        <v>.130</v>
      </c>
      <c r="C26" s="40" t="str">
        <f>'Build Plan w Hours'!D11</f>
        <v>Set up and weld manway flange and neck seam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084-25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70</v>
      </c>
    </row>
    <row r="32" spans="1:9" ht="21.75" customHeight="1" x14ac:dyDescent="0.25">
      <c r="A32" s="29" t="s">
        <v>13</v>
      </c>
      <c r="B32" s="31" t="str">
        <f>'Build Plan w Hours'!C12</f>
        <v>.155</v>
      </c>
      <c r="C32" s="40" t="str">
        <f>'Build Plan w Hours'!D12</f>
        <v>Burn and clean parts:  lugs, supports, repads, base ring, etc. (CHECK!)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084-25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70</v>
      </c>
    </row>
    <row r="38" spans="1:9" ht="21.75" customHeight="1" x14ac:dyDescent="0.25">
      <c r="A38" s="29" t="s">
        <v>13</v>
      </c>
      <c r="B38" s="31" t="str">
        <f>'Build Plan w Hours'!C13</f>
        <v>.156</v>
      </c>
      <c r="C38" s="40">
        <f>'Build Plan w Hours'!D13</f>
        <v>0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084-25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70</v>
      </c>
    </row>
    <row r="44" spans="1:9" ht="21.75" customHeight="1" x14ac:dyDescent="0.25">
      <c r="A44" s="29" t="s">
        <v>13</v>
      </c>
      <c r="B44" s="31" t="str">
        <f>'Build Plan w Hours'!C14</f>
        <v>.165</v>
      </c>
      <c r="C44" s="40" t="str">
        <f>'Build Plan w Hours'!D14</f>
        <v>Build supports: legs, lugs, saddles_x000D_
TANK ONLY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084-25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70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084-25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70</v>
      </c>
    </row>
    <row r="56" spans="1:9" ht="21.75" customHeight="1" x14ac:dyDescent="0.25">
      <c r="A56" s="29" t="s">
        <v>13</v>
      </c>
      <c r="B56" s="31" t="str">
        <f>'Build Plan w Hours'!C16</f>
        <v>.240</v>
      </c>
      <c r="C56" s="40" t="str">
        <f>'Build Plan w Hours'!D16</f>
        <v>Roll/Burn vacuum rings (CHECK BEFORE BURNING)_x000D_
INSULATION RINGS AND VACUUM RINGS CUT ON CNC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084-25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70</v>
      </c>
    </row>
    <row r="62" spans="1:9" ht="21.75" customHeight="1" x14ac:dyDescent="0.25">
      <c r="A62" s="29" t="s">
        <v>13</v>
      </c>
      <c r="B62" s="31" t="str">
        <f>'Build Plan w Hours'!C17</f>
        <v>.262</v>
      </c>
      <c r="C62" s="40" t="str">
        <f>'Build Plan w Hours'!D17</f>
        <v>Cut/make parts for ladder: rungs, rails, etc.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084-25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70</v>
      </c>
    </row>
    <row r="68" spans="1:9" ht="21.75" customHeight="1" x14ac:dyDescent="0.25">
      <c r="A68" s="29" t="s">
        <v>13</v>
      </c>
      <c r="B68" s="31" t="str">
        <f>'Build Plan w Hours'!C18</f>
        <v>.270</v>
      </c>
      <c r="C68" s="40" t="str">
        <f>'Build Plan w Hours'!D18</f>
        <v>Build ladder - weld out_x000D_
FOR (1) STRAIGHT LADDER NO CAGE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084-25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70</v>
      </c>
    </row>
    <row r="74" spans="1:9" ht="21.75" customHeight="1" x14ac:dyDescent="0.25">
      <c r="A74" s="29" t="s">
        <v>13</v>
      </c>
      <c r="B74" s="31" t="str">
        <f>'Build Plan w Hours'!C19</f>
        <v>.272</v>
      </c>
      <c r="C74" s="40" t="str">
        <f>'Build Plan w Hours'!D19</f>
        <v>Cut/Build parts for handrail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084-25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70</v>
      </c>
    </row>
    <row r="80" spans="1:9" ht="21.75" customHeight="1" x14ac:dyDescent="0.25">
      <c r="A80" s="29" t="s">
        <v>13</v>
      </c>
      <c r="B80" s="31" t="str">
        <f>'Build Plan w Hours'!C20</f>
        <v>.275</v>
      </c>
      <c r="C80" s="40" t="str">
        <f>'Build Plan w Hours'!D20</f>
        <v>Roll handrail pipe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084-25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70</v>
      </c>
    </row>
    <row r="86" spans="1:9" ht="21.75" customHeight="1" x14ac:dyDescent="0.25">
      <c r="A86" s="29" t="s">
        <v>13</v>
      </c>
      <c r="B86" s="31" t="str">
        <f>'Build Plan w Hours'!C21</f>
        <v>.280</v>
      </c>
      <c r="C86" s="40" t="str">
        <f>'Build Plan w Hours'!D21</f>
        <v>Roll handrail toe plate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084-25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70</v>
      </c>
    </row>
    <row r="92" spans="1:9" ht="21.75" customHeight="1" x14ac:dyDescent="0.25">
      <c r="A92" s="29" t="s">
        <v>13</v>
      </c>
      <c r="B92" s="31" t="str">
        <f>'Build Plan w Hours'!C22</f>
        <v>.282</v>
      </c>
      <c r="C92" s="40" t="str">
        <f>'Build Plan w Hours'!D22</f>
        <v>Build handrail - weld out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084-25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70</v>
      </c>
    </row>
    <row r="98" spans="1:9" ht="21.75" customHeight="1" x14ac:dyDescent="0.25">
      <c r="A98" s="29" t="s">
        <v>13</v>
      </c>
      <c r="B98" s="31" t="str">
        <f>'Build Plan w Hours'!C23</f>
        <v>.285</v>
      </c>
      <c r="C98" s="40" t="str">
        <f>'Build Plan w Hours'!D23</f>
        <v>Cut/Build parts for platform_x000D_
INCL COPING CHANNELS &amp; MAKE RINGS FOR NOZ CUT-OUTS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084-25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70</v>
      </c>
    </row>
    <row r="104" spans="1:9" ht="21.75" customHeight="1" x14ac:dyDescent="0.25">
      <c r="A104" s="29" t="s">
        <v>13</v>
      </c>
      <c r="B104" s="31" t="str">
        <f>'Build Plan w Hours'!C24</f>
        <v>.290</v>
      </c>
      <c r="C104" s="40" t="str">
        <f>'Build Plan w Hours'!D24</f>
        <v>Burn grating for platforms, clean and band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084-25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70</v>
      </c>
    </row>
    <row r="110" spans="1:9" ht="21.75" customHeight="1" x14ac:dyDescent="0.25">
      <c r="A110" s="29" t="s">
        <v>13</v>
      </c>
      <c r="B110" s="31" t="str">
        <f>'Build Plan w Hours'!C25</f>
        <v>.292</v>
      </c>
      <c r="C110" s="40" t="str">
        <f>'Build Plan w Hours'!D25</f>
        <v>Build platform - weld out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084-25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70</v>
      </c>
    </row>
    <row r="116" spans="1:9" ht="21.75" customHeight="1" x14ac:dyDescent="0.25">
      <c r="A116" s="29" t="s">
        <v>13</v>
      </c>
      <c r="B116" s="31" t="str">
        <f>'Build Plan w Hours'!C26</f>
        <v>.295</v>
      </c>
      <c r="C116" s="40" t="str">
        <f>'Build Plan w Hours'!D26</f>
        <v>Mount handrail on platform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084-25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70</v>
      </c>
    </row>
    <row r="122" spans="1:9" ht="21.75" customHeight="1" x14ac:dyDescent="0.25">
      <c r="A122" s="29" t="s">
        <v>13</v>
      </c>
      <c r="B122" s="31" t="str">
        <f>'Build Plan w Hours'!C27</f>
        <v>.QC2</v>
      </c>
      <c r="C122" s="40" t="str">
        <f>'Build Plan w Hours'!D27</f>
        <v>QC Inspection - Components prior to shipping to Subcontractor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084-25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70</v>
      </c>
    </row>
    <row r="128" spans="1:9" ht="21.75" customHeight="1" x14ac:dyDescent="0.25">
      <c r="A128" s="29" t="s">
        <v>13</v>
      </c>
      <c r="B128" s="31" t="str">
        <f>'Build Plan w Hours'!C28</f>
        <v>.300</v>
      </c>
      <c r="C128" s="40" t="str">
        <f>'Build Plan w Hours'!D28</f>
        <v>Wrap top and bottom heads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084-25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70</v>
      </c>
    </row>
    <row r="134" spans="1:9" ht="21.75" customHeight="1" x14ac:dyDescent="0.25">
      <c r="A134" s="29" t="s">
        <v>13</v>
      </c>
      <c r="B134" s="31" t="str">
        <f>'Build Plan w Hours'!C29</f>
        <v>.QC3</v>
      </c>
      <c r="C134" s="40" t="str">
        <f>'Build Plan w Hours'!D29</f>
        <v>UT Shells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084-25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70</v>
      </c>
    </row>
    <row r="140" spans="1:9" ht="21.75" customHeight="1" x14ac:dyDescent="0.25">
      <c r="A140" s="29" t="s">
        <v>13</v>
      </c>
      <c r="B140" s="31" t="str">
        <f>'Build Plan w Hours'!C30</f>
        <v>.305</v>
      </c>
      <c r="C140" s="40" t="str">
        <f>'Build Plan w Hours'!D30</f>
        <v>Shells: bring in plate, square, trim and clean_x000D_
MAKE (2) SINGLE SHELLS, GRIND PREP EDGES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084-25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70</v>
      </c>
    </row>
    <row r="146" spans="1:9" ht="21.75" customHeight="1" x14ac:dyDescent="0.25">
      <c r="A146" s="29" t="s">
        <v>13</v>
      </c>
      <c r="B146" s="31" t="str">
        <f>'Build Plan w Hours'!C31</f>
        <v>.315</v>
      </c>
      <c r="C146" s="40" t="str">
        <f>'Build Plan w Hours'!D31</f>
        <v>Roll shells, tack and weld inside seams_x000D_
INCL WELD LONG SEAMS W/ COBOT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084-25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70</v>
      </c>
    </row>
    <row r="152" spans="1:9" ht="21.75" customHeight="1" x14ac:dyDescent="0.25">
      <c r="A152" s="29" t="s">
        <v>13</v>
      </c>
      <c r="B152" s="31" t="str">
        <f>'Build Plan w Hours'!C32</f>
        <v>.QC4</v>
      </c>
      <c r="C152" s="40" t="str">
        <f>'Build Plan w Hours'!D32</f>
        <v>QC Inspection - Top/Bottom/Cones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084-25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70</v>
      </c>
    </row>
    <row r="158" spans="1:9" ht="21.75" customHeight="1" x14ac:dyDescent="0.25">
      <c r="A158" s="29" t="s">
        <v>13</v>
      </c>
      <c r="B158" s="31" t="str">
        <f>'Build Plan w Hours'!C33</f>
        <v>.355</v>
      </c>
      <c r="C158" s="40" t="str">
        <f>'Build Plan w Hours'!D33</f>
        <v>Lay out top head, burn and clean holes_x000D_
CUT HOLES AT CNC TABLE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084-25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70</v>
      </c>
    </row>
    <row r="164" spans="1:9" ht="21.75" customHeight="1" x14ac:dyDescent="0.25">
      <c r="A164" s="29" t="s">
        <v>13</v>
      </c>
      <c r="B164" s="31" t="str">
        <f>'Build Plan w Hours'!C34</f>
        <v>.365</v>
      </c>
      <c r="C164" s="40" t="str">
        <f>'Build Plan w Hours'!D34</f>
        <v>Set  nozzles, lift lugs, etc. in top head - tack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084-25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70</v>
      </c>
    </row>
    <row r="170" spans="1:9" ht="21.75" customHeight="1" x14ac:dyDescent="0.25">
      <c r="A170" s="29" t="s">
        <v>13</v>
      </c>
      <c r="B170" s="31" t="str">
        <f>'Build Plan w Hours'!C35</f>
        <v>.366</v>
      </c>
      <c r="C170" s="40" t="str">
        <f>'Build Plan w Hours'!D35</f>
        <v>Weld out top head nozzles, etc. _x000D_
AND LIFT LUGS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084-25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70</v>
      </c>
    </row>
    <row r="176" spans="1:9" ht="21.75" customHeight="1" x14ac:dyDescent="0.25">
      <c r="A176" s="29" t="s">
        <v>13</v>
      </c>
      <c r="B176" s="31" t="str">
        <f>'Build Plan w Hours'!C36</f>
        <v>.450</v>
      </c>
      <c r="C176" s="40" t="str">
        <f>'Build Plan w Hours'!D36</f>
        <v>Build bottom head/cone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084-25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70</v>
      </c>
    </row>
    <row r="182" spans="1:9" ht="21.75" customHeight="1" x14ac:dyDescent="0.25">
      <c r="A182" s="29" t="s">
        <v>13</v>
      </c>
      <c r="B182" s="31" t="str">
        <f>'Build Plan w Hours'!C37</f>
        <v>.QC4</v>
      </c>
      <c r="C182" s="40" t="str">
        <f>'Build Plan w Hours'!D37</f>
        <v>QC Inspection - Top/Bottom/Cones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084-25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70</v>
      </c>
    </row>
    <row r="188" spans="1:9" ht="21.75" customHeight="1" x14ac:dyDescent="0.25">
      <c r="A188" s="29" t="s">
        <v>13</v>
      </c>
      <c r="B188" s="31" t="str">
        <f>'Build Plan w Hours'!C38</f>
        <v>.580</v>
      </c>
      <c r="C188" s="40" t="str">
        <f>'Build Plan w Hours'!D38</f>
        <v>Fabricate internal coil supports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084-25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70</v>
      </c>
    </row>
    <row r="194" spans="1:9" ht="21.75" customHeight="1" x14ac:dyDescent="0.25">
      <c r="A194" s="29" t="s">
        <v>13</v>
      </c>
      <c r="B194" s="31" t="str">
        <f>'Build Plan w Hours'!C39</f>
        <v>.590</v>
      </c>
      <c r="C194" s="40" t="str">
        <f>'Build Plan w Hours'!D39</f>
        <v>Fabricate internal coil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084-25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70</v>
      </c>
    </row>
    <row r="200" spans="1:9" ht="21.75" customHeight="1" x14ac:dyDescent="0.25">
      <c r="A200" s="29" t="s">
        <v>13</v>
      </c>
      <c r="B200" s="31" t="str">
        <f>'Build Plan w Hours'!C40</f>
        <v>.OI1</v>
      </c>
      <c r="C200" s="40" t="str">
        <f>'Build Plan w Hours'!D40</f>
        <v>ASME Hold Point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084-25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70</v>
      </c>
    </row>
    <row r="206" spans="1:9" ht="21.75" customHeight="1" x14ac:dyDescent="0.25">
      <c r="A206" s="29" t="s">
        <v>13</v>
      </c>
      <c r="B206" s="31" t="str">
        <f>'Build Plan w Hours'!C41</f>
        <v>.600</v>
      </c>
      <c r="C206" s="40" t="str">
        <f>'Build Plan w Hours'!D41</f>
        <v>Fit bottom head to shell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084-25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70</v>
      </c>
    </row>
    <row r="212" spans="1:9" ht="21.75" customHeight="1" x14ac:dyDescent="0.25">
      <c r="A212" s="29" t="s">
        <v>13</v>
      </c>
      <c r="B212" s="31" t="str">
        <f>'Build Plan w Hours'!C42</f>
        <v>.605</v>
      </c>
      <c r="C212" s="40" t="str">
        <f>'Build Plan w Hours'!D42</f>
        <v>Tack shell courses together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084-25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70</v>
      </c>
    </row>
    <row r="218" spans="1:9" ht="21.75" customHeight="1" x14ac:dyDescent="0.25">
      <c r="A218" s="29" t="s">
        <v>13</v>
      </c>
      <c r="B218" s="31" t="str">
        <f>'Build Plan w Hours'!C43</f>
        <v>.610</v>
      </c>
      <c r="C218" s="40" t="str">
        <f>'Build Plan w Hours'!D43</f>
        <v>Weld inside round seams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084-25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70</v>
      </c>
    </row>
    <row r="224" spans="1:9" ht="21.75" customHeight="1" x14ac:dyDescent="0.25">
      <c r="A224" s="29" t="s">
        <v>13</v>
      </c>
      <c r="B224" s="31" t="str">
        <f>'Build Plan w Hours'!C44</f>
        <v>.620</v>
      </c>
      <c r="C224" s="40" t="str">
        <f>'Build Plan w Hours'!D44</f>
        <v>Lay out shell, burn and clean holes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084-25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70</v>
      </c>
    </row>
    <row r="230" spans="1:9" ht="21.75" customHeight="1" x14ac:dyDescent="0.25">
      <c r="A230" s="29" t="s">
        <v>13</v>
      </c>
      <c r="B230" s="31" t="str">
        <f>'Build Plan w Hours'!C45</f>
        <v>.635</v>
      </c>
      <c r="C230" s="40" t="str">
        <f>'Build Plan w Hours'!D45</f>
        <v>Install internal coil and supports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084-25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70</v>
      </c>
    </row>
    <row r="236" spans="1:9" ht="21.75" customHeight="1" x14ac:dyDescent="0.25">
      <c r="A236" s="29" t="s">
        <v>13</v>
      </c>
      <c r="B236" s="31" t="str">
        <f>'Build Plan w Hours'!C46</f>
        <v>.QC5</v>
      </c>
      <c r="C236" s="40" t="str">
        <f>'Build Plan w Hours'!D46</f>
        <v>QC Inspection - Internal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084-25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70</v>
      </c>
    </row>
    <row r="242" spans="1:9" ht="21.75" customHeight="1" x14ac:dyDescent="0.25">
      <c r="A242" s="29" t="s">
        <v>13</v>
      </c>
      <c r="B242" s="31" t="str">
        <f>'Build Plan w Hours'!C47</f>
        <v>.640</v>
      </c>
      <c r="C242" s="40" t="str">
        <f>'Build Plan w Hours'!D47</f>
        <v>Fit top head to shell - tack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084-25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70</v>
      </c>
    </row>
    <row r="248" spans="1:9" ht="21.75" customHeight="1" x14ac:dyDescent="0.25">
      <c r="A248" s="29" t="s">
        <v>13</v>
      </c>
      <c r="B248" s="31" t="str">
        <f>'Build Plan w Hours'!C48</f>
        <v>.641</v>
      </c>
      <c r="C248" s="40" t="str">
        <f>'Build Plan w Hours'!D48</f>
        <v>Weld top head to shell - inside_x000D_
INCL HOLE WATCH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084-25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70</v>
      </c>
    </row>
    <row r="254" spans="1:9" ht="21.75" customHeight="1" x14ac:dyDescent="0.25">
      <c r="A254" s="29" t="s">
        <v>13</v>
      </c>
      <c r="B254" s="31" t="str">
        <f>'Build Plan w Hours'!C49</f>
        <v>.645</v>
      </c>
      <c r="C254" s="40" t="str">
        <f>'Build Plan w Hours'!D49</f>
        <v>Weld all outside seams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084-25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70</v>
      </c>
    </row>
    <row r="260" spans="1:9" ht="21.75" customHeight="1" x14ac:dyDescent="0.25">
      <c r="A260" s="29" t="s">
        <v>13</v>
      </c>
      <c r="B260" s="31" t="str">
        <f>'Build Plan w Hours'!C50</f>
        <v>.800</v>
      </c>
      <c r="C260" s="40" t="str">
        <f>'Build Plan w Hours'!D50</f>
        <v>Move tank to detail rolls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084-25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70</v>
      </c>
    </row>
    <row r="266" spans="1:9" ht="21.75" customHeight="1" x14ac:dyDescent="0.25">
      <c r="A266" s="29" t="s">
        <v>13</v>
      </c>
      <c r="B266" s="31" t="str">
        <f>'Build Plan w Hours'!C51</f>
        <v>.715</v>
      </c>
      <c r="C266" s="40" t="str">
        <f>'Build Plan w Hours'!D51</f>
        <v>Install insulation/vacuum rings - tack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084-25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70</v>
      </c>
    </row>
    <row r="272" spans="1:9" ht="21.75" customHeight="1" x14ac:dyDescent="0.25">
      <c r="A272" s="29" t="s">
        <v>13</v>
      </c>
      <c r="B272" s="31" t="str">
        <f>'Build Plan w Hours'!C52</f>
        <v>.720</v>
      </c>
      <c r="C272" s="40" t="str">
        <f>'Build Plan w Hours'!D52</f>
        <v>Install supports - legs, lugs, anchors, saddles, skirt_x000D_
AND WELD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084-25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70</v>
      </c>
    </row>
    <row r="278" spans="1:9" ht="21.75" customHeight="1" x14ac:dyDescent="0.25">
      <c r="A278" s="29" t="s">
        <v>13</v>
      </c>
      <c r="B278" s="31" t="str">
        <f>'Build Plan w Hours'!C53</f>
        <v>.725</v>
      </c>
      <c r="C278" s="40" t="str">
        <f>'Build Plan w Hours'!D53</f>
        <v>Set nozzles in shell - tack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084-25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70</v>
      </c>
    </row>
    <row r="284" spans="1:9" ht="21.75" customHeight="1" x14ac:dyDescent="0.25">
      <c r="A284" s="29" t="s">
        <v>13</v>
      </c>
      <c r="B284" s="31" t="str">
        <f>'Build Plan w Hours'!C54</f>
        <v>.726</v>
      </c>
      <c r="C284" s="40" t="str">
        <f>'Build Plan w Hours'!D54</f>
        <v>Weld shell nozzles, manways, etc.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084-25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70</v>
      </c>
    </row>
    <row r="290" spans="1:9" ht="21.75" customHeight="1" x14ac:dyDescent="0.25">
      <c r="A290" s="29" t="s">
        <v>13</v>
      </c>
      <c r="B290" s="31" t="str">
        <f>'Build Plan w Hours'!C55</f>
        <v>.750</v>
      </c>
      <c r="C290" s="40" t="str">
        <f>'Build Plan w Hours'!D55</f>
        <v>Fit handrail - install and weld clips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084-25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70</v>
      </c>
    </row>
    <row r="296" spans="1:9" ht="21.75" customHeight="1" x14ac:dyDescent="0.25">
      <c r="A296" s="29" t="s">
        <v>13</v>
      </c>
      <c r="B296" s="31" t="str">
        <f>'Build Plan w Hours'!C56</f>
        <v>.755</v>
      </c>
      <c r="C296" s="40" t="str">
        <f>'Build Plan w Hours'!D56</f>
        <v>Fit ladder - install and weld clips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084-25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70</v>
      </c>
    </row>
    <row r="302" spans="1:9" ht="21.75" customHeight="1" x14ac:dyDescent="0.25">
      <c r="A302" s="29" t="s">
        <v>13</v>
      </c>
      <c r="B302" s="31" t="str">
        <f>'Build Plan w Hours'!C57</f>
        <v>.760</v>
      </c>
      <c r="C302" s="40" t="str">
        <f>'Build Plan w Hours'!D57</f>
        <v>Fit platform - install and weld clips, bracing, etc.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084-25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70</v>
      </c>
    </row>
    <row r="308" spans="1:9" ht="21.75" customHeight="1" x14ac:dyDescent="0.25">
      <c r="A308" s="29" t="s">
        <v>13</v>
      </c>
      <c r="B308" s="31" t="str">
        <f>'Build Plan w Hours'!C58</f>
        <v>.QC51</v>
      </c>
      <c r="C308" s="40" t="str">
        <f>'Build Plan w Hours'!D58</f>
        <v>UT Components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084-25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70</v>
      </c>
    </row>
    <row r="314" spans="1:9" ht="21.75" customHeight="1" x14ac:dyDescent="0.25">
      <c r="A314" s="29" t="s">
        <v>13</v>
      </c>
      <c r="B314" s="31" t="str">
        <f>'Build Plan w Hours'!C59</f>
        <v>.765</v>
      </c>
      <c r="C314" s="40" t="str">
        <f>'Build Plan w Hours'!D59</f>
        <v>Install name tag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084-25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70</v>
      </c>
    </row>
    <row r="320" spans="1:9" ht="21.75" customHeight="1" x14ac:dyDescent="0.25">
      <c r="A320" s="29" t="s">
        <v>13</v>
      </c>
      <c r="B320" s="31" t="str">
        <f>'Build Plan w Hours'!C60</f>
        <v>.770</v>
      </c>
      <c r="C320" s="40" t="str">
        <f>'Build Plan w Hours'!D60</f>
        <v>Inspect tank, make repairs, get QC inspector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084-25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70</v>
      </c>
    </row>
    <row r="326" spans="1:9" ht="21.75" customHeight="1" x14ac:dyDescent="0.25">
      <c r="A326" s="29" t="s">
        <v>13</v>
      </c>
      <c r="B326" s="31" t="str">
        <f>'Build Plan w Hours'!C61</f>
        <v>.QC6</v>
      </c>
      <c r="C326" s="40" t="str">
        <f>'Build Plan w Hours'!D61</f>
        <v>QC Inspection - Fabrication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084-25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70</v>
      </c>
    </row>
    <row r="332" spans="1:9" ht="21.75" customHeight="1" x14ac:dyDescent="0.25">
      <c r="A332" s="29" t="s">
        <v>13</v>
      </c>
      <c r="B332" s="31" t="str">
        <f>'Build Plan w Hours'!C62</f>
        <v>.OI4</v>
      </c>
      <c r="C332" s="40" t="str">
        <f>'Build Plan w Hours'!D62</f>
        <v>Customer Inspection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084-25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70</v>
      </c>
    </row>
    <row r="338" spans="1:9" ht="21.75" customHeight="1" x14ac:dyDescent="0.25">
      <c r="A338" s="29" t="s">
        <v>13</v>
      </c>
      <c r="B338" s="31" t="str">
        <f>'Build Plan w Hours'!C63</f>
        <v>.OI2</v>
      </c>
      <c r="C338" s="40" t="str">
        <f>'Build Plan w Hours'!D63</f>
        <v>ASME Inspection Internal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084-25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70</v>
      </c>
    </row>
    <row r="344" spans="1:9" ht="21.75" customHeight="1" x14ac:dyDescent="0.25">
      <c r="A344" s="29" t="s">
        <v>13</v>
      </c>
      <c r="B344" s="31" t="str">
        <f>'Build Plan w Hours'!C64</f>
        <v>.801</v>
      </c>
      <c r="C344" s="40" t="str">
        <f>'Build Plan w Hours'!D64</f>
        <v>Move to shop test area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084-25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70</v>
      </c>
    </row>
    <row r="350" spans="1:9" ht="21.75" customHeight="1" x14ac:dyDescent="0.25">
      <c r="A350" s="29" t="s">
        <v>13</v>
      </c>
      <c r="B350" s="31" t="str">
        <f>'Build Plan w Hours'!C65</f>
        <v>.910</v>
      </c>
      <c r="C350" s="40" t="str">
        <f>'Build Plan w Hours'!D65</f>
        <v>Test tank_x000D_
TEST VESSEL AND COIL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084-25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70</v>
      </c>
    </row>
    <row r="356" spans="1:9" ht="21.75" customHeight="1" x14ac:dyDescent="0.25">
      <c r="A356" s="29" t="s">
        <v>13</v>
      </c>
      <c r="B356" s="31" t="str">
        <f>'Build Plan w Hours'!C66</f>
        <v>.QC7</v>
      </c>
      <c r="C356" s="40" t="str">
        <f>'Build Plan w Hours'!D66</f>
        <v>QC Inspection - Test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084-25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70</v>
      </c>
    </row>
    <row r="362" spans="1:9" ht="21.75" customHeight="1" x14ac:dyDescent="0.25">
      <c r="A362" s="29" t="s">
        <v>13</v>
      </c>
      <c r="B362" s="31" t="str">
        <f>'Build Plan w Hours'!C67</f>
        <v>.OI3</v>
      </c>
      <c r="C362" s="40" t="str">
        <f>'Build Plan w Hours'!D67</f>
        <v>ASME Inspection Test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084-25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70</v>
      </c>
    </row>
    <row r="368" spans="1:9" ht="21.75" customHeight="1" x14ac:dyDescent="0.25">
      <c r="A368" s="29" t="s">
        <v>13</v>
      </c>
      <c r="B368" s="31" t="str">
        <f>'Build Plan w Hours'!C68</f>
        <v>.QC8</v>
      </c>
      <c r="C368" s="40" t="str">
        <f>'Build Plan w Hours'!D68</f>
        <v>QC Inspection - Clean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084-25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70</v>
      </c>
    </row>
    <row r="374" spans="1:9" ht="21.75" customHeight="1" x14ac:dyDescent="0.25">
      <c r="A374" s="29" t="s">
        <v>13</v>
      </c>
      <c r="B374" s="31" t="str">
        <f>'Build Plan w Hours'!C69</f>
        <v>.802</v>
      </c>
      <c r="C374" s="40" t="str">
        <f>'Build Plan w Hours'!D69</f>
        <v>Move to paint area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084-25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70</v>
      </c>
    </row>
    <row r="380" spans="1:9" ht="21.75" customHeight="1" x14ac:dyDescent="0.25">
      <c r="A380" s="29" t="s">
        <v>13</v>
      </c>
      <c r="B380" s="31" t="str">
        <f>'Build Plan w Hours'!C70</f>
        <v>.QC9</v>
      </c>
      <c r="C380" s="40" t="str">
        <f>'Build Plan w Hours'!D70</f>
        <v>QC Inspection - Sandblast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084-25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70</v>
      </c>
    </row>
    <row r="386" spans="1:9" ht="21.75" customHeight="1" x14ac:dyDescent="0.25">
      <c r="A386" s="29" t="s">
        <v>13</v>
      </c>
      <c r="B386" s="31" t="str">
        <f>'Build Plan w Hours'!C71</f>
        <v>.QC90</v>
      </c>
      <c r="C386" s="40" t="str">
        <f>'Build Plan w Hours'!D71</f>
        <v>QC Inspection - Paint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084-25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70</v>
      </c>
    </row>
    <row r="392" spans="1:9" ht="21" customHeight="1" x14ac:dyDescent="0.25">
      <c r="A392" s="29" t="s">
        <v>13</v>
      </c>
      <c r="B392" s="31" t="str">
        <f>'Build Plan w Hours'!C72</f>
        <v>.940</v>
      </c>
      <c r="C392" s="40" t="str">
        <f>'Build Plan w Hours'!D72</f>
        <v>Prepare tank for shipment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084-25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70</v>
      </c>
    </row>
    <row r="398" spans="1:9" ht="21" customHeight="1" x14ac:dyDescent="0.25">
      <c r="A398" s="29" t="s">
        <v>13</v>
      </c>
      <c r="B398" s="31" t="str">
        <f>'Build Plan w Hours'!C73</f>
        <v>.950</v>
      </c>
      <c r="C398" s="40" t="str">
        <f>'Build Plan w Hours'!D73</f>
        <v>Check bill of materials and pack loose parts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084-25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70</v>
      </c>
    </row>
    <row r="404" spans="1:9" ht="21" customHeight="1" x14ac:dyDescent="0.25">
      <c r="A404" s="29" t="s">
        <v>13</v>
      </c>
      <c r="B404" s="31" t="str">
        <f>'Build Plan w Hours'!C74</f>
        <v>.QC95</v>
      </c>
      <c r="C404" s="40" t="str">
        <f>'Build Plan w Hours'!D74</f>
        <v>QC Inspection - Final &amp; Loose Items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084-25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70</v>
      </c>
    </row>
    <row r="410" spans="1:9" ht="21" customHeight="1" x14ac:dyDescent="0.25">
      <c r="A410" s="29" t="s">
        <v>13</v>
      </c>
      <c r="B410" s="31" t="str">
        <f>'Build Plan w Hours'!C75</f>
        <v>.960</v>
      </c>
      <c r="C410" s="40" t="str">
        <f>'Build Plan w Hours'!D75</f>
        <v>Load on truck_x000D_
VESSEL AND THEN SHIP LOOSE LOAD SEPARATE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084-25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70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084-25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70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084-25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70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084-25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70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084-25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70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084-25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70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084-25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70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084-25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70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084-25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70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084-25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70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084-25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70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084-25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70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084-25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70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2025-11-24T20:32:24Z</cp:lastPrinted>
  <dcterms:created xsi:type="dcterms:W3CDTF">2016-06-28T20:53:17Z</dcterms:created>
  <dcterms:modified xsi:type="dcterms:W3CDTF">2025-11-24T21:10:03Z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