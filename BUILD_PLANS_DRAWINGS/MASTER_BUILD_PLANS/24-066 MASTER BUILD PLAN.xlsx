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66-24 - River to Tap - Bulk Storage Tank #2\"/>
    </mc:Choice>
  </mc:AlternateContent>
  <xr:revisionPtr revIDLastSave="0" documentId="8_{A1F2B601-952B-4E18-ADAA-AC77C9A7B29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<sst xmlns="http://schemas.openxmlformats.org/spreadsheetml/2006/main" count="1878" uniqueCount="274">
  <si>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</si>
  <si>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</si>
  <si>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</si>
  <si>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</si>
  <si>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</si>
  <si>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</si>
  <si>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</si>
  <si>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</si>
  <si>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</si>
  <si>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</si>
  <si>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</si>
  <si>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</si>
  <si>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</si>
  <si>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</si>
  <si>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</si>
  <si>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</si>
  <si>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</si>
  <si>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</si>
  <si>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</si>
  <si>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</si>
  <si>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</si>
  <si>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</si>
  <si>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</si>
  <si>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</si>
  <si>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</si>
  <si>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</si>
  <si>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</si>
  <si>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</si>
  <si>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</si>
  <si>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</si>
  <si>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</si>
  <si>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</si>
  <si>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</si>
  <si>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</si>
  <si>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</si>
  <si>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</si>
  <si>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</si>
  <si>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</si>
  <si>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</si>
  <si>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</si>
  <si>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</si>
  <si>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</si>
  <si>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</si>
  <si>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</si>
  <si>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</si>
  <si>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</si>
  <si>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</si>
  <si>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</si>
  <si>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</si>
  <si>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</si>
  <si>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</si>
  <si>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</si>
  <si>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</si>
  <si>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</si>
  <si>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</si>
  <si>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</si>
  <si>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</si>
  <si>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</si>
  <si>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</si>
  <si>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</si>
  <si>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</si>
  <si>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</si>
  <si>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</si>
  <si>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</si>
  <si>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</si>
  <si>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</si>
  <si>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</si>
  <si>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</si>
  <si>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</si>
  <si>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</si>
  <si>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</si>
  <si>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</si>
  <si>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</si>
  <si>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</si>
  <si>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</si>
  <si>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</si>
  <si>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</si>
  <si>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</si>
  <si>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</si>
  <si>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</si>
  <si>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</si>
  <si>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</si>
  <si>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</si>
  <si>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</si>
  <si>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</si>
  <si>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</si>
  <si>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</si>
  <si>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</si>
  <si>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</si>
  <si>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</si>
  <si>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</si>
  <si>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</si>
  <si>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</si>
  <si>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</si>
  <si>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</si>
  <si>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</si>
  <si>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</si>
  <si>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</si>
  <si>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</si>
  <si>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</si>
  <si>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</si>
  <si>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</si>
  <si>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</si>
  <si>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</si>
  <si>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</si>
  <si>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</si>
  <si>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</si>
  <si>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</si>
  <si>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</si>
  <si>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</si>
  <si>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</si>
  <si>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</si>
  <si>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</si>
  <si>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</si>
  <si>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</si>
  <si>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</si>
  <si>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</si>
  <si>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</si>
  <si>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</si>
  <si>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</si>
  <si>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</si>
  <si>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</si>
  <si>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</si>
  <si>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</si>
  <si>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</si>
  <si>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</si>
  <si>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</si>
  <si>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</si>
  <si>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</si>
  <si>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</si>
  <si>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</si>
  <si>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</si>
  <si>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</si>
  <si>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</si>
  <si>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</si>
  <si>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</si>
  <si>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</si>
  <si>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</si>
  <si>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</si>
  <si>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</si>
  <si>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</si>
  <si>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</si>
  <si>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</si>
  <si>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</si>
  <si>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</si>
  <si>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</si>
  <si>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</si>
  <si>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</si>
  <si>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</si>
  <si>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</si>
  <si>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</si>
  <si>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</si>
  <si>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</si>
  <si>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</si>
  <si>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</si>
  <si>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</si>
  <si>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</si>
  <si>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</si>
  <si>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Prepare tank for shipment</t>
  </si>
  <si>
    <t>Build Repads for Nozzles</t>
  </si>
  <si>
    <t>.107</t>
  </si>
  <si>
    <t>Build Repads for Nozzles, drill and tap holes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</si>
  <si>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</si>
  <si>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</si>
  <si>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</si>
  <si>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</si>
  <si>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</si>
  <si>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</si>
  <si>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</si>
  <si>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</si>
  <si>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</si>
  <si>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</si>
  <si>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</si>
  <si>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</si>
  <si>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</si>
  <si>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</si>
  <si>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</si>
  <si>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</si>
  <si>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Fit top head to shell - tack_x000D_
AND WELD TO RIM ANGLE</t>
  </si>
  <si>
    <t>Install lift lugs on shell_x000D_
INCL REPADS</t>
  </si>
  <si>
    <t>Install supports - legs, lugs, anchors, saddles, skirt_x000D_
AND WELD COMPLETE</t>
  </si>
  <si>
    <t>LIME BULK STORAGE TANK #2</t>
  </si>
  <si>
    <t>G0080008.46</t>
  </si>
  <si>
    <t>8961.4</t>
  </si>
  <si>
    <t>1</t>
  </si>
  <si>
    <t>Build Hatch/Door</t>
  </si>
  <si>
    <t>.140</t>
  </si>
  <si>
    <t>Build hatch/door</t>
  </si>
  <si>
    <t>Cut Parts on Burn Table</t>
  </si>
  <si>
    <t>Clean &amp; Prep Parts</t>
  </si>
  <si>
    <t>.156</t>
  </si>
  <si>
    <t>Build supports: legs, lugs, saddles_x000D_
SET UP (4) ANCHOR CHAIRS; TACK ONLY</t>
  </si>
  <si>
    <t>Cut, Make Baffle Supports</t>
  </si>
  <si>
    <t>.225</t>
  </si>
  <si>
    <t>Cut and make baffle supports_x000D_
FORM (15) BAFFLE SUPPORTS</t>
  </si>
  <si>
    <t>Build Baffles-Weld</t>
  </si>
  <si>
    <t>.230</t>
  </si>
  <si>
    <t>Build baffles and weld</t>
  </si>
  <si>
    <t>Cut Parts-Mixer Bridge</t>
  </si>
  <si>
    <t>.245</t>
  </si>
  <si>
    <t>Cut parts for mixer bridge_x000D_
(2) CHANNELS &amp; (6) MITERED BRACES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</si>
  <si>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</si>
  <si>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</si>
  <si>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</si>
  <si>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</si>
  <si>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</si>
  <si>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</si>
  <si>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</si>
  <si>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</si>
  <si>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</si>
  <si>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</si>
  <si>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</si>
  <si>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</si>
  <si>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Roll Handrail Pipe</t>
  </si>
  <si>
    <t>.275</t>
  </si>
  <si>
    <t>Roll handrail pipe</t>
  </si>
  <si>
    <t>Roll Handrail Toe Plate</t>
  </si>
  <si>
    <t>.280</t>
  </si>
  <si>
    <t>Roll handrail toe plate</t>
  </si>
  <si>
    <t>Build Handrail-Weld</t>
  </si>
  <si>
    <t>.282</t>
  </si>
  <si>
    <t>Build handrail - weld out</t>
  </si>
  <si>
    <t>QC Inspection - Pre Sub C</t>
  </si>
  <si>
    <t>.QC2</t>
  </si>
  <si>
    <t>QC Inspection - Components prior to shipping to Subcontractor</t>
  </si>
  <si>
    <t>Shells: bring in plate, square, trim and clean</t>
  </si>
  <si>
    <t>Roll shells, tack and weld inside seams</t>
  </si>
  <si>
    <t>Lay out top head, burn and clean holes_x000D_
CLEAN UP &amp; PREP HOLES CUT ON BURN TABLE</t>
  </si>
  <si>
    <t>Install and weld out repads - top head</t>
  </si>
  <si>
    <t>Build Mixer Bridge</t>
  </si>
  <si>
    <t>.380</t>
  </si>
  <si>
    <t>Build mixer bridge</t>
  </si>
  <si>
    <t>Build bottom head/cone</t>
  </si>
  <si>
    <t>L/O Bottom, B&amp;C Holes</t>
  </si>
  <si>
    <t>.455</t>
  </si>
  <si>
    <t>Lay out bottom head, burn and clean holes</t>
  </si>
  <si>
    <t>Fit bottom head to shell_x000D_
AND WELD INSIDE &amp; OUTSIDE</t>
  </si>
  <si>
    <t>Tack shell courses together</t>
  </si>
  <si>
    <t>Weld inside round seams</t>
  </si>
  <si>
    <t>Lay out shell, burn and clean holes_x000D_
CLEAN UP &amp; PREP HOLES CUT ON BURN TABLE</t>
  </si>
  <si>
    <t>Install Baffles-Weld</t>
  </si>
  <si>
    <t>.625</t>
  </si>
  <si>
    <t>Install baffles and weld</t>
  </si>
  <si>
    <t>Weld all Outside Seams</t>
  </si>
  <si>
    <t>.645</t>
  </si>
  <si>
    <t>Weld all outside seams</t>
  </si>
  <si>
    <t>Set nozzles in shell - tack</t>
  </si>
  <si>
    <t>Weld shell nozzles, manways, etc._x000D_
INCL HOLE WATCH</t>
  </si>
  <si>
    <t>Add Repads-Weld</t>
  </si>
  <si>
    <t>.730</t>
  </si>
  <si>
    <t>Add repads and weld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</si>
  <si>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</si>
  <si>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</si>
  <si>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</si>
  <si>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</si>
  <si>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</si>
  <si>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</si>
  <si>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</si>
  <si>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</si>
  <si>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</si>
  <si>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</si>
  <si>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</si>
  <si>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</si>
  <si>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</si>
  <si>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Check BOM, Pack Parts</t>
  </si>
  <si>
    <t>.950</t>
  </si>
  <si>
    <t>Check bill of materials and pack loose parts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</si>
  <si>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</si>
  <si>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</si>
  <si>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</si>
  <si>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</si>
  <si>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</si>
  <si>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</si>
  <si>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066-24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</si>
</sst>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8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LIME BULK STORAGE TANK 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</v>
      </c>
      <c r="E17" s="13">
        <f>'Sheet2-PASTE HERE!'!F27</f>
        <v>4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30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30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SET UP (4) ANCHOR CHAIRS; TACK ONLY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FORM (15) BAFFLE SUPPORTS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12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(2) CHANNELS &amp; (6) MITERED BRACES</v>
      </c>
      <c r="E25" s="13">
        <f>'Sheet2-PASTE HERE!'!F35</f>
        <v>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3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22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</v>
      </c>
      <c r="E29" s="13">
        <f>'Sheet2-PASTE HERE!'!F39</f>
        <v>6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.275</v>
      </c>
      <c r="D30" s="22" t="str">
        <f>'Sheet2-PASTE HERE!'!K40</f>
        <v>Roll handrail pipe</v>
      </c>
      <c r="E30" s="13">
        <f>'Sheet2-PASTE HERE!'!F40</f>
        <v>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.280</v>
      </c>
      <c r="D31" s="22" t="str">
        <f>'Sheet2-PASTE HERE!'!K41</f>
        <v>Roll handrail toe plate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.282</v>
      </c>
      <c r="D32" s="22" t="str">
        <f>'Sheet2-PASTE HERE!'!K42</f>
        <v>Build handrail - weld out</v>
      </c>
      <c r="E32" s="13">
        <f>'Sheet2-PASTE HERE!'!F42</f>
        <v>28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</v>
      </c>
      <c r="E35" s="13">
        <f>'Sheet2-PASTE HERE!'!F45</f>
        <v>6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</v>
      </c>
      <c r="E36" s="13">
        <f>'Sheet2-PASTE HERE!'!F46</f>
        <v>12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</v>
      </c>
      <c r="E37" s="13">
        <f>'Sheet2-PASTE HERE!'!F47</f>
        <v>8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holes_x000D_
CLEAN UP &amp; PREP HOLES CUT ON BURN TABLE</v>
      </c>
      <c r="E39" s="13">
        <f>'Sheet2-PASTE HERE!'!F49</f>
        <v>3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</v>
      </c>
      <c r="E40" s="13">
        <f>'Sheet2-PASTE HERE!'!F50</f>
        <v>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</v>
      </c>
      <c r="E41" s="13">
        <f>'Sheet2-PASTE HERE!'!F51</f>
        <v>10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</v>
      </c>
      <c r="E42" s="13">
        <f>'Sheet2-PASTE HERE!'!F52</f>
        <v>7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.380</v>
      </c>
      <c r="D43" s="22" t="str">
        <f>'Sheet2-PASTE HERE!'!K53</f>
        <v>Build mixer bridge</v>
      </c>
      <c r="E43" s="13">
        <f>'Sheet2-PASTE HERE!'!F53</f>
        <v>15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8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</v>
      </c>
      <c r="E47" s="13">
        <f>'Sheet2-PASTE HERE!'!F57</f>
        <v>10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8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6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8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CLEAN UP &amp; PREP HOLES CUT ON BURN TABLE</v>
      </c>
      <c r="E52" s="13">
        <f>'Sheet2-PASTE HERE!'!F62</f>
        <v>3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.625</v>
      </c>
      <c r="D53" s="22" t="str">
        <f>'Sheet2-PASTE HERE!'!K63</f>
        <v>Install baffles and weld</v>
      </c>
      <c r="E53" s="13">
        <f>'Sheet2-PASTE HERE!'!F63</f>
        <v>8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 TO RIM ANGLE</v>
      </c>
      <c r="E55" s="13">
        <f>'Sheet2-PASTE HERE!'!F65</f>
        <v>8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18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INCL REPADS</v>
      </c>
      <c r="E58" s="13">
        <f>'Sheet2-PASTE HERE!'!F68</f>
        <v>3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AND WELD COMPLETE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.725</v>
      </c>
      <c r="D60" s="22" t="str">
        <f>'Sheet2-PASTE HERE!'!K70</f>
        <v>Set nozzles in shell - tack</v>
      </c>
      <c r="E60" s="13">
        <f>'Sheet2-PASTE HERE!'!F70</f>
        <v>6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.726</v>
      </c>
      <c r="D61" s="22" t="str">
        <f>'Sheet2-PASTE HERE!'!K71</f>
        <v>Weld shell nozzles, manways, etc._x000D_
INCL HOLE WATCH</v>
      </c>
      <c r="E61" s="13">
        <f>'Sheet2-PASTE HERE!'!F71</f>
        <v>18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.730</v>
      </c>
      <c r="D62" s="22" t="str">
        <f>'Sheet2-PASTE HERE!'!K72</f>
        <v>Add repads and weld</v>
      </c>
      <c r="E62" s="13">
        <f>'Sheet2-PASTE HERE!'!F72</f>
        <v>3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6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8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273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LIME BULK STORAGE TANK 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10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.120</v>
      </c>
      <c r="D13" s="22" t="str">
        <f>'Sheet2-PASTE HERE!'!K23</f>
        <v>Burn manway neck (CHECK BEFORE BURNING) - Clean and Bevel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.125</v>
      </c>
      <c r="D14" s="22" t="str">
        <f>'Sheet2-PASTE HERE!'!K24</f>
        <v>Roll manway neck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.130</v>
      </c>
      <c r="D15" s="22" t="str">
        <f>'Sheet2-PASTE HERE!'!K25</f>
        <v>Set up and weld manway flange and neck seam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.135</v>
      </c>
      <c r="D16" s="22" t="str">
        <f>'Sheet2-PASTE HERE!'!K26</f>
        <v>Build davit arm assembly and cover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.140</v>
      </c>
      <c r="D17" s="22" t="str">
        <f>'Sheet2-PASTE HERE!'!K27</f>
        <v>Build hatch/door</v>
      </c>
      <c r="E17" s="13">
        <f>'Sheet2-PASTE HERE!'!F27</f>
        <v>4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.155</v>
      </c>
      <c r="D18" s="22" t="str">
        <f>'Sheet2-PASTE HERE!'!K28</f>
        <v>Burn and clean parts:  lugs, supports, repads, base ring, etc. (CHECK!)</v>
      </c>
      <c r="E18" s="13">
        <f>'Sheet2-PASTE HERE!'!F28</f>
        <v>30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.156</v>
      </c>
      <c r="D19" s="22" t="str">
        <f>'Sheet2-PASTE HERE!'!K29</f>
        <v/>
      </c>
      <c r="E19" s="13">
        <f>'Sheet2-PASTE HERE!'!F29</f>
        <v>30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.165</v>
      </c>
      <c r="D20" s="22" t="str">
        <f>'Sheet2-PASTE HERE!'!K30</f>
        <v>Build supports: legs, lugs, saddles_x000D_
SET UP (4) ANCHOR CHAIRS; TACK ONLY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.200</v>
      </c>
      <c r="D21" s="22" t="str">
        <f>'Sheet2-PASTE HERE!'!K31</f>
        <v>Make lift lugs, ground lugs, etc.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.205</v>
      </c>
      <c r="D22" s="22" t="str">
        <f>'Sheet2-PASTE HERE!'!K32</f>
        <v>Roll rim angle</v>
      </c>
      <c r="E22" s="13">
        <f>'Sheet2-PASTE HERE!'!F32</f>
        <v>3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.225</v>
      </c>
      <c r="D23" s="22" t="str">
        <f>'Sheet2-PASTE HERE!'!K33</f>
        <v>Cut and make baffle supports_x000D_
FORM (15) BAFFLE SUPPORTS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.230</v>
      </c>
      <c r="D24" s="22" t="str">
        <f>'Sheet2-PASTE HERE!'!K34</f>
        <v>Build baffles and weld</v>
      </c>
      <c r="E24" s="13">
        <f>'Sheet2-PASTE HERE!'!F34</f>
        <v>12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.245</v>
      </c>
      <c r="D25" s="22" t="str">
        <f>'Sheet2-PASTE HERE!'!K35</f>
        <v>Cut parts for mixer bridge_x000D_
(2) CHANNELS &amp; (6) MITERED BRACES</v>
      </c>
      <c r="E25" s="13">
        <f>'Sheet2-PASTE HERE!'!F35</f>
        <v>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.262</v>
      </c>
      <c r="D26" s="22" t="str">
        <f>'Sheet2-PASTE HERE!'!K36</f>
        <v>Cut/make parts for ladder: rungs, rails, etc.</v>
      </c>
      <c r="E26" s="13">
        <f>'Sheet2-PASTE HERE!'!F36</f>
        <v>3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.265</v>
      </c>
      <c r="D27" s="22" t="str">
        <f>'Sheet2-PASTE HERE!'!K37</f>
        <v>Form and roll ladder hoops</v>
      </c>
      <c r="E27" s="13">
        <f>'Sheet2-PASTE HERE!'!F37</f>
        <v>3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.270</v>
      </c>
      <c r="D28" s="22" t="str">
        <f>'Sheet2-PASTE HERE!'!K38</f>
        <v>Build ladder - weld out</v>
      </c>
      <c r="E28" s="13">
        <f>'Sheet2-PASTE HERE!'!F38</f>
        <v>22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.272</v>
      </c>
      <c r="D29" s="22" t="str">
        <f>'Sheet2-PASTE HERE!'!K39</f>
        <v>Cut/Build parts for handrail</v>
      </c>
      <c r="E29" s="13">
        <f>'Sheet2-PASTE HERE!'!F39</f>
        <v>6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.275</v>
      </c>
      <c r="D30" s="22" t="str">
        <f>'Sheet2-PASTE HERE!'!K40</f>
        <v>Roll handrail pipe</v>
      </c>
      <c r="E30" s="13">
        <f>'Sheet2-PASTE HERE!'!F40</f>
        <v>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.280</v>
      </c>
      <c r="D31" s="22" t="str">
        <f>'Sheet2-PASTE HERE!'!K41</f>
        <v>Roll handrail toe plate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.282</v>
      </c>
      <c r="D32" s="22" t="str">
        <f>'Sheet2-PASTE HERE!'!K42</f>
        <v>Build handrail - weld out</v>
      </c>
      <c r="E32" s="13">
        <f>'Sheet2-PASTE HERE!'!F42</f>
        <v>28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</v>
      </c>
      <c r="E35" s="13">
        <f>'Sheet2-PASTE HERE!'!F45</f>
        <v>6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</v>
      </c>
      <c r="E36" s="13">
        <f>'Sheet2-PASTE HERE!'!F46</f>
        <v>12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</v>
      </c>
      <c r="E37" s="13">
        <f>'Sheet2-PASTE HERE!'!F47</f>
        <v>8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holes_x000D_
CLEAN UP &amp; PREP HOLES CUT ON BURN TABLE</v>
      </c>
      <c r="E39" s="13">
        <f>'Sheet2-PASTE HERE!'!F49</f>
        <v>3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</v>
      </c>
      <c r="E40" s="13">
        <f>'Sheet2-PASTE HERE!'!F50</f>
        <v>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</v>
      </c>
      <c r="E41" s="13">
        <f>'Sheet2-PASTE HERE!'!F51</f>
        <v>10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</v>
      </c>
      <c r="E42" s="13">
        <f>'Sheet2-PASTE HERE!'!F52</f>
        <v>7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.380</v>
      </c>
      <c r="D43" s="22" t="str">
        <f>'Sheet2-PASTE HERE!'!K53</f>
        <v>Build mixer bridge</v>
      </c>
      <c r="E43" s="13">
        <f>'Sheet2-PASTE HERE!'!F53</f>
        <v>15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PRE FAB</v>
      </c>
      <c r="B44" s="11"/>
      <c r="C44" s="17" t="str">
        <f>'Sheet2-PASTE HERE!'!I54</f>
        <v>.450</v>
      </c>
      <c r="D44" s="22" t="str">
        <f>'Sheet2-PASTE HERE!'!K54</f>
        <v>Build bottom head/cone</v>
      </c>
      <c r="E44" s="13">
        <f>'Sheet2-PASTE HERE!'!F54</f>
        <v>8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.QC4</v>
      </c>
      <c r="D45" s="22" t="str">
        <f>'Sheet2-PASTE HERE!'!K55</f>
        <v>QC Inspection - Top/Bottom/Cones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PRE FAB</v>
      </c>
      <c r="B46" s="11"/>
      <c r="C46" s="17" t="str">
        <f>'Sheet2-PASTE HERE!'!I56</f>
        <v>.455</v>
      </c>
      <c r="D46" s="22" t="str">
        <f>'Sheet2-PASTE HERE!'!K56</f>
        <v>Lay out bottom head, burn and clean holes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.600</v>
      </c>
      <c r="D47" s="22" t="str">
        <f>'Sheet2-PASTE HERE!'!K57</f>
        <v>Fit bottom head to shell_x000D_
AND WELD INSIDE &amp; OUTSIDE</v>
      </c>
      <c r="E47" s="13">
        <f>'Sheet2-PASTE HERE!'!F57</f>
        <v>10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.605</v>
      </c>
      <c r="D48" s="22" t="str">
        <f>'Sheet2-PASTE HERE!'!K58</f>
        <v>Tack shell courses together</v>
      </c>
      <c r="E48" s="13">
        <f>'Sheet2-PASTE HERE!'!F58</f>
        <v>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.610</v>
      </c>
      <c r="D49" s="22" t="str">
        <f>'Sheet2-PASTE HERE!'!K59</f>
        <v>Weld inside round seams</v>
      </c>
      <c r="E49" s="13">
        <f>'Sheet2-PASTE HERE!'!F59</f>
        <v>8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.615</v>
      </c>
      <c r="D50" s="22" t="str">
        <f>'Sheet2-PASTE HERE!'!K60</f>
        <v>Install rim angle - tack only</v>
      </c>
      <c r="E50" s="13">
        <f>'Sheet2-PASTE HERE!'!F60</f>
        <v>6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.616</v>
      </c>
      <c r="D51" s="22" t="str">
        <f>'Sheet2-PASTE HERE!'!K61</f>
        <v>Weld rim angle complete</v>
      </c>
      <c r="E51" s="13">
        <f>'Sheet2-PASTE HERE!'!F61</f>
        <v>8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.620</v>
      </c>
      <c r="D52" s="22" t="str">
        <f>'Sheet2-PASTE HERE!'!K62</f>
        <v>Lay out shell, burn and clean holes_x000D_
CLEAN UP &amp; PREP HOLES CUT ON BURN TABLE</v>
      </c>
      <c r="E52" s="13">
        <f>'Sheet2-PASTE HERE!'!F62</f>
        <v>3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.625</v>
      </c>
      <c r="D53" s="22" t="str">
        <f>'Sheet2-PASTE HERE!'!K63</f>
        <v>Install baffles and weld</v>
      </c>
      <c r="E53" s="13">
        <f>'Sheet2-PASTE HERE!'!F63</f>
        <v>8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.QC5</v>
      </c>
      <c r="D54" s="22" t="str">
        <f>'Sheet2-PASTE HERE!'!K64</f>
        <v>QC Inspection - Internal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.640</v>
      </c>
      <c r="D55" s="22" t="str">
        <f>'Sheet2-PASTE HERE!'!K65</f>
        <v>Fit top head to shell - tack_x000D_
AND WELD TO RIM ANGLE</v>
      </c>
      <c r="E55" s="13">
        <f>'Sheet2-PASTE HERE!'!F65</f>
        <v>8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.645</v>
      </c>
      <c r="D56" s="22" t="str">
        <f>'Sheet2-PASTE HERE!'!K66</f>
        <v>Weld all outside seams</v>
      </c>
      <c r="E56" s="13">
        <f>'Sheet2-PASTE HERE!'!F66</f>
        <v>18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MOVE TANK</v>
      </c>
      <c r="B57" s="11"/>
      <c r="C57" s="17" t="str">
        <f>'Sheet2-PASTE HERE!'!I67</f>
        <v>.800</v>
      </c>
      <c r="D57" s="22" t="str">
        <f>'Sheet2-PASTE HERE!'!K67</f>
        <v>Move tank to detail rolls</v>
      </c>
      <c r="E57" s="13">
        <f>'Sheet2-PASTE HERE!'!F67</f>
        <v>2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.717</v>
      </c>
      <c r="D58" s="22" t="str">
        <f>'Sheet2-PASTE HERE!'!K68</f>
        <v>Install lift lugs on shell_x000D_
INCL REPADS</v>
      </c>
      <c r="E58" s="13">
        <f>'Sheet2-PASTE HERE!'!F68</f>
        <v>3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.720</v>
      </c>
      <c r="D59" s="22" t="str">
        <f>'Sheet2-PASTE HERE!'!K69</f>
        <v>Install supports - legs, lugs, anchors, saddles, skirt_x000D_
AND WELD COMPLETE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.725</v>
      </c>
      <c r="D60" s="22" t="str">
        <f>'Sheet2-PASTE HERE!'!K70</f>
        <v>Set nozzles in shell - tack</v>
      </c>
      <c r="E60" s="13">
        <f>'Sheet2-PASTE HERE!'!F70</f>
        <v>6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.726</v>
      </c>
      <c r="D61" s="22" t="str">
        <f>'Sheet2-PASTE HERE!'!K71</f>
        <v>Weld shell nozzles, manways, etc._x000D_
INCL HOLE WATCH</v>
      </c>
      <c r="E61" s="13">
        <f>'Sheet2-PASTE HERE!'!F71</f>
        <v>18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.730</v>
      </c>
      <c r="D62" s="22" t="str">
        <f>'Sheet2-PASTE HERE!'!K72</f>
        <v>Add repads and weld</v>
      </c>
      <c r="E62" s="13">
        <f>'Sheet2-PASTE HERE!'!F72</f>
        <v>3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.750</v>
      </c>
      <c r="D63" s="22" t="str">
        <f>'Sheet2-PASTE HERE!'!K73</f>
        <v>Fit handrail - install and weld clips</v>
      </c>
      <c r="E63" s="13">
        <f>'Sheet2-PASTE HERE!'!F73</f>
        <v>6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.755</v>
      </c>
      <c r="D64" s="22" t="str">
        <f>'Sheet2-PASTE HERE!'!K74</f>
        <v>Fit ladder - install and weld clips</v>
      </c>
      <c r="E64" s="13">
        <f>'Sheet2-PASTE HERE!'!F74</f>
        <v>8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FIT</v>
      </c>
      <c r="B66" s="11"/>
      <c r="C66" s="17" t="str">
        <f>'Sheet2-PASTE HERE!'!I76</f>
        <v>.770</v>
      </c>
      <c r="D66" s="22" t="str">
        <f>'Sheet2-PASTE HERE!'!K76</f>
        <v>Inspect tank, make repairs, get QC inspector</v>
      </c>
      <c r="E66" s="13">
        <f>'Sheet2-PASTE HERE!'!F76</f>
        <v>1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.QC6</v>
      </c>
      <c r="D67" s="22" t="str">
        <f>'Sheet2-PASTE HERE!'!K77</f>
        <v>QC Inspection - Fabrication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0</v>
      </c>
    </row>
    <row r="68" spans="1:12" ht="26.25" customHeight="1" x14ac:dyDescent="0.2">
      <c r="A68" s="10" t="str">
        <f>'Sheet2-PASTE HERE!'!A78</f>
        <v>MOVE TANK</v>
      </c>
      <c r="B68" s="11"/>
      <c r="C68" s="17" t="str">
        <f>'Sheet2-PASTE HERE!'!I78</f>
        <v>.801</v>
      </c>
      <c r="D68" s="22" t="str">
        <f>'Sheet2-PASTE HERE!'!K78</f>
        <v>Move to shop test area</v>
      </c>
      <c r="E68" s="13">
        <f>'Sheet2-PASTE HERE!'!F78</f>
        <v>2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 t="str">
        <f>'Sheet2-PASTE HERE!'!A79</f>
        <v>FINISHING</v>
      </c>
      <c r="B69" s="11"/>
      <c r="C69" s="17" t="str">
        <f>'Sheet2-PASTE HERE!'!I79</f>
        <v>.910</v>
      </c>
      <c r="D69" s="22" t="str">
        <f>'Sheet2-PASTE HERE!'!K79</f>
        <v>Test tank</v>
      </c>
      <c r="E69" s="13">
        <f>'Sheet2-PASTE HERE!'!F79</f>
        <v>12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.QC7</v>
      </c>
      <c r="D70" s="22" t="str">
        <f>'Sheet2-PASTE HERE!'!K80</f>
        <v>QC Inspection - Test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MOVE TANK</v>
      </c>
      <c r="B71" s="11"/>
      <c r="C71" s="17" t="str">
        <f>'Sheet2-PASTE HERE!'!I81</f>
        <v>.802</v>
      </c>
      <c r="D71" s="22" t="str">
        <f>'Sheet2-PASTE HERE!'!K81</f>
        <v>Move to paint area</v>
      </c>
      <c r="E71" s="13">
        <f>'Sheet2-PASTE HERE!'!F81</f>
        <v>2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 t="str">
        <f>'Sheet2-PASTE HERE!'!A82</f>
        <v>INSPECTION</v>
      </c>
      <c r="B72" s="11"/>
      <c r="C72" s="17" t="str">
        <f>'Sheet2-PASTE HERE!'!I82</f>
        <v>.QC9</v>
      </c>
      <c r="D72" s="22" t="str">
        <f>'Sheet2-PASTE HERE!'!K82</f>
        <v>QC Inspection - Sandblast</v>
      </c>
      <c r="E72" s="13">
        <f>'Sheet2-PASTE HERE!'!F82</f>
        <v>0</v>
      </c>
      <c r="F72" s="12"/>
      <c r="G72" s="12"/>
      <c r="H72" s="12"/>
      <c r="K72">
        <f t="shared" si="2"/>
        <v>1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.QC90</v>
      </c>
      <c r="D73" s="22" t="str">
        <f>'Sheet2-PASTE HERE!'!K83</f>
        <v>QC Inspection - Paint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3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3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.970</v>
      </c>
      <c r="D77" s="22" t="str">
        <f>'Sheet2-PASTE HERE!'!K87</f>
        <v>Take parts to galvanizers</v>
      </c>
      <c r="E77" s="13">
        <f>'Sheet2-PASTE HERE!'!F87</f>
        <v>3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.972</v>
      </c>
      <c r="D78" s="22" t="str">
        <f>'Sheet2-PASTE HERE!'!K88</f>
        <v>Pick up parts from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 t="str">
        <f>'Sheet2-PASTE HERE!'!F90</f>
        <v/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181</v>
      </c>
      <c r="C1" s="8" t="s">
        <v>17</v>
      </c>
      <c r="D1" s="8" t="s">
        <v>182</v>
      </c>
      <c r="E1" s="8" t="s">
        <v>18</v>
      </c>
      <c r="F1" s="8" t="s">
        <v>183</v>
      </c>
      <c r="G1" s="8" t="s">
        <v>181</v>
      </c>
      <c r="H1" s="8" t="s">
        <v>20</v>
      </c>
      <c r="I1" s="8" t="s">
        <v>184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45644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433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50847</v>
      </c>
      <c r="C17" s="19">
        <v>0</v>
      </c>
      <c r="D17" s="8" t="s">
        <v>74</v>
      </c>
      <c r="E17" s="20">
        <v>0</v>
      </c>
      <c r="F17" s="20">
        <v>0</v>
      </c>
      <c r="G17" s="8" t="s">
        <v>54</v>
      </c>
      <c r="H17" s="20">
        <v>0</v>
      </c>
      <c r="I17" s="8" t="s">
        <v>75</v>
      </c>
      <c r="J17" s="19">
        <v>0</v>
      </c>
      <c r="K17" s="8" t="s">
        <v>74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50848</v>
      </c>
      <c r="C18" s="19">
        <v>0</v>
      </c>
      <c r="D18" s="8" t="s">
        <v>76</v>
      </c>
      <c r="E18" s="20">
        <v>0</v>
      </c>
      <c r="F18" s="20">
        <v>0</v>
      </c>
      <c r="G18" s="8" t="s">
        <v>54</v>
      </c>
      <c r="H18" s="20">
        <v>0</v>
      </c>
      <c r="I18" s="8" t="s">
        <v>77</v>
      </c>
      <c r="J18" s="19">
        <v>0</v>
      </c>
      <c r="K18" s="8" t="s">
        <v>78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50849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79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50850</v>
      </c>
      <c r="C20" s="19">
        <v>0</v>
      </c>
      <c r="D20" s="8" t="s">
        <v>80</v>
      </c>
      <c r="E20" s="20">
        <v>0</v>
      </c>
      <c r="F20" s="20">
        <v>10</v>
      </c>
      <c r="G20" s="8" t="s">
        <v>54</v>
      </c>
      <c r="H20" s="20">
        <v>10</v>
      </c>
      <c r="I20" s="8" t="s">
        <v>81</v>
      </c>
      <c r="J20" s="19">
        <v>0</v>
      </c>
      <c r="K20" s="8" t="s">
        <v>82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50851</v>
      </c>
      <c r="C21" s="19">
        <v>0</v>
      </c>
      <c r="D21" s="8" t="s">
        <v>159</v>
      </c>
      <c r="E21" s="20">
        <v>0</v>
      </c>
      <c r="F21" s="20">
        <v>8</v>
      </c>
      <c r="G21" s="8" t="s">
        <v>54</v>
      </c>
      <c r="H21" s="20">
        <v>8</v>
      </c>
      <c r="I21" s="8" t="s">
        <v>160</v>
      </c>
      <c r="J21" s="19">
        <v>0</v>
      </c>
      <c r="K21" s="8" t="s">
        <v>161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50852</v>
      </c>
      <c r="C22" s="19">
        <v>0</v>
      </c>
      <c r="D22" s="8" t="s">
        <v>83</v>
      </c>
      <c r="E22" s="20">
        <v>0</v>
      </c>
      <c r="F22" s="20">
        <v>2</v>
      </c>
      <c r="G22" s="8" t="s">
        <v>54</v>
      </c>
      <c r="H22" s="20">
        <v>2</v>
      </c>
      <c r="I22" s="8" t="s">
        <v>84</v>
      </c>
      <c r="J22" s="19">
        <v>0</v>
      </c>
      <c r="K22" s="8" t="s">
        <v>85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50853</v>
      </c>
      <c r="C23" s="19">
        <v>0</v>
      </c>
      <c r="D23" s="8" t="s">
        <v>86</v>
      </c>
      <c r="E23" s="20">
        <v>0</v>
      </c>
      <c r="F23" s="20">
        <v>2</v>
      </c>
      <c r="G23" s="8" t="s">
        <v>54</v>
      </c>
      <c r="H23" s="20">
        <v>2</v>
      </c>
      <c r="I23" s="8" t="s">
        <v>87</v>
      </c>
      <c r="J23" s="19">
        <v>0</v>
      </c>
      <c r="K23" s="8" t="s">
        <v>88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50854</v>
      </c>
      <c r="C24" s="19">
        <v>0</v>
      </c>
      <c r="D24" s="8" t="s">
        <v>89</v>
      </c>
      <c r="E24" s="20">
        <v>0</v>
      </c>
      <c r="F24" s="20">
        <v>2</v>
      </c>
      <c r="G24" s="8" t="s">
        <v>54</v>
      </c>
      <c r="H24" s="20">
        <v>2</v>
      </c>
      <c r="I24" s="8" t="s">
        <v>90</v>
      </c>
      <c r="J24" s="19">
        <v>0</v>
      </c>
      <c r="K24" s="8" t="s">
        <v>91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50855</v>
      </c>
      <c r="C25" s="19">
        <v>0</v>
      </c>
      <c r="D25" s="8" t="s">
        <v>92</v>
      </c>
      <c r="E25" s="20">
        <v>0</v>
      </c>
      <c r="F25" s="20">
        <v>4</v>
      </c>
      <c r="G25" s="8" t="s">
        <v>54</v>
      </c>
      <c r="H25" s="20">
        <v>4</v>
      </c>
      <c r="I25" s="8" t="s">
        <v>93</v>
      </c>
      <c r="J25" s="19">
        <v>0</v>
      </c>
      <c r="K25" s="8" t="s">
        <v>94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50856</v>
      </c>
      <c r="C26" s="19">
        <v>0</v>
      </c>
      <c r="D26" s="8" t="s">
        <v>95</v>
      </c>
      <c r="E26" s="20">
        <v>0</v>
      </c>
      <c r="F26" s="20">
        <v>4</v>
      </c>
      <c r="G26" s="8" t="s">
        <v>54</v>
      </c>
      <c r="H26" s="20">
        <v>4</v>
      </c>
      <c r="I26" s="8" t="s">
        <v>96</v>
      </c>
      <c r="J26" s="19">
        <v>0</v>
      </c>
      <c r="K26" s="8" t="s">
        <v>97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50857</v>
      </c>
      <c r="C27" s="19">
        <v>0</v>
      </c>
      <c r="D27" s="8" t="s">
        <v>185</v>
      </c>
      <c r="E27" s="20">
        <v>0</v>
      </c>
      <c r="F27" s="20">
        <v>4</v>
      </c>
      <c r="G27" s="8" t="s">
        <v>54</v>
      </c>
      <c r="H27" s="20">
        <v>4</v>
      </c>
      <c r="I27" s="8" t="s">
        <v>186</v>
      </c>
      <c r="J27" s="19">
        <v>0</v>
      </c>
      <c r="K27" s="8" t="s">
        <v>187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50858</v>
      </c>
      <c r="C28" s="19">
        <v>0</v>
      </c>
      <c r="D28" s="8" t="s">
        <v>188</v>
      </c>
      <c r="E28" s="20">
        <v>0</v>
      </c>
      <c r="F28" s="20">
        <v>30</v>
      </c>
      <c r="G28" s="8" t="s">
        <v>54</v>
      </c>
      <c r="H28" s="20">
        <v>30</v>
      </c>
      <c r="I28" s="8" t="s">
        <v>59</v>
      </c>
      <c r="J28" s="19">
        <v>0</v>
      </c>
      <c r="K28" s="8" t="s">
        <v>98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50859</v>
      </c>
      <c r="C29" s="19">
        <v>0</v>
      </c>
      <c r="D29" s="8" t="s">
        <v>189</v>
      </c>
      <c r="E29" s="20">
        <v>0</v>
      </c>
      <c r="F29" s="20">
        <v>30</v>
      </c>
      <c r="G29" s="8" t="s">
        <v>54</v>
      </c>
      <c r="H29" s="20">
        <v>30</v>
      </c>
      <c r="I29" s="8" t="s">
        <v>190</v>
      </c>
      <c r="J29" s="19">
        <v>0</v>
      </c>
      <c r="K29" s="8" t="s">
        <v>19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50860</v>
      </c>
      <c r="C30" s="19">
        <v>0</v>
      </c>
      <c r="D30" s="8" t="s">
        <v>60</v>
      </c>
      <c r="E30" s="20">
        <v>0</v>
      </c>
      <c r="F30" s="20">
        <v>2</v>
      </c>
      <c r="G30" s="8" t="s">
        <v>54</v>
      </c>
      <c r="H30" s="20">
        <v>2</v>
      </c>
      <c r="I30" s="8" t="s">
        <v>61</v>
      </c>
      <c r="J30" s="19">
        <v>0</v>
      </c>
      <c r="K30" s="8" t="s">
        <v>191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50861</v>
      </c>
      <c r="C31" s="19">
        <v>0</v>
      </c>
      <c r="D31" s="8" t="s">
        <v>99</v>
      </c>
      <c r="E31" s="20">
        <v>0</v>
      </c>
      <c r="F31" s="20">
        <v>2</v>
      </c>
      <c r="G31" s="8" t="s">
        <v>54</v>
      </c>
      <c r="H31" s="20">
        <v>2</v>
      </c>
      <c r="I31" s="8" t="s">
        <v>100</v>
      </c>
      <c r="J31" s="19">
        <v>0</v>
      </c>
      <c r="K31" s="8" t="s">
        <v>101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50862</v>
      </c>
      <c r="C32" s="19">
        <v>0</v>
      </c>
      <c r="D32" s="8" t="s">
        <v>162</v>
      </c>
      <c r="E32" s="20">
        <v>0</v>
      </c>
      <c r="F32" s="20">
        <v>3</v>
      </c>
      <c r="G32" s="8" t="s">
        <v>54</v>
      </c>
      <c r="H32" s="20">
        <v>3</v>
      </c>
      <c r="I32" s="8" t="s">
        <v>163</v>
      </c>
      <c r="J32" s="19">
        <v>0</v>
      </c>
      <c r="K32" s="8" t="s">
        <v>164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50863</v>
      </c>
      <c r="C33" s="19">
        <v>0</v>
      </c>
      <c r="D33" s="8" t="s">
        <v>192</v>
      </c>
      <c r="E33" s="20">
        <v>0</v>
      </c>
      <c r="F33" s="20">
        <v>3</v>
      </c>
      <c r="G33" s="8" t="s">
        <v>54</v>
      </c>
      <c r="H33" s="20">
        <v>3</v>
      </c>
      <c r="I33" s="8" t="s">
        <v>193</v>
      </c>
      <c r="J33" s="19">
        <v>0</v>
      </c>
      <c r="K33" s="8" t="s">
        <v>194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50864</v>
      </c>
      <c r="C34" s="19">
        <v>0</v>
      </c>
      <c r="D34" s="8" t="s">
        <v>195</v>
      </c>
      <c r="E34" s="20">
        <v>0</v>
      </c>
      <c r="F34" s="20">
        <v>12</v>
      </c>
      <c r="G34" s="8" t="s">
        <v>54</v>
      </c>
      <c r="H34" s="20">
        <v>12</v>
      </c>
      <c r="I34" s="8" t="s">
        <v>196</v>
      </c>
      <c r="J34" s="19">
        <v>0</v>
      </c>
      <c r="K34" s="8" t="s">
        <v>197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50865</v>
      </c>
      <c r="C35" s="19">
        <v>0</v>
      </c>
      <c r="D35" s="8" t="s">
        <v>198</v>
      </c>
      <c r="E35" s="20">
        <v>0</v>
      </c>
      <c r="F35" s="20">
        <v>4</v>
      </c>
      <c r="G35" s="8" t="s">
        <v>54</v>
      </c>
      <c r="H35" s="20">
        <v>4</v>
      </c>
      <c r="I35" s="8" t="s">
        <v>199</v>
      </c>
      <c r="J35" s="19">
        <v>0</v>
      </c>
      <c r="K35" s="8" t="s">
        <v>200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50866</v>
      </c>
      <c r="C36" s="19">
        <v>0</v>
      </c>
      <c r="D36" s="8" t="s">
        <v>201</v>
      </c>
      <c r="E36" s="20">
        <v>0</v>
      </c>
      <c r="F36" s="20">
        <v>3</v>
      </c>
      <c r="G36" s="8" t="s">
        <v>54</v>
      </c>
      <c r="H36" s="20">
        <v>3</v>
      </c>
      <c r="I36" s="8" t="s">
        <v>202</v>
      </c>
      <c r="J36" s="19">
        <v>0</v>
      </c>
      <c r="K36" s="8" t="s">
        <v>203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50867</v>
      </c>
      <c r="C37" s="19">
        <v>0</v>
      </c>
      <c r="D37" s="8" t="s">
        <v>204</v>
      </c>
      <c r="E37" s="20">
        <v>0</v>
      </c>
      <c r="F37" s="20">
        <v>3</v>
      </c>
      <c r="G37" s="8" t="s">
        <v>54</v>
      </c>
      <c r="H37" s="20">
        <v>3</v>
      </c>
      <c r="I37" s="8" t="s">
        <v>205</v>
      </c>
      <c r="J37" s="19">
        <v>0</v>
      </c>
      <c r="K37" s="8" t="s">
        <v>206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50868</v>
      </c>
      <c r="C38" s="19">
        <v>0</v>
      </c>
      <c r="D38" s="8" t="s">
        <v>207</v>
      </c>
      <c r="E38" s="20">
        <v>0</v>
      </c>
      <c r="F38" s="20">
        <v>22</v>
      </c>
      <c r="G38" s="8" t="s">
        <v>54</v>
      </c>
      <c r="H38" s="20">
        <v>22</v>
      </c>
      <c r="I38" s="8" t="s">
        <v>208</v>
      </c>
      <c r="J38" s="19">
        <v>0</v>
      </c>
      <c r="K38" s="8" t="s">
        <v>209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50869</v>
      </c>
      <c r="C39" s="19">
        <v>0</v>
      </c>
      <c r="D39" s="8" t="s">
        <v>210</v>
      </c>
      <c r="E39" s="20">
        <v>0</v>
      </c>
      <c r="F39" s="20">
        <v>6</v>
      </c>
      <c r="G39" s="8" t="s">
        <v>54</v>
      </c>
      <c r="H39" s="20">
        <v>6</v>
      </c>
      <c r="I39" s="8" t="s">
        <v>211</v>
      </c>
      <c r="J39" s="19">
        <v>0</v>
      </c>
      <c r="K39" s="8" t="s">
        <v>212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50870</v>
      </c>
      <c r="C40" s="19">
        <v>0</v>
      </c>
      <c r="D40" s="8" t="s">
        <v>213</v>
      </c>
      <c r="E40" s="20">
        <v>0</v>
      </c>
      <c r="F40" s="20">
        <v>3</v>
      </c>
      <c r="G40" s="8" t="s">
        <v>54</v>
      </c>
      <c r="H40" s="20">
        <v>3</v>
      </c>
      <c r="I40" s="8" t="s">
        <v>214</v>
      </c>
      <c r="J40" s="19">
        <v>0</v>
      </c>
      <c r="K40" s="8" t="s">
        <v>215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50871</v>
      </c>
      <c r="C41" s="19">
        <v>0</v>
      </c>
      <c r="D41" s="8" t="s">
        <v>216</v>
      </c>
      <c r="E41" s="20">
        <v>0</v>
      </c>
      <c r="F41" s="20">
        <v>2</v>
      </c>
      <c r="G41" s="8" t="s">
        <v>54</v>
      </c>
      <c r="H41" s="20">
        <v>2</v>
      </c>
      <c r="I41" s="8" t="s">
        <v>217</v>
      </c>
      <c r="J41" s="19">
        <v>0</v>
      </c>
      <c r="K41" s="8" t="s">
        <v>218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50872</v>
      </c>
      <c r="C42" s="19">
        <v>0</v>
      </c>
      <c r="D42" s="8" t="s">
        <v>219</v>
      </c>
      <c r="E42" s="20">
        <v>0</v>
      </c>
      <c r="F42" s="20">
        <v>28</v>
      </c>
      <c r="G42" s="8" t="s">
        <v>54</v>
      </c>
      <c r="H42" s="20">
        <v>28</v>
      </c>
      <c r="I42" s="8" t="s">
        <v>220</v>
      </c>
      <c r="J42" s="19">
        <v>0</v>
      </c>
      <c r="K42" s="8" t="s">
        <v>221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50873</v>
      </c>
      <c r="C43" s="19">
        <v>0</v>
      </c>
      <c r="D43" s="8" t="s">
        <v>222</v>
      </c>
      <c r="E43" s="20">
        <v>0</v>
      </c>
      <c r="F43" s="20">
        <v>0</v>
      </c>
      <c r="G43" s="8" t="s">
        <v>54</v>
      </c>
      <c r="H43" s="20">
        <v>0</v>
      </c>
      <c r="I43" s="8" t="s">
        <v>223</v>
      </c>
      <c r="J43" s="19">
        <v>0</v>
      </c>
      <c r="K43" s="8" t="s">
        <v>224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50874</v>
      </c>
      <c r="C44" s="19">
        <v>0</v>
      </c>
      <c r="D44" s="8" t="s">
        <v>102</v>
      </c>
      <c r="E44" s="20">
        <v>0</v>
      </c>
      <c r="F44" s="20">
        <v>0</v>
      </c>
      <c r="G44" s="8" t="s">
        <v>54</v>
      </c>
      <c r="H44" s="20">
        <v>0</v>
      </c>
      <c r="I44" s="8" t="s">
        <v>103</v>
      </c>
      <c r="J44" s="19">
        <v>0</v>
      </c>
      <c r="K44" s="8" t="s">
        <v>102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50875</v>
      </c>
      <c r="C45" s="19">
        <v>0</v>
      </c>
      <c r="D45" s="8" t="s">
        <v>104</v>
      </c>
      <c r="E45" s="20">
        <v>0</v>
      </c>
      <c r="F45" s="20">
        <v>6</v>
      </c>
      <c r="G45" s="8" t="s">
        <v>54</v>
      </c>
      <c r="H45" s="20">
        <v>6</v>
      </c>
      <c r="I45" s="8" t="s">
        <v>105</v>
      </c>
      <c r="J45" s="19">
        <v>0</v>
      </c>
      <c r="K45" s="8" t="s">
        <v>225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50876</v>
      </c>
      <c r="C46" s="19">
        <v>0</v>
      </c>
      <c r="D46" s="8" t="s">
        <v>106</v>
      </c>
      <c r="E46" s="20">
        <v>0</v>
      </c>
      <c r="F46" s="20">
        <v>12</v>
      </c>
      <c r="G46" s="8" t="s">
        <v>54</v>
      </c>
      <c r="H46" s="20">
        <v>12</v>
      </c>
      <c r="I46" s="8" t="s">
        <v>107</v>
      </c>
      <c r="J46" s="19">
        <v>0</v>
      </c>
      <c r="K46" s="8" t="s">
        <v>226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50877</v>
      </c>
      <c r="C47" s="19">
        <v>0</v>
      </c>
      <c r="D47" s="8" t="s">
        <v>165</v>
      </c>
      <c r="E47" s="20">
        <v>0</v>
      </c>
      <c r="F47" s="20">
        <v>8</v>
      </c>
      <c r="G47" s="8" t="s">
        <v>54</v>
      </c>
      <c r="H47" s="20">
        <v>8</v>
      </c>
      <c r="I47" s="8" t="s">
        <v>166</v>
      </c>
      <c r="J47" s="19">
        <v>0</v>
      </c>
      <c r="K47" s="8" t="s">
        <v>167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50878</v>
      </c>
      <c r="C48" s="19">
        <v>0</v>
      </c>
      <c r="D48" s="8" t="s">
        <v>108</v>
      </c>
      <c r="E48" s="20">
        <v>0</v>
      </c>
      <c r="F48" s="20">
        <v>0</v>
      </c>
      <c r="G48" s="8" t="s">
        <v>54</v>
      </c>
      <c r="H48" s="20">
        <v>0</v>
      </c>
      <c r="I48" s="8" t="s">
        <v>109</v>
      </c>
      <c r="J48" s="19">
        <v>0</v>
      </c>
      <c r="K48" s="8" t="s">
        <v>110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50879</v>
      </c>
      <c r="C49" s="19">
        <v>0</v>
      </c>
      <c r="D49" s="8" t="s">
        <v>111</v>
      </c>
      <c r="E49" s="20">
        <v>0</v>
      </c>
      <c r="F49" s="20">
        <v>3</v>
      </c>
      <c r="G49" s="8" t="s">
        <v>54</v>
      </c>
      <c r="H49" s="20">
        <v>3</v>
      </c>
      <c r="I49" s="8" t="s">
        <v>112</v>
      </c>
      <c r="J49" s="19">
        <v>0</v>
      </c>
      <c r="K49" s="8" t="s">
        <v>227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50880</v>
      </c>
      <c r="C50" s="19">
        <v>0</v>
      </c>
      <c r="D50" s="8" t="s">
        <v>113</v>
      </c>
      <c r="E50" s="20">
        <v>0</v>
      </c>
      <c r="F50" s="20">
        <v>4</v>
      </c>
      <c r="G50" s="8" t="s">
        <v>54</v>
      </c>
      <c r="H50" s="20">
        <v>4</v>
      </c>
      <c r="I50" s="8" t="s">
        <v>114</v>
      </c>
      <c r="J50" s="19">
        <v>0</v>
      </c>
      <c r="K50" s="8" t="s">
        <v>115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50881</v>
      </c>
      <c r="C51" s="19">
        <v>0</v>
      </c>
      <c r="D51" s="8" t="s">
        <v>116</v>
      </c>
      <c r="E51" s="20">
        <v>0</v>
      </c>
      <c r="F51" s="20">
        <v>10</v>
      </c>
      <c r="G51" s="8" t="s">
        <v>54</v>
      </c>
      <c r="H51" s="20">
        <v>10</v>
      </c>
      <c r="I51" s="8" t="s">
        <v>117</v>
      </c>
      <c r="J51" s="19">
        <v>0</v>
      </c>
      <c r="K51" s="8" t="s">
        <v>118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50882</v>
      </c>
      <c r="C52" s="19">
        <v>0</v>
      </c>
      <c r="D52" s="8" t="s">
        <v>168</v>
      </c>
      <c r="E52" s="20">
        <v>0</v>
      </c>
      <c r="F52" s="20">
        <v>7</v>
      </c>
      <c r="G52" s="8" t="s">
        <v>54</v>
      </c>
      <c r="H52" s="20">
        <v>7</v>
      </c>
      <c r="I52" s="8" t="s">
        <v>169</v>
      </c>
      <c r="J52" s="19">
        <v>0</v>
      </c>
      <c r="K52" s="8" t="s">
        <v>228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50883</v>
      </c>
      <c r="C53" s="19">
        <v>0</v>
      </c>
      <c r="D53" s="8" t="s">
        <v>229</v>
      </c>
      <c r="E53" s="20">
        <v>0</v>
      </c>
      <c r="F53" s="20">
        <v>15</v>
      </c>
      <c r="G53" s="8" t="s">
        <v>54</v>
      </c>
      <c r="H53" s="20">
        <v>15</v>
      </c>
      <c r="I53" s="8" t="s">
        <v>230</v>
      </c>
      <c r="J53" s="19">
        <v>0</v>
      </c>
      <c r="K53" s="8" t="s">
        <v>231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56</v>
      </c>
      <c r="B54" s="18">
        <v>50884</v>
      </c>
      <c r="C54" s="19">
        <v>0</v>
      </c>
      <c r="D54" s="8" t="s">
        <v>170</v>
      </c>
      <c r="E54" s="20">
        <v>0</v>
      </c>
      <c r="F54" s="20">
        <v>8</v>
      </c>
      <c r="G54" s="8" t="s">
        <v>54</v>
      </c>
      <c r="H54" s="20">
        <v>8</v>
      </c>
      <c r="I54" s="8" t="s">
        <v>171</v>
      </c>
      <c r="J54" s="19">
        <v>0</v>
      </c>
      <c r="K54" s="8" t="s">
        <v>232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50885</v>
      </c>
      <c r="C55" s="19">
        <v>0</v>
      </c>
      <c r="D55" s="8" t="s">
        <v>108</v>
      </c>
      <c r="E55" s="20">
        <v>0</v>
      </c>
      <c r="F55" s="20">
        <v>0</v>
      </c>
      <c r="G55" s="8" t="s">
        <v>54</v>
      </c>
      <c r="H55" s="20">
        <v>0</v>
      </c>
      <c r="I55" s="8" t="s">
        <v>109</v>
      </c>
      <c r="J55" s="19">
        <v>0</v>
      </c>
      <c r="K55" s="8" t="s">
        <v>110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56</v>
      </c>
      <c r="B56" s="18">
        <v>50886</v>
      </c>
      <c r="C56" s="19">
        <v>0</v>
      </c>
      <c r="D56" s="8" t="s">
        <v>233</v>
      </c>
      <c r="E56" s="20">
        <v>0</v>
      </c>
      <c r="F56" s="20">
        <v>1</v>
      </c>
      <c r="G56" s="8" t="s">
        <v>54</v>
      </c>
      <c r="H56" s="20">
        <v>1</v>
      </c>
      <c r="I56" s="8" t="s">
        <v>234</v>
      </c>
      <c r="J56" s="19">
        <v>0</v>
      </c>
      <c r="K56" s="8" t="s">
        <v>235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73</v>
      </c>
      <c r="B57" s="18">
        <v>50887</v>
      </c>
      <c r="C57" s="19">
        <v>0</v>
      </c>
      <c r="D57" s="8" t="s">
        <v>119</v>
      </c>
      <c r="E57" s="20">
        <v>0</v>
      </c>
      <c r="F57" s="20">
        <v>10</v>
      </c>
      <c r="G57" s="8" t="s">
        <v>54</v>
      </c>
      <c r="H57" s="20">
        <v>10</v>
      </c>
      <c r="I57" s="8" t="s">
        <v>120</v>
      </c>
      <c r="J57" s="19">
        <v>0</v>
      </c>
      <c r="K57" s="8" t="s">
        <v>236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73</v>
      </c>
      <c r="B58" s="18">
        <v>50888</v>
      </c>
      <c r="C58" s="19">
        <v>0</v>
      </c>
      <c r="D58" s="8" t="s">
        <v>121</v>
      </c>
      <c r="E58" s="20">
        <v>0</v>
      </c>
      <c r="F58" s="20">
        <v>8</v>
      </c>
      <c r="G58" s="8" t="s">
        <v>54</v>
      </c>
      <c r="H58" s="20">
        <v>8</v>
      </c>
      <c r="I58" s="8" t="s">
        <v>122</v>
      </c>
      <c r="J58" s="19">
        <v>0</v>
      </c>
      <c r="K58" s="8" t="s">
        <v>237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73</v>
      </c>
      <c r="B59" s="18">
        <v>50889</v>
      </c>
      <c r="C59" s="19">
        <v>0</v>
      </c>
      <c r="D59" s="8" t="s">
        <v>123</v>
      </c>
      <c r="E59" s="20">
        <v>0</v>
      </c>
      <c r="F59" s="20">
        <v>8</v>
      </c>
      <c r="G59" s="8" t="s">
        <v>54</v>
      </c>
      <c r="H59" s="20">
        <v>8</v>
      </c>
      <c r="I59" s="8" t="s">
        <v>124</v>
      </c>
      <c r="J59" s="19">
        <v>0</v>
      </c>
      <c r="K59" s="8" t="s">
        <v>238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73</v>
      </c>
      <c r="B60" s="18">
        <v>50890</v>
      </c>
      <c r="C60" s="19">
        <v>0</v>
      </c>
      <c r="D60" s="8" t="s">
        <v>172</v>
      </c>
      <c r="E60" s="20">
        <v>0</v>
      </c>
      <c r="F60" s="20">
        <v>6</v>
      </c>
      <c r="G60" s="8" t="s">
        <v>54</v>
      </c>
      <c r="H60" s="20">
        <v>6</v>
      </c>
      <c r="I60" s="8" t="s">
        <v>173</v>
      </c>
      <c r="J60" s="19">
        <v>0</v>
      </c>
      <c r="K60" s="8" t="s">
        <v>174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73</v>
      </c>
      <c r="B61" s="18">
        <v>50891</v>
      </c>
      <c r="C61" s="19">
        <v>0</v>
      </c>
      <c r="D61" s="8" t="s">
        <v>175</v>
      </c>
      <c r="E61" s="20">
        <v>0</v>
      </c>
      <c r="F61" s="20">
        <v>8</v>
      </c>
      <c r="G61" s="8" t="s">
        <v>54</v>
      </c>
      <c r="H61" s="20">
        <v>8</v>
      </c>
      <c r="I61" s="8" t="s">
        <v>176</v>
      </c>
      <c r="J61" s="19">
        <v>0</v>
      </c>
      <c r="K61" s="8" t="s">
        <v>177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73</v>
      </c>
      <c r="B62" s="18">
        <v>50892</v>
      </c>
      <c r="C62" s="19">
        <v>0</v>
      </c>
      <c r="D62" s="8" t="s">
        <v>125</v>
      </c>
      <c r="E62" s="20">
        <v>0</v>
      </c>
      <c r="F62" s="20">
        <v>3</v>
      </c>
      <c r="G62" s="8" t="s">
        <v>54</v>
      </c>
      <c r="H62" s="20">
        <v>3</v>
      </c>
      <c r="I62" s="8" t="s">
        <v>126</v>
      </c>
      <c r="J62" s="19">
        <v>0</v>
      </c>
      <c r="K62" s="8" t="s">
        <v>239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73</v>
      </c>
      <c r="B63" s="18">
        <v>50893</v>
      </c>
      <c r="C63" s="19">
        <v>0</v>
      </c>
      <c r="D63" s="8" t="s">
        <v>240</v>
      </c>
      <c r="E63" s="20">
        <v>0</v>
      </c>
      <c r="F63" s="20">
        <v>8</v>
      </c>
      <c r="G63" s="8" t="s">
        <v>54</v>
      </c>
      <c r="H63" s="20">
        <v>8</v>
      </c>
      <c r="I63" s="8" t="s">
        <v>241</v>
      </c>
      <c r="J63" s="19">
        <v>0</v>
      </c>
      <c r="K63" s="8" t="s">
        <v>242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50894</v>
      </c>
      <c r="C64" s="19">
        <v>0</v>
      </c>
      <c r="D64" s="8" t="s">
        <v>127</v>
      </c>
      <c r="E64" s="20">
        <v>0</v>
      </c>
      <c r="F64" s="20">
        <v>0</v>
      </c>
      <c r="G64" s="8" t="s">
        <v>54</v>
      </c>
      <c r="H64" s="20">
        <v>0</v>
      </c>
      <c r="I64" s="8" t="s">
        <v>128</v>
      </c>
      <c r="J64" s="19">
        <v>0</v>
      </c>
      <c r="K64" s="8" t="s">
        <v>127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73</v>
      </c>
      <c r="B65" s="18">
        <v>50895</v>
      </c>
      <c r="C65" s="19">
        <v>0</v>
      </c>
      <c r="D65" s="8" t="s">
        <v>129</v>
      </c>
      <c r="E65" s="20">
        <v>0</v>
      </c>
      <c r="F65" s="20">
        <v>8</v>
      </c>
      <c r="G65" s="8" t="s">
        <v>54</v>
      </c>
      <c r="H65" s="20">
        <v>8</v>
      </c>
      <c r="I65" s="8" t="s">
        <v>130</v>
      </c>
      <c r="J65" s="19">
        <v>0</v>
      </c>
      <c r="K65" s="8" t="s">
        <v>178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73</v>
      </c>
      <c r="B66" s="18">
        <v>50896</v>
      </c>
      <c r="C66" s="19">
        <v>0</v>
      </c>
      <c r="D66" s="8" t="s">
        <v>243</v>
      </c>
      <c r="E66" s="20">
        <v>0</v>
      </c>
      <c r="F66" s="20">
        <v>18</v>
      </c>
      <c r="G66" s="8" t="s">
        <v>54</v>
      </c>
      <c r="H66" s="20">
        <v>18</v>
      </c>
      <c r="I66" s="8" t="s">
        <v>244</v>
      </c>
      <c r="J66" s="19">
        <v>0</v>
      </c>
      <c r="K66" s="8" t="s">
        <v>245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131</v>
      </c>
      <c r="B67" s="18">
        <v>50897</v>
      </c>
      <c r="C67" s="19">
        <v>0</v>
      </c>
      <c r="D67" s="8" t="s">
        <v>132</v>
      </c>
      <c r="E67" s="20">
        <v>0</v>
      </c>
      <c r="F67" s="20">
        <v>2</v>
      </c>
      <c r="G67" s="8" t="s">
        <v>54</v>
      </c>
      <c r="H67" s="20">
        <v>2</v>
      </c>
      <c r="I67" s="8" t="s">
        <v>133</v>
      </c>
      <c r="J67" s="19">
        <v>0</v>
      </c>
      <c r="K67" s="8" t="s">
        <v>134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73</v>
      </c>
      <c r="B68" s="18">
        <v>50898</v>
      </c>
      <c r="C68" s="19">
        <v>0</v>
      </c>
      <c r="D68" s="8" t="s">
        <v>62</v>
      </c>
      <c r="E68" s="20">
        <v>0</v>
      </c>
      <c r="F68" s="20">
        <v>3</v>
      </c>
      <c r="G68" s="8" t="s">
        <v>54</v>
      </c>
      <c r="H68" s="20">
        <v>3</v>
      </c>
      <c r="I68" s="8" t="s">
        <v>63</v>
      </c>
      <c r="J68" s="19">
        <v>0</v>
      </c>
      <c r="K68" s="8" t="s">
        <v>179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73</v>
      </c>
      <c r="B69" s="18">
        <v>50899</v>
      </c>
      <c r="C69" s="19">
        <v>0</v>
      </c>
      <c r="D69" s="8" t="s">
        <v>135</v>
      </c>
      <c r="E69" s="20">
        <v>0</v>
      </c>
      <c r="F69" s="20">
        <v>12</v>
      </c>
      <c r="G69" s="8" t="s">
        <v>54</v>
      </c>
      <c r="H69" s="20">
        <v>12</v>
      </c>
      <c r="I69" s="8" t="s">
        <v>136</v>
      </c>
      <c r="J69" s="19">
        <v>0</v>
      </c>
      <c r="K69" s="8" t="s">
        <v>180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73</v>
      </c>
      <c r="B70" s="18">
        <v>50900</v>
      </c>
      <c r="C70" s="19">
        <v>0</v>
      </c>
      <c r="D70" s="8" t="s">
        <v>137</v>
      </c>
      <c r="E70" s="20">
        <v>0</v>
      </c>
      <c r="F70" s="20">
        <v>6</v>
      </c>
      <c r="G70" s="8" t="s">
        <v>54</v>
      </c>
      <c r="H70" s="20">
        <v>6</v>
      </c>
      <c r="I70" s="8" t="s">
        <v>138</v>
      </c>
      <c r="J70" s="19">
        <v>0</v>
      </c>
      <c r="K70" s="8" t="s">
        <v>246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73</v>
      </c>
      <c r="B71" s="18">
        <v>50901</v>
      </c>
      <c r="C71" s="19">
        <v>0</v>
      </c>
      <c r="D71" s="8" t="s">
        <v>139</v>
      </c>
      <c r="E71" s="20">
        <v>0</v>
      </c>
      <c r="F71" s="20">
        <v>18</v>
      </c>
      <c r="G71" s="8" t="s">
        <v>54</v>
      </c>
      <c r="H71" s="20">
        <v>18</v>
      </c>
      <c r="I71" s="8" t="s">
        <v>140</v>
      </c>
      <c r="J71" s="19">
        <v>0</v>
      </c>
      <c r="K71" s="8" t="s">
        <v>247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73</v>
      </c>
      <c r="B72" s="18">
        <v>50902</v>
      </c>
      <c r="C72" s="19">
        <v>0</v>
      </c>
      <c r="D72" s="8" t="s">
        <v>248</v>
      </c>
      <c r="E72" s="20">
        <v>0</v>
      </c>
      <c r="F72" s="20">
        <v>3</v>
      </c>
      <c r="G72" s="8" t="s">
        <v>54</v>
      </c>
      <c r="H72" s="20">
        <v>3</v>
      </c>
      <c r="I72" s="8" t="s">
        <v>249</v>
      </c>
      <c r="J72" s="19">
        <v>0</v>
      </c>
      <c r="K72" s="8" t="s">
        <v>250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73</v>
      </c>
      <c r="B73" s="18">
        <v>50903</v>
      </c>
      <c r="C73" s="19">
        <v>0</v>
      </c>
      <c r="D73" s="8" t="s">
        <v>251</v>
      </c>
      <c r="E73" s="20">
        <v>0</v>
      </c>
      <c r="F73" s="20">
        <v>6</v>
      </c>
      <c r="G73" s="8" t="s">
        <v>54</v>
      </c>
      <c r="H73" s="20">
        <v>6</v>
      </c>
      <c r="I73" s="8" t="s">
        <v>252</v>
      </c>
      <c r="J73" s="19">
        <v>0</v>
      </c>
      <c r="K73" s="8" t="s">
        <v>253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73</v>
      </c>
      <c r="B74" s="18">
        <v>50904</v>
      </c>
      <c r="C74" s="19">
        <v>0</v>
      </c>
      <c r="D74" s="8" t="s">
        <v>254</v>
      </c>
      <c r="E74" s="20">
        <v>0</v>
      </c>
      <c r="F74" s="20">
        <v>8</v>
      </c>
      <c r="G74" s="8" t="s">
        <v>54</v>
      </c>
      <c r="H74" s="20">
        <v>8</v>
      </c>
      <c r="I74" s="8" t="s">
        <v>255</v>
      </c>
      <c r="J74" s="19">
        <v>0</v>
      </c>
      <c r="K74" s="8" t="s">
        <v>256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50905</v>
      </c>
      <c r="C75" s="19">
        <v>0</v>
      </c>
      <c r="D75" s="8" t="s">
        <v>141</v>
      </c>
      <c r="E75" s="20">
        <v>0</v>
      </c>
      <c r="F75" s="20">
        <v>1</v>
      </c>
      <c r="G75" s="8" t="s">
        <v>54</v>
      </c>
      <c r="H75" s="20">
        <v>1</v>
      </c>
      <c r="I75" s="8" t="s">
        <v>142</v>
      </c>
      <c r="J75" s="19">
        <v>0</v>
      </c>
      <c r="K75" s="8" t="s">
        <v>143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73</v>
      </c>
      <c r="B76" s="18">
        <v>50906</v>
      </c>
      <c r="C76" s="19">
        <v>0</v>
      </c>
      <c r="D76" s="8" t="s">
        <v>144</v>
      </c>
      <c r="E76" s="20">
        <v>0</v>
      </c>
      <c r="F76" s="20">
        <v>1</v>
      </c>
      <c r="G76" s="8" t="s">
        <v>54</v>
      </c>
      <c r="H76" s="20">
        <v>1</v>
      </c>
      <c r="I76" s="8" t="s">
        <v>145</v>
      </c>
      <c r="J76" s="19">
        <v>0</v>
      </c>
      <c r="K76" s="8" t="s">
        <v>146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50907</v>
      </c>
      <c r="C77" s="19">
        <v>0</v>
      </c>
      <c r="D77" s="8" t="s">
        <v>147</v>
      </c>
      <c r="E77" s="20">
        <v>0</v>
      </c>
      <c r="F77" s="20">
        <v>0</v>
      </c>
      <c r="G77" s="8" t="s">
        <v>54</v>
      </c>
      <c r="H77" s="20">
        <v>0</v>
      </c>
      <c r="I77" s="8" t="s">
        <v>148</v>
      </c>
      <c r="J77" s="19">
        <v>0</v>
      </c>
      <c r="K77" s="8" t="s">
        <v>149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131</v>
      </c>
      <c r="B78" s="18">
        <v>50908</v>
      </c>
      <c r="C78" s="19">
        <v>0</v>
      </c>
      <c r="D78" s="8" t="s">
        <v>150</v>
      </c>
      <c r="E78" s="20">
        <v>0</v>
      </c>
      <c r="F78" s="20">
        <v>2</v>
      </c>
      <c r="G78" s="8" t="s">
        <v>54</v>
      </c>
      <c r="H78" s="20">
        <v>2</v>
      </c>
      <c r="I78" s="8" t="s">
        <v>151</v>
      </c>
      <c r="J78" s="19">
        <v>0</v>
      </c>
      <c r="K78" s="8" t="s">
        <v>152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64</v>
      </c>
      <c r="B79" s="18">
        <v>50909</v>
      </c>
      <c r="C79" s="19">
        <v>0</v>
      </c>
      <c r="D79" s="8" t="s">
        <v>153</v>
      </c>
      <c r="E79" s="20">
        <v>0</v>
      </c>
      <c r="F79" s="20">
        <v>12</v>
      </c>
      <c r="G79" s="8" t="s">
        <v>54</v>
      </c>
      <c r="H79" s="20">
        <v>12</v>
      </c>
      <c r="I79" s="8" t="s">
        <v>154</v>
      </c>
      <c r="J79" s="19">
        <v>0</v>
      </c>
      <c r="K79" s="8" t="s">
        <v>155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50910</v>
      </c>
      <c r="C80" s="19">
        <v>0</v>
      </c>
      <c r="D80" s="8" t="s">
        <v>156</v>
      </c>
      <c r="E80" s="20">
        <v>0</v>
      </c>
      <c r="F80" s="20">
        <v>0</v>
      </c>
      <c r="G80" s="8" t="s">
        <v>54</v>
      </c>
      <c r="H80" s="20">
        <v>0</v>
      </c>
      <c r="I80" s="8" t="s">
        <v>157</v>
      </c>
      <c r="J80" s="19">
        <v>0</v>
      </c>
      <c r="K80" s="8" t="s">
        <v>156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131</v>
      </c>
      <c r="B81" s="18">
        <v>50911</v>
      </c>
      <c r="C81" s="19">
        <v>0</v>
      </c>
      <c r="D81" s="8" t="s">
        <v>257</v>
      </c>
      <c r="E81" s="20">
        <v>0</v>
      </c>
      <c r="F81" s="20">
        <v>2</v>
      </c>
      <c r="G81" s="8" t="s">
        <v>54</v>
      </c>
      <c r="H81" s="20">
        <v>2</v>
      </c>
      <c r="I81" s="8" t="s">
        <v>258</v>
      </c>
      <c r="J81" s="19">
        <v>0</v>
      </c>
      <c r="K81" s="8" t="s">
        <v>259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53</v>
      </c>
      <c r="B82" s="18">
        <v>50912</v>
      </c>
      <c r="C82" s="19">
        <v>0</v>
      </c>
      <c r="D82" s="8" t="s">
        <v>260</v>
      </c>
      <c r="E82" s="20">
        <v>0</v>
      </c>
      <c r="F82" s="20">
        <v>0</v>
      </c>
      <c r="G82" s="8" t="s">
        <v>54</v>
      </c>
      <c r="H82" s="20">
        <v>0</v>
      </c>
      <c r="I82" s="8" t="s">
        <v>261</v>
      </c>
      <c r="J82" s="19">
        <v>0</v>
      </c>
      <c r="K82" s="8" t="s">
        <v>260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50913</v>
      </c>
      <c r="C83" s="19">
        <v>0</v>
      </c>
      <c r="D83" s="8" t="s">
        <v>262</v>
      </c>
      <c r="E83" s="20">
        <v>0</v>
      </c>
      <c r="F83" s="20">
        <v>0</v>
      </c>
      <c r="G83" s="8" t="s">
        <v>54</v>
      </c>
      <c r="H83" s="20">
        <v>0</v>
      </c>
      <c r="I83" s="8" t="s">
        <v>263</v>
      </c>
      <c r="J83" s="19">
        <v>0</v>
      </c>
      <c r="K83" s="8" t="s">
        <v>262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64</v>
      </c>
      <c r="B84" s="18">
        <v>50914</v>
      </c>
      <c r="C84" s="19">
        <v>0</v>
      </c>
      <c r="D84" s="8" t="s">
        <v>65</v>
      </c>
      <c r="E84" s="20">
        <v>0</v>
      </c>
      <c r="F84" s="20">
        <v>3</v>
      </c>
      <c r="G84" s="8" t="s">
        <v>54</v>
      </c>
      <c r="H84" s="20">
        <v>3</v>
      </c>
      <c r="I84" s="8" t="s">
        <v>66</v>
      </c>
      <c r="J84" s="19">
        <v>0</v>
      </c>
      <c r="K84" s="8" t="s">
        <v>158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64</v>
      </c>
      <c r="B85" s="18">
        <v>50915</v>
      </c>
      <c r="C85" s="19">
        <v>0</v>
      </c>
      <c r="D85" s="8" t="s">
        <v>264</v>
      </c>
      <c r="E85" s="20">
        <v>0</v>
      </c>
      <c r="F85" s="20">
        <v>3</v>
      </c>
      <c r="G85" s="8" t="s">
        <v>54</v>
      </c>
      <c r="H85" s="20">
        <v>3</v>
      </c>
      <c r="I85" s="8" t="s">
        <v>265</v>
      </c>
      <c r="J85" s="19">
        <v>0</v>
      </c>
      <c r="K85" s="8" t="s">
        <v>266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53</v>
      </c>
      <c r="B86" s="18">
        <v>50916</v>
      </c>
      <c r="C86" s="19">
        <v>0</v>
      </c>
      <c r="D86" s="8" t="s">
        <v>67</v>
      </c>
      <c r="E86" s="20">
        <v>0</v>
      </c>
      <c r="F86" s="20">
        <v>0</v>
      </c>
      <c r="G86" s="8" t="s">
        <v>54</v>
      </c>
      <c r="H86" s="20">
        <v>0</v>
      </c>
      <c r="I86" s="8" t="s">
        <v>68</v>
      </c>
      <c r="J86" s="19">
        <v>0</v>
      </c>
      <c r="K86" s="8" t="s">
        <v>69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70</v>
      </c>
      <c r="B87" s="18">
        <v>50917</v>
      </c>
      <c r="C87" s="19">
        <v>0</v>
      </c>
      <c r="D87" s="8" t="s">
        <v>267</v>
      </c>
      <c r="E87" s="20">
        <v>0</v>
      </c>
      <c r="F87" s="20">
        <v>3</v>
      </c>
      <c r="G87" s="8" t="s">
        <v>54</v>
      </c>
      <c r="H87" s="20">
        <v>3</v>
      </c>
      <c r="I87" s="8" t="s">
        <v>268</v>
      </c>
      <c r="J87" s="19">
        <v>0</v>
      </c>
      <c r="K87" s="8" t="s">
        <v>269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70</v>
      </c>
      <c r="B88" s="18">
        <v>50918</v>
      </c>
      <c r="C88" s="19">
        <v>0</v>
      </c>
      <c r="D88" s="8" t="s">
        <v>270</v>
      </c>
      <c r="E88" s="20">
        <v>0</v>
      </c>
      <c r="F88" s="20">
        <v>3</v>
      </c>
      <c r="G88" s="8" t="s">
        <v>54</v>
      </c>
      <c r="H88" s="20">
        <v>3</v>
      </c>
      <c r="I88" s="8" t="s">
        <v>271</v>
      </c>
      <c r="J88" s="19">
        <v>0</v>
      </c>
      <c r="K88" s="8" t="s">
        <v>272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/>
    <row r="90" spans="1:14" ht="12.75" customHeight="1" x14ac:dyDescent="0.2">
      <c r="B90" s="8" t="s">
        <v>16</v>
      </c>
      <c r="C90" s="8" t="s">
        <v>181</v>
      </c>
      <c r="E90" s="8" t="s">
        <v>19</v>
      </c>
      <c r="F90" s="8" t="s">
        <v>19</v>
      </c>
      <c r="G90" s="8" t="s">
        <v>21</v>
      </c>
      <c r="H90" s="8" t="s">
        <v>19</v>
      </c>
      <c r="J90" s="8" t="s">
        <v>19</v>
      </c>
    </row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066-24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71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066-24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71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066-24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71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066-24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71</v>
      </c>
      <c r="B22" s="38">
        <f>'Build Plan w Hours'!E10</f>
        <v>10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066-24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71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066-24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71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066-24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71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066-24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71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066-24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71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066-24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71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066-24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71</v>
      </c>
      <c r="B64" s="38">
        <f>'Build Plan w Hours'!E17</f>
        <v>4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066-24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71</v>
      </c>
      <c r="B70" s="38">
        <f>'Build Plan w Hours'!E18</f>
        <v>30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066-24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71</v>
      </c>
      <c r="B76" s="38">
        <f>'Build Plan w Hours'!E19</f>
        <v>30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066-24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SET UP (4) ANCHOR CHAIRS; TACK ONLY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71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066-24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71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066-24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71</v>
      </c>
      <c r="B94" s="38">
        <f>'Build Plan w Hours'!E22</f>
        <v>3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066-24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FORM (15)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71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066-24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71</v>
      </c>
      <c r="B106" s="38">
        <f>'Build Plan w Hours'!E24</f>
        <v>12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066-24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(2) CHANNELS &amp; (6) MITERED BRACES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71</v>
      </c>
      <c r="B112" s="38">
        <f>'Build Plan w Hours'!E25</f>
        <v>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066-24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71</v>
      </c>
      <c r="B118" s="38">
        <f>'Build Plan w Hours'!E26</f>
        <v>3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066-24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71</v>
      </c>
      <c r="B124" s="38">
        <f>'Build Plan w Hours'!E27</f>
        <v>3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066-24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71</v>
      </c>
      <c r="B130" s="38">
        <f>'Build Plan w Hours'!E28</f>
        <v>22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066-24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71</v>
      </c>
      <c r="B136" s="38">
        <f>'Build Plan w Hours'!E29</f>
        <v>6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066-24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.275</v>
      </c>
      <c r="C140" s="40" t="str">
        <f>'Build Plan w Hours'!D30</f>
        <v>Roll handrail pipe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71</v>
      </c>
      <c r="B142" s="38">
        <f>'Build Plan w Hours'!E30</f>
        <v>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066-24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.280</v>
      </c>
      <c r="C146" s="40" t="str">
        <f>'Build Plan w Hours'!D31</f>
        <v>Roll handrail toe plate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71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066-24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.282</v>
      </c>
      <c r="C152" s="40" t="str">
        <f>'Build Plan w Hours'!D32</f>
        <v>Build handrail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71</v>
      </c>
      <c r="B154" s="38">
        <f>'Build Plan w Hours'!E32</f>
        <v>28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066-24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71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066-24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71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066-24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71</v>
      </c>
      <c r="B172" s="38">
        <f>'Build Plan w Hours'!E35</f>
        <v>6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066-24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71</v>
      </c>
      <c r="B178" s="38">
        <f>'Build Plan w Hours'!E36</f>
        <v>12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066-24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71</v>
      </c>
      <c r="B184" s="38">
        <f>'Build Plan w Hours'!E37</f>
        <v>8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066-24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71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066-24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holes_x000D_
CLEAN UP &amp; PREP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71</v>
      </c>
      <c r="B196" s="38">
        <f>'Build Plan w Hours'!E39</f>
        <v>3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066-24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71</v>
      </c>
      <c r="B202" s="38">
        <f>'Build Plan w Hours'!E40</f>
        <v>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066-24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71</v>
      </c>
      <c r="B208" s="38">
        <f>'Build Plan w Hours'!E41</f>
        <v>10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066-24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71</v>
      </c>
      <c r="B214" s="38">
        <f>'Build Plan w Hours'!E42</f>
        <v>7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066-24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.380</v>
      </c>
      <c r="C218" s="40" t="str">
        <f>'Build Plan w Hours'!D43</f>
        <v>Build mixer bridge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71</v>
      </c>
      <c r="B220" s="38">
        <f>'Build Plan w Hours'!E43</f>
        <v>15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066-24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71</v>
      </c>
      <c r="B226" s="38">
        <f>'Build Plan w Hours'!E44</f>
        <v>8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066-24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71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066-24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71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066-24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71</v>
      </c>
      <c r="B244" s="38">
        <f>'Build Plan w Hours'!E47</f>
        <v>10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066-24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71</v>
      </c>
      <c r="B250" s="38">
        <f>'Build Plan w Hours'!E48</f>
        <v>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066-24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71</v>
      </c>
      <c r="B256" s="38">
        <f>'Build Plan w Hours'!E49</f>
        <v>8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066-24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71</v>
      </c>
      <c r="B262" s="38">
        <f>'Build Plan w Hours'!E50</f>
        <v>6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066-24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71</v>
      </c>
      <c r="B268" s="38">
        <f>'Build Plan w Hours'!E51</f>
        <v>8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066-24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CLEAN UP &amp; PREP HOLES CUT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71</v>
      </c>
      <c r="B274" s="38">
        <f>'Build Plan w Hours'!E52</f>
        <v>3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066-24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 t="str">
        <f>'Build Plan w Hours'!C53</f>
        <v>.625</v>
      </c>
      <c r="C278" s="40" t="str">
        <f>'Build Plan w Hours'!D53</f>
        <v>Install baffles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71</v>
      </c>
      <c r="B280" s="38">
        <f>'Build Plan w Hours'!E53</f>
        <v>8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066-24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71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066-24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 TO RIM ANGLE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71</v>
      </c>
      <c r="B292" s="38">
        <f>'Build Plan w Hours'!E55</f>
        <v>8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066-24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71</v>
      </c>
      <c r="B298" s="38">
        <f>'Build Plan w Hours'!E56</f>
        <v>18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066-24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71</v>
      </c>
      <c r="B304" s="38">
        <f>'Build Plan w Hours'!E57</f>
        <v>2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066-24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INCL REPADS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71</v>
      </c>
      <c r="B310" s="38">
        <f>'Build Plan w Hours'!E58</f>
        <v>3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066-24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AND WELD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71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066-24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 t="str">
        <f>'Build Plan w Hours'!C60</f>
        <v>.725</v>
      </c>
      <c r="C320" s="40" t="str">
        <f>'Build Plan w Hours'!D60</f>
        <v>Set nozzles in shell - tack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71</v>
      </c>
      <c r="B322" s="38">
        <f>'Build Plan w Hours'!E60</f>
        <v>6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066-24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 t="str">
        <f>'Build Plan w Hours'!C61</f>
        <v>.726</v>
      </c>
      <c r="C326" s="40" t="str">
        <f>'Build Plan w Hours'!D61</f>
        <v>Weld shell nozzles, manways, etc._x000D_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71</v>
      </c>
      <c r="B328" s="38">
        <f>'Build Plan w Hours'!E61</f>
        <v>18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066-24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 t="str">
        <f>'Build Plan w Hours'!C62</f>
        <v>.730</v>
      </c>
      <c r="C332" s="40" t="str">
        <f>'Build Plan w Hours'!D62</f>
        <v>Add repads and weld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71</v>
      </c>
      <c r="B334" s="38">
        <f>'Build Plan w Hours'!E62</f>
        <v>3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066-24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71</v>
      </c>
      <c r="B340" s="38">
        <f>'Build Plan w Hours'!E63</f>
        <v>6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066-24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71</v>
      </c>
      <c r="B346" s="38">
        <f>'Build Plan w Hours'!E64</f>
        <v>8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066-24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71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066-24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71</v>
      </c>
      <c r="B358" s="38">
        <f>'Build Plan w Hours'!E66</f>
        <v>1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066-24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71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066-24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71</v>
      </c>
      <c r="B370" s="38">
        <f>'Build Plan w Hours'!E68</f>
        <v>2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066-24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71</v>
      </c>
      <c r="B376" s="38">
        <f>'Build Plan w Hours'!E69</f>
        <v>12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066-24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71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066-24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71</v>
      </c>
      <c r="B388" s="38">
        <f>'Build Plan w Hours'!E71</f>
        <v>2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066-24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71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066-24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71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066-24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71</v>
      </c>
      <c r="B406" s="38">
        <f>'Build Plan w Hours'!E74</f>
        <v>3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066-24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71</v>
      </c>
      <c r="B412" s="38">
        <f>'Build Plan w Hours'!E75</f>
        <v>3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066-24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71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066-24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71</v>
      </c>
      <c r="B424" s="38">
        <f>'Build Plan w Hours'!E77</f>
        <v>3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066-24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71</v>
      </c>
      <c r="B430" s="38">
        <f>'Build Plan w Hours'!E78</f>
        <v>3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066-24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71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066-24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71</v>
      </c>
      <c r="B442" s="38" t="str">
        <f>'Build Plan w Hours'!E80</f>
        <v/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066-24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71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066-24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71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066-24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71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066-24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71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066-24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71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066-24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71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066-24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72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066-24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72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066-24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72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066-24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72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066-24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72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066-24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72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066-24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72</v>
      </c>
    </row>
    <row r="38" spans="1:9" ht="21.75" customHeight="1" x14ac:dyDescent="0.25">
      <c r="A38" s="29" t="s">
        <v>13</v>
      </c>
      <c r="B38" s="31" t="str">
        <f>'Build Plan w Hours'!C13</f>
        <v>.120</v>
      </c>
      <c r="C38" s="40" t="str">
        <f>'Build Plan w Hours'!D13</f>
        <v>Burn manway neck (CHECK BEFORE BURNING) - Clean and Bevel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066-24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72</v>
      </c>
    </row>
    <row r="44" spans="1:9" ht="21.75" customHeight="1" x14ac:dyDescent="0.25">
      <c r="A44" s="29" t="s">
        <v>13</v>
      </c>
      <c r="B44" s="31" t="str">
        <f>'Build Plan w Hours'!C14</f>
        <v>.125</v>
      </c>
      <c r="C44" s="40" t="str">
        <f>'Build Plan w Hours'!D14</f>
        <v>Roll manway neck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066-24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72</v>
      </c>
    </row>
    <row r="50" spans="1:9" ht="21.75" customHeight="1" x14ac:dyDescent="0.25">
      <c r="A50" s="29" t="s">
        <v>13</v>
      </c>
      <c r="B50" s="31" t="str">
        <f>'Build Plan w Hours'!C15</f>
        <v>.130</v>
      </c>
      <c r="C50" s="40" t="str">
        <f>'Build Plan w Hours'!D15</f>
        <v>Set up and weld manway flange and neck seam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066-24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72</v>
      </c>
    </row>
    <row r="56" spans="1:9" ht="21.75" customHeight="1" x14ac:dyDescent="0.25">
      <c r="A56" s="29" t="s">
        <v>13</v>
      </c>
      <c r="B56" s="31" t="str">
        <f>'Build Plan w Hours'!C16</f>
        <v>.135</v>
      </c>
      <c r="C56" s="40" t="str">
        <f>'Build Plan w Hours'!D16</f>
        <v>Build davit arm assembly and cover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066-24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72</v>
      </c>
    </row>
    <row r="62" spans="1:9" ht="21.75" customHeight="1" x14ac:dyDescent="0.25">
      <c r="A62" s="29" t="s">
        <v>13</v>
      </c>
      <c r="B62" s="31" t="str">
        <f>'Build Plan w Hours'!C17</f>
        <v>.140</v>
      </c>
      <c r="C62" s="40" t="str">
        <f>'Build Plan w Hours'!D17</f>
        <v>Build hatch/door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066-24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72</v>
      </c>
    </row>
    <row r="68" spans="1:9" ht="21.75" customHeight="1" x14ac:dyDescent="0.25">
      <c r="A68" s="29" t="s">
        <v>13</v>
      </c>
      <c r="B68" s="31" t="str">
        <f>'Build Plan w Hours'!C18</f>
        <v>.155</v>
      </c>
      <c r="C68" s="40" t="str">
        <f>'Build Plan w Hours'!D18</f>
        <v>Burn and clean parts:  lugs, supports, repads, base ring, etc. (CHECK!)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066-24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72</v>
      </c>
    </row>
    <row r="74" spans="1:9" ht="21.75" customHeight="1" x14ac:dyDescent="0.25">
      <c r="A74" s="29" t="s">
        <v>13</v>
      </c>
      <c r="B74" s="31" t="str">
        <f>'Build Plan w Hours'!C19</f>
        <v>.156</v>
      </c>
      <c r="C74" s="40" t="str">
        <f>'Build Plan w Hours'!D19</f>
        <v/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066-24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72</v>
      </c>
    </row>
    <row r="80" spans="1:9" ht="21.75" customHeight="1" x14ac:dyDescent="0.25">
      <c r="A80" s="29" t="s">
        <v>13</v>
      </c>
      <c r="B80" s="31" t="str">
        <f>'Build Plan w Hours'!C20</f>
        <v>.165</v>
      </c>
      <c r="C80" s="40" t="str">
        <f>'Build Plan w Hours'!D20</f>
        <v>Build supports: legs, lugs, saddles_x000D_
SET UP (4) ANCHOR CHAIRS; TACK ONLY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066-24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72</v>
      </c>
    </row>
    <row r="86" spans="1:9" ht="21.75" customHeight="1" x14ac:dyDescent="0.25">
      <c r="A86" s="29" t="s">
        <v>13</v>
      </c>
      <c r="B86" s="31" t="str">
        <f>'Build Plan w Hours'!C21</f>
        <v>.200</v>
      </c>
      <c r="C86" s="40" t="str">
        <f>'Build Plan w Hours'!D21</f>
        <v>Make lift lugs, ground lugs, etc.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066-24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72</v>
      </c>
    </row>
    <row r="92" spans="1:9" ht="21.75" customHeight="1" x14ac:dyDescent="0.25">
      <c r="A92" s="29" t="s">
        <v>13</v>
      </c>
      <c r="B92" s="31" t="str">
        <f>'Build Plan w Hours'!C22</f>
        <v>.205</v>
      </c>
      <c r="C92" s="40" t="str">
        <f>'Build Plan w Hours'!D22</f>
        <v>Roll rim angle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066-24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72</v>
      </c>
    </row>
    <row r="98" spans="1:9" ht="21.75" customHeight="1" x14ac:dyDescent="0.25">
      <c r="A98" s="29" t="s">
        <v>13</v>
      </c>
      <c r="B98" s="31" t="str">
        <f>'Build Plan w Hours'!C23</f>
        <v>.225</v>
      </c>
      <c r="C98" s="40" t="str">
        <f>'Build Plan w Hours'!D23</f>
        <v>Cut and make baffle supports_x000D_
FORM (15) BAFFLE SUPPORTS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066-24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72</v>
      </c>
    </row>
    <row r="104" spans="1:9" ht="21.75" customHeight="1" x14ac:dyDescent="0.25">
      <c r="A104" s="29" t="s">
        <v>13</v>
      </c>
      <c r="B104" s="31" t="str">
        <f>'Build Plan w Hours'!C24</f>
        <v>.230</v>
      </c>
      <c r="C104" s="40" t="str">
        <f>'Build Plan w Hours'!D24</f>
        <v>Build baffles and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066-24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72</v>
      </c>
    </row>
    <row r="110" spans="1:9" ht="21.75" customHeight="1" x14ac:dyDescent="0.25">
      <c r="A110" s="29" t="s">
        <v>13</v>
      </c>
      <c r="B110" s="31" t="str">
        <f>'Build Plan w Hours'!C25</f>
        <v>.245</v>
      </c>
      <c r="C110" s="40" t="str">
        <f>'Build Plan w Hours'!D25</f>
        <v>Cut parts for mixer bridge_x000D_
(2) CHANNELS &amp; (6) MITERED BRACES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066-24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72</v>
      </c>
    </row>
    <row r="116" spans="1:9" ht="21.75" customHeight="1" x14ac:dyDescent="0.25">
      <c r="A116" s="29" t="s">
        <v>13</v>
      </c>
      <c r="B116" s="31" t="str">
        <f>'Build Plan w Hours'!C26</f>
        <v>.262</v>
      </c>
      <c r="C116" s="40" t="str">
        <f>'Build Plan w Hours'!D26</f>
        <v>Cut/make parts for ladder: rungs, rails, etc.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066-24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72</v>
      </c>
    </row>
    <row r="122" spans="1:9" ht="21.75" customHeight="1" x14ac:dyDescent="0.25">
      <c r="A122" s="29" t="s">
        <v>13</v>
      </c>
      <c r="B122" s="31" t="str">
        <f>'Build Plan w Hours'!C27</f>
        <v>.265</v>
      </c>
      <c r="C122" s="40" t="str">
        <f>'Build Plan w Hours'!D27</f>
        <v>Form and roll ladder hoops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066-24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72</v>
      </c>
    </row>
    <row r="128" spans="1:9" ht="21.75" customHeight="1" x14ac:dyDescent="0.25">
      <c r="A128" s="29" t="s">
        <v>13</v>
      </c>
      <c r="B128" s="31" t="str">
        <f>'Build Plan w Hours'!C28</f>
        <v>.270</v>
      </c>
      <c r="C128" s="40" t="str">
        <f>'Build Plan w Hours'!D28</f>
        <v>Build ladder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066-24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72</v>
      </c>
    </row>
    <row r="134" spans="1:9" ht="21.75" customHeight="1" x14ac:dyDescent="0.25">
      <c r="A134" s="29" t="s">
        <v>13</v>
      </c>
      <c r="B134" s="31" t="str">
        <f>'Build Plan w Hours'!C29</f>
        <v>.272</v>
      </c>
      <c r="C134" s="40" t="str">
        <f>'Build Plan w Hours'!D29</f>
        <v>Cut/Build parts for handrail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066-24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72</v>
      </c>
    </row>
    <row r="140" spans="1:9" ht="21.75" customHeight="1" x14ac:dyDescent="0.25">
      <c r="A140" s="29" t="s">
        <v>13</v>
      </c>
      <c r="B140" s="31" t="str">
        <f>'Build Plan w Hours'!C30</f>
        <v>.275</v>
      </c>
      <c r="C140" s="40" t="str">
        <f>'Build Plan w Hours'!D30</f>
        <v>Roll handrail pipe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066-24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72</v>
      </c>
    </row>
    <row r="146" spans="1:9" ht="21.75" customHeight="1" x14ac:dyDescent="0.25">
      <c r="A146" s="29" t="s">
        <v>13</v>
      </c>
      <c r="B146" s="31" t="str">
        <f>'Build Plan w Hours'!C31</f>
        <v>.280</v>
      </c>
      <c r="C146" s="40" t="str">
        <f>'Build Plan w Hours'!D31</f>
        <v>Roll handrail toe plate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066-24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72</v>
      </c>
    </row>
    <row r="152" spans="1:9" ht="21.75" customHeight="1" x14ac:dyDescent="0.25">
      <c r="A152" s="29" t="s">
        <v>13</v>
      </c>
      <c r="B152" s="31" t="str">
        <f>'Build Plan w Hours'!C32</f>
        <v>.282</v>
      </c>
      <c r="C152" s="40" t="str">
        <f>'Build Plan w Hours'!D32</f>
        <v>Build handrail - weld out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066-24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72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066-24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72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066-24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72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066-24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72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066-24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72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066-24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72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066-24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72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holes_x000D_
CLEAN UP &amp; PREP HOLES CUT ON BURN TABLE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066-24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72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066-24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72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066-24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72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066-24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72</v>
      </c>
    </row>
    <row r="218" spans="1:9" ht="21.75" customHeight="1" x14ac:dyDescent="0.25">
      <c r="A218" s="29" t="s">
        <v>13</v>
      </c>
      <c r="B218" s="31" t="str">
        <f>'Build Plan w Hours'!C43</f>
        <v>.380</v>
      </c>
      <c r="C218" s="40" t="str">
        <f>'Build Plan w Hours'!D43</f>
        <v>Build mixer bridge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066-24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72</v>
      </c>
    </row>
    <row r="224" spans="1:9" ht="21.75" customHeight="1" x14ac:dyDescent="0.25">
      <c r="A224" s="29" t="s">
        <v>13</v>
      </c>
      <c r="B224" s="31" t="str">
        <f>'Build Plan w Hours'!C44</f>
        <v>.450</v>
      </c>
      <c r="C224" s="40" t="str">
        <f>'Build Plan w Hours'!D44</f>
        <v>Build bottom head/cone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066-24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72</v>
      </c>
    </row>
    <row r="230" spans="1:9" ht="21.75" customHeight="1" x14ac:dyDescent="0.25">
      <c r="A230" s="29" t="s">
        <v>13</v>
      </c>
      <c r="B230" s="31" t="str">
        <f>'Build Plan w Hours'!C45</f>
        <v>.QC4</v>
      </c>
      <c r="C230" s="40" t="str">
        <f>'Build Plan w Hours'!D45</f>
        <v>QC Inspection - Top/Bottom/Cones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066-24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72</v>
      </c>
    </row>
    <row r="236" spans="1:9" ht="21.75" customHeight="1" x14ac:dyDescent="0.25">
      <c r="A236" s="29" t="s">
        <v>13</v>
      </c>
      <c r="B236" s="31" t="str">
        <f>'Build Plan w Hours'!C46</f>
        <v>.455</v>
      </c>
      <c r="C236" s="40" t="str">
        <f>'Build Plan w Hours'!D46</f>
        <v>Lay out bottom head, burn and clean holes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066-24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72</v>
      </c>
    </row>
    <row r="242" spans="1:9" ht="21.75" customHeight="1" x14ac:dyDescent="0.25">
      <c r="A242" s="29" t="s">
        <v>13</v>
      </c>
      <c r="B242" s="31" t="str">
        <f>'Build Plan w Hours'!C47</f>
        <v>.600</v>
      </c>
      <c r="C242" s="40" t="str">
        <f>'Build Plan w Hours'!D47</f>
        <v>Fit bottom head to shell_x000D_
AND WELD INSIDE &amp;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066-24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72</v>
      </c>
    </row>
    <row r="248" spans="1:9" ht="21.75" customHeight="1" x14ac:dyDescent="0.25">
      <c r="A248" s="29" t="s">
        <v>13</v>
      </c>
      <c r="B248" s="31" t="str">
        <f>'Build Plan w Hours'!C48</f>
        <v>.605</v>
      </c>
      <c r="C248" s="40" t="str">
        <f>'Build Plan w Hours'!D48</f>
        <v>Tack shell courses together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066-24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72</v>
      </c>
    </row>
    <row r="254" spans="1:9" ht="21.75" customHeight="1" x14ac:dyDescent="0.25">
      <c r="A254" s="29" t="s">
        <v>13</v>
      </c>
      <c r="B254" s="31" t="str">
        <f>'Build Plan w Hours'!C49</f>
        <v>.610</v>
      </c>
      <c r="C254" s="40" t="str">
        <f>'Build Plan w Hours'!D49</f>
        <v>Weld inside round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066-24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72</v>
      </c>
    </row>
    <row r="260" spans="1:9" ht="21.75" customHeight="1" x14ac:dyDescent="0.25">
      <c r="A260" s="29" t="s">
        <v>13</v>
      </c>
      <c r="B260" s="31" t="str">
        <f>'Build Plan w Hours'!C50</f>
        <v>.615</v>
      </c>
      <c r="C260" s="40" t="str">
        <f>'Build Plan w Hours'!D50</f>
        <v>Install rim angle - tack only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066-24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72</v>
      </c>
    </row>
    <row r="266" spans="1:9" ht="21.75" customHeight="1" x14ac:dyDescent="0.25">
      <c r="A266" s="29" t="s">
        <v>13</v>
      </c>
      <c r="B266" s="31" t="str">
        <f>'Build Plan w Hours'!C51</f>
        <v>.616</v>
      </c>
      <c r="C266" s="40" t="str">
        <f>'Build Plan w Hours'!D51</f>
        <v>Weld rim angle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066-24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72</v>
      </c>
    </row>
    <row r="272" spans="1:9" ht="21.75" customHeight="1" x14ac:dyDescent="0.25">
      <c r="A272" s="29" t="s">
        <v>13</v>
      </c>
      <c r="B272" s="31" t="str">
        <f>'Build Plan w Hours'!C52</f>
        <v>.620</v>
      </c>
      <c r="C272" s="40" t="str">
        <f>'Build Plan w Hours'!D52</f>
        <v>Lay out shell, burn and clean holes_x000D_
CLEAN UP &amp; PREP HOLES CUT ON BURN TABLE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066-24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72</v>
      </c>
    </row>
    <row r="278" spans="1:9" ht="21.75" customHeight="1" x14ac:dyDescent="0.25">
      <c r="A278" s="29" t="s">
        <v>13</v>
      </c>
      <c r="B278" s="31" t="str">
        <f>'Build Plan w Hours'!C53</f>
        <v>.625</v>
      </c>
      <c r="C278" s="40" t="str">
        <f>'Build Plan w Hours'!D53</f>
        <v>Install baffles and weld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066-24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72</v>
      </c>
    </row>
    <row r="284" spans="1:9" ht="21.75" customHeight="1" x14ac:dyDescent="0.25">
      <c r="A284" s="29" t="s">
        <v>13</v>
      </c>
      <c r="B284" s="31" t="str">
        <f>'Build Plan w Hours'!C54</f>
        <v>.QC5</v>
      </c>
      <c r="C284" s="40" t="str">
        <f>'Build Plan w Hours'!D54</f>
        <v>QC Inspection - Internal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066-24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72</v>
      </c>
    </row>
    <row r="290" spans="1:9" ht="21.75" customHeight="1" x14ac:dyDescent="0.25">
      <c r="A290" s="29" t="s">
        <v>13</v>
      </c>
      <c r="B290" s="31" t="str">
        <f>'Build Plan w Hours'!C55</f>
        <v>.640</v>
      </c>
      <c r="C290" s="40" t="str">
        <f>'Build Plan w Hours'!D55</f>
        <v>Fit top head to shell - tack_x000D_
AND WELD TO RIM ANGLE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066-24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72</v>
      </c>
    </row>
    <row r="296" spans="1:9" ht="21.75" customHeight="1" x14ac:dyDescent="0.25">
      <c r="A296" s="29" t="s">
        <v>13</v>
      </c>
      <c r="B296" s="31" t="str">
        <f>'Build Plan w Hours'!C56</f>
        <v>.645</v>
      </c>
      <c r="C296" s="40" t="str">
        <f>'Build Plan w Hours'!D56</f>
        <v>Weld all outside seams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066-24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72</v>
      </c>
    </row>
    <row r="302" spans="1:9" ht="21.75" customHeight="1" x14ac:dyDescent="0.25">
      <c r="A302" s="29" t="s">
        <v>13</v>
      </c>
      <c r="B302" s="31" t="str">
        <f>'Build Plan w Hours'!C57</f>
        <v>.800</v>
      </c>
      <c r="C302" s="40" t="str">
        <f>'Build Plan w Hours'!D57</f>
        <v>Move tank to detail rolls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066-24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72</v>
      </c>
    </row>
    <row r="308" spans="1:9" ht="21.75" customHeight="1" x14ac:dyDescent="0.25">
      <c r="A308" s="29" t="s">
        <v>13</v>
      </c>
      <c r="B308" s="31" t="str">
        <f>'Build Plan w Hours'!C58</f>
        <v>.717</v>
      </c>
      <c r="C308" s="40" t="str">
        <f>'Build Plan w Hours'!D58</f>
        <v>Install lift lugs on shell_x000D_
INCL REPADS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066-24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72</v>
      </c>
    </row>
    <row r="314" spans="1:9" ht="21.75" customHeight="1" x14ac:dyDescent="0.25">
      <c r="A314" s="29" t="s">
        <v>13</v>
      </c>
      <c r="B314" s="31" t="str">
        <f>'Build Plan w Hours'!C59</f>
        <v>.720</v>
      </c>
      <c r="C314" s="40" t="str">
        <f>'Build Plan w Hours'!D59</f>
        <v>Install supports - legs, lugs, anchors, saddles, skirt_x000D_
AND WELD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066-24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72</v>
      </c>
    </row>
    <row r="320" spans="1:9" ht="21.75" customHeight="1" x14ac:dyDescent="0.25">
      <c r="A320" s="29" t="s">
        <v>13</v>
      </c>
      <c r="B320" s="31" t="str">
        <f>'Build Plan w Hours'!C60</f>
        <v>.725</v>
      </c>
      <c r="C320" s="40" t="str">
        <f>'Build Plan w Hours'!D60</f>
        <v>Set nozzles in shell - tack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066-24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72</v>
      </c>
    </row>
    <row r="326" spans="1:9" ht="21.75" customHeight="1" x14ac:dyDescent="0.25">
      <c r="A326" s="29" t="s">
        <v>13</v>
      </c>
      <c r="B326" s="31" t="str">
        <f>'Build Plan w Hours'!C61</f>
        <v>.726</v>
      </c>
      <c r="C326" s="40" t="str">
        <f>'Build Plan w Hours'!D61</f>
        <v>Weld shell nozzles, manways, etc._x000D_
INCL HOLE WATCH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066-24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72</v>
      </c>
    </row>
    <row r="332" spans="1:9" ht="21.75" customHeight="1" x14ac:dyDescent="0.25">
      <c r="A332" s="29" t="s">
        <v>13</v>
      </c>
      <c r="B332" s="31" t="str">
        <f>'Build Plan w Hours'!C62</f>
        <v>.730</v>
      </c>
      <c r="C332" s="40" t="str">
        <f>'Build Plan w Hours'!D62</f>
        <v>Add repads and weld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066-24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72</v>
      </c>
    </row>
    <row r="338" spans="1:9" ht="21.75" customHeight="1" x14ac:dyDescent="0.25">
      <c r="A338" s="29" t="s">
        <v>13</v>
      </c>
      <c r="B338" s="31" t="str">
        <f>'Build Plan w Hours'!C63</f>
        <v>.750</v>
      </c>
      <c r="C338" s="40" t="str">
        <f>'Build Plan w Hours'!D63</f>
        <v>Fit handrail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066-24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72</v>
      </c>
    </row>
    <row r="344" spans="1:9" ht="21.75" customHeight="1" x14ac:dyDescent="0.25">
      <c r="A344" s="29" t="s">
        <v>13</v>
      </c>
      <c r="B344" s="31" t="str">
        <f>'Build Plan w Hours'!C64</f>
        <v>.755</v>
      </c>
      <c r="C344" s="40" t="str">
        <f>'Build Plan w Hours'!D64</f>
        <v>Fit ladder - install and weld clips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066-24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72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066-24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72</v>
      </c>
    </row>
    <row r="356" spans="1:9" ht="21.75" customHeight="1" x14ac:dyDescent="0.25">
      <c r="A356" s="29" t="s">
        <v>13</v>
      </c>
      <c r="B356" s="31" t="str">
        <f>'Build Plan w Hours'!C66</f>
        <v>.770</v>
      </c>
      <c r="C356" s="40" t="str">
        <f>'Build Plan w Hours'!D66</f>
        <v>Inspect tank, make repairs, get QC inspector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066-24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72</v>
      </c>
    </row>
    <row r="362" spans="1:9" ht="21.75" customHeight="1" x14ac:dyDescent="0.25">
      <c r="A362" s="29" t="s">
        <v>13</v>
      </c>
      <c r="B362" s="31" t="str">
        <f>'Build Plan w Hours'!C67</f>
        <v>.QC6</v>
      </c>
      <c r="C362" s="40" t="str">
        <f>'Build Plan w Hours'!D67</f>
        <v>QC Inspection - Fabrication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066-24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72</v>
      </c>
    </row>
    <row r="368" spans="1:9" ht="21.75" customHeight="1" x14ac:dyDescent="0.25">
      <c r="A368" s="29" t="s">
        <v>13</v>
      </c>
      <c r="B368" s="31" t="str">
        <f>'Build Plan w Hours'!C68</f>
        <v>.801</v>
      </c>
      <c r="C368" s="40" t="str">
        <f>'Build Plan w Hours'!D68</f>
        <v>Move to shop test area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066-24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72</v>
      </c>
    </row>
    <row r="374" spans="1:9" ht="21.75" customHeight="1" x14ac:dyDescent="0.25">
      <c r="A374" s="29" t="s">
        <v>13</v>
      </c>
      <c r="B374" s="31" t="str">
        <f>'Build Plan w Hours'!C69</f>
        <v>.910</v>
      </c>
      <c r="C374" s="40" t="str">
        <f>'Build Plan w Hours'!D69</f>
        <v>Test tank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066-24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72</v>
      </c>
    </row>
    <row r="380" spans="1:9" ht="21.75" customHeight="1" x14ac:dyDescent="0.25">
      <c r="A380" s="29" t="s">
        <v>13</v>
      </c>
      <c r="B380" s="31" t="str">
        <f>'Build Plan w Hours'!C70</f>
        <v>.QC7</v>
      </c>
      <c r="C380" s="40" t="str">
        <f>'Build Plan w Hours'!D70</f>
        <v>QC Inspection - Test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066-24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72</v>
      </c>
    </row>
    <row r="386" spans="1:9" ht="21.75" customHeight="1" x14ac:dyDescent="0.25">
      <c r="A386" s="29" t="s">
        <v>13</v>
      </c>
      <c r="B386" s="31" t="str">
        <f>'Build Plan w Hours'!C71</f>
        <v>.802</v>
      </c>
      <c r="C386" s="40" t="str">
        <f>'Build Plan w Hours'!D71</f>
        <v>Move to paint area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066-24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72</v>
      </c>
    </row>
    <row r="392" spans="1:9" ht="21" customHeight="1" x14ac:dyDescent="0.25">
      <c r="A392" s="29" t="s">
        <v>13</v>
      </c>
      <c r="B392" s="31" t="str">
        <f>'Build Plan w Hours'!C72</f>
        <v>.QC9</v>
      </c>
      <c r="C392" s="40" t="str">
        <f>'Build Plan w Hours'!D72</f>
        <v>QC Inspection - Sandblast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066-24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72</v>
      </c>
    </row>
    <row r="398" spans="1:9" ht="21" customHeight="1" x14ac:dyDescent="0.25">
      <c r="A398" s="29" t="s">
        <v>13</v>
      </c>
      <c r="B398" s="31" t="str">
        <f>'Build Plan w Hours'!C73</f>
        <v>.QC90</v>
      </c>
      <c r="C398" s="40" t="str">
        <f>'Build Plan w Hours'!D73</f>
        <v>QC Inspection - Paint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066-24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72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066-24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72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066-24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72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066-24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72</v>
      </c>
    </row>
    <row r="422" spans="1:9" ht="21" customHeight="1" x14ac:dyDescent="0.25">
      <c r="A422" s="29" t="s">
        <v>13</v>
      </c>
      <c r="B422" s="31" t="str">
        <f>'Build Plan w Hours'!C77</f>
        <v>.970</v>
      </c>
      <c r="C422" s="40" t="str">
        <f>'Build Plan w Hours'!D77</f>
        <v>Take parts to galvanizers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066-24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72</v>
      </c>
    </row>
    <row r="428" spans="1:9" ht="21" customHeight="1" x14ac:dyDescent="0.25">
      <c r="A428" s="29" t="s">
        <v>13</v>
      </c>
      <c r="B428" s="31" t="str">
        <f>'Build Plan w Hours'!C78</f>
        <v>.972</v>
      </c>
      <c r="C428" s="40" t="str">
        <f>'Build Plan w Hours'!D78</f>
        <v>Pick up parts from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066-24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72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066-24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72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066-24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72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066-24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72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066-24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72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066-24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72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066-24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72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066-24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72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066-24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72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066-24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72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2025-03-12T20:41:46Z</cp:lastPrinted>
  <dcterms:created xsi:type="dcterms:W3CDTF">2016-06-28T20:53:17Z</dcterms:created>
  <dcterms:modified xsi:type="dcterms:W3CDTF">2025-03-12T20:46:56Z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