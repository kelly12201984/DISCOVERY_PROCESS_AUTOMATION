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JOBS\2024\013-24 - Bernhard Condensate System Tank (T-3741)\"/>
    </mc:Choice>
  </mc:AlternateContent>
  <xr:revisionPtr revIDLastSave="0" documentId="13_ncr:1_{C397ACFD-B49F-4427-B9EE-B3CEE3D9BBB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w Build Plan" sheetId="2" r:id="rId1"/>
    <sheet name="Sheet3" sheetId="3" r:id="rId2"/>
  </sheets>
  <definedNames>
    <definedName name="_xlnm.Print_Titles" localSheetId="0">'New Build Plan'!$1:$2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95" i="2" l="1"/>
</calcChain>
</file>

<file path=xl/sharedStrings.xml><?xml version="1.0" encoding="utf-8"?>
<sst xmlns="http://schemas.openxmlformats.org/spreadsheetml/2006/main" count="518" uniqueCount="362">
  <si>
    <t>Receive material</t>
  </si>
  <si>
    <t>Cut nozzle pipe and clean</t>
  </si>
  <si>
    <t>Lay out top head, burn and clean holes</t>
  </si>
  <si>
    <t>Lay out bottom head, burn and clean holes</t>
  </si>
  <si>
    <t>Shells; bring in plate, square, trim and clean</t>
  </si>
  <si>
    <t>Tack shell courses together</t>
  </si>
  <si>
    <t>Lay out shell, burn and clean holes</t>
  </si>
  <si>
    <t>Add repads and weld</t>
  </si>
  <si>
    <t>Weld all outside seams</t>
  </si>
  <si>
    <t>Move to shop test area</t>
  </si>
  <si>
    <t>Clean tank complete</t>
  </si>
  <si>
    <t>Test tank</t>
  </si>
  <si>
    <t>Load on truck</t>
  </si>
  <si>
    <t>Roll pipe - internal coil</t>
  </si>
  <si>
    <t>Fabricate miscellaneous parts</t>
  </si>
  <si>
    <t>Roll shells, tack and weld inside seams</t>
  </si>
  <si>
    <t>Weld inside round seams</t>
  </si>
  <si>
    <t>Install dip pipes</t>
  </si>
  <si>
    <t>Fabricate internal coil</t>
  </si>
  <si>
    <t>Install name tag</t>
  </si>
  <si>
    <t>Check bill of materials and pack loose parts</t>
  </si>
  <si>
    <t>Build Flange</t>
  </si>
  <si>
    <t>Build dip tubes and weld</t>
  </si>
  <si>
    <t>Build nozzles and weld</t>
  </si>
  <si>
    <t>Roll manway neck</t>
  </si>
  <si>
    <t>Roll rim angle</t>
  </si>
  <si>
    <t>Roll insulation rings</t>
  </si>
  <si>
    <t>Roll skirt shells</t>
  </si>
  <si>
    <t>Install and weld out repads - top head</t>
  </si>
  <si>
    <t>Build bottom head / cone</t>
  </si>
  <si>
    <t>Build top head / cone</t>
  </si>
  <si>
    <t>Build and weld base ring - skirt</t>
  </si>
  <si>
    <t>Install and weld out repads - bottom head</t>
  </si>
  <si>
    <t>Install top stiffeners</t>
  </si>
  <si>
    <t>Install bottom stiffeners</t>
  </si>
  <si>
    <t>Bevel shell plates</t>
  </si>
  <si>
    <t>Fit bottom head to shell</t>
  </si>
  <si>
    <t>Install baffles and weld</t>
  </si>
  <si>
    <t>Build ladder; weld out</t>
  </si>
  <si>
    <t>Roll handrail pipe</t>
  </si>
  <si>
    <t>Roll handrail toe plate</t>
  </si>
  <si>
    <t>Build handrail; weld out</t>
  </si>
  <si>
    <t>Build platform; weld out</t>
  </si>
  <si>
    <t>Cut / make parts for platform</t>
  </si>
  <si>
    <t>Cut / make parts for handrail</t>
  </si>
  <si>
    <t>Cut parts for mixer bridge</t>
  </si>
  <si>
    <t>Build supports (legs, lugs, saddles)</t>
  </si>
  <si>
    <t xml:space="preserve">Roll repads; drill and tap </t>
  </si>
  <si>
    <t>Q.C. Inspection - Internal</t>
  </si>
  <si>
    <t>Install insulation / vacuum rings and weld</t>
  </si>
  <si>
    <t>Install internals (wear plates, rings, clips, etc.)</t>
  </si>
  <si>
    <t>Lay out skirt, burn and clean holes</t>
  </si>
  <si>
    <t>Inspect tank, make repairs, get QC inspector</t>
  </si>
  <si>
    <t>Dye pen test</t>
  </si>
  <si>
    <t>Fabricate internal coil supports</t>
  </si>
  <si>
    <t>Install internal coil and supports</t>
  </si>
  <si>
    <t>Fit jacket to shell</t>
  </si>
  <si>
    <t>Weld jacket to shell</t>
  </si>
  <si>
    <t>Drill / punch holes</t>
  </si>
  <si>
    <t xml:space="preserve">Set up and weld sides - rectangular tank </t>
  </si>
  <si>
    <t>Move tank to detail rolls</t>
  </si>
  <si>
    <t>Nozzles and Manways</t>
  </si>
  <si>
    <t>Supports</t>
  </si>
  <si>
    <t>Misc. Parts</t>
  </si>
  <si>
    <t>Fit ladder; install and weld clips</t>
  </si>
  <si>
    <t>Fit handrail; install and weld clips</t>
  </si>
  <si>
    <t>Fit platform; install and weld clips, bracing, etc.</t>
  </si>
  <si>
    <t>Shells</t>
  </si>
  <si>
    <t>Top Head</t>
  </si>
  <si>
    <t>Bottom Head</t>
  </si>
  <si>
    <t>Skirt</t>
  </si>
  <si>
    <t>Internal Coils</t>
  </si>
  <si>
    <t>Weld jacket to bottom head</t>
  </si>
  <si>
    <t>Install jacket nozzles - bottom head</t>
  </si>
  <si>
    <t>Build Main Tank and Install Internals</t>
  </si>
  <si>
    <t>Test and Clean</t>
  </si>
  <si>
    <t>Move to paint area</t>
  </si>
  <si>
    <t>Prepare tank for shipment</t>
  </si>
  <si>
    <t>Dye pen top head</t>
  </si>
  <si>
    <t>Make lift lugs, ground lugs, etc.</t>
  </si>
  <si>
    <t>Cut / make parts for ladder (rungs, rails, etc.)</t>
  </si>
  <si>
    <t>Cut and make baffle supports</t>
  </si>
  <si>
    <t>Build baffles and weld</t>
  </si>
  <si>
    <t>Install dip pipe supports</t>
  </si>
  <si>
    <t>Grind inside welds smooth - top head</t>
  </si>
  <si>
    <t>Polish inside weld seams - top head</t>
  </si>
  <si>
    <t>Dye pen bottom head</t>
  </si>
  <si>
    <t>Grind inside welds smooth - bottom head</t>
  </si>
  <si>
    <t>Polish inside weld seams - bottom head</t>
  </si>
  <si>
    <t>Install Nozzles and Externals</t>
  </si>
  <si>
    <t xml:space="preserve">Make manway parts:  cut clips, form handles, etc. </t>
  </si>
  <si>
    <t>Burn and clean baffles (CHECK BEFORE BURNING)</t>
  </si>
  <si>
    <t>100</t>
  </si>
  <si>
    <t>200</t>
  </si>
  <si>
    <t>300</t>
  </si>
  <si>
    <t>Ladders, Handrails and Platforms</t>
  </si>
  <si>
    <t>500</t>
  </si>
  <si>
    <t>700</t>
  </si>
  <si>
    <t>120</t>
  </si>
  <si>
    <t>250</t>
  </si>
  <si>
    <t>350</t>
  </si>
  <si>
    <t>450</t>
  </si>
  <si>
    <t>Bevel top head</t>
  </si>
  <si>
    <t>Bevel bottom head</t>
  </si>
  <si>
    <t>Burn manway neck (CHECK BEFORE BURNING); Clean and bevel</t>
  </si>
  <si>
    <t>Set up and weld manway flange and neck seam</t>
  </si>
  <si>
    <t>Build davit arm assembly and cover</t>
  </si>
  <si>
    <t>Form baffles</t>
  </si>
  <si>
    <t>Burn grating for platforms; clean and band</t>
  </si>
  <si>
    <t>Mount handrail on platform</t>
  </si>
  <si>
    <t>Skirt; bring in plate, square, trim and clean</t>
  </si>
  <si>
    <t>Build mixer bridge</t>
  </si>
  <si>
    <t>prefab</t>
  </si>
  <si>
    <t>move</t>
  </si>
  <si>
    <t>finishing</t>
  </si>
  <si>
    <t>shipping</t>
  </si>
  <si>
    <t>Work Center</t>
  </si>
  <si>
    <t>UT top and bottom heads</t>
  </si>
  <si>
    <t>#</t>
  </si>
  <si>
    <t>010</t>
  </si>
  <si>
    <t>105</t>
  </si>
  <si>
    <t>110</t>
  </si>
  <si>
    <t>115</t>
  </si>
  <si>
    <t>125</t>
  </si>
  <si>
    <t>130</t>
  </si>
  <si>
    <t>135</t>
  </si>
  <si>
    <t>155</t>
  </si>
  <si>
    <t>165</t>
  </si>
  <si>
    <t>170</t>
  </si>
  <si>
    <t>175</t>
  </si>
  <si>
    <t>180</t>
  </si>
  <si>
    <t>185</t>
  </si>
  <si>
    <t>205</t>
  </si>
  <si>
    <t>210</t>
  </si>
  <si>
    <t>215</t>
  </si>
  <si>
    <t>220</t>
  </si>
  <si>
    <t>225</t>
  </si>
  <si>
    <t>230</t>
  </si>
  <si>
    <t>235</t>
  </si>
  <si>
    <t>245</t>
  </si>
  <si>
    <t>255</t>
  </si>
  <si>
    <t>260</t>
  </si>
  <si>
    <t>265</t>
  </si>
  <si>
    <t>270</t>
  </si>
  <si>
    <t>275</t>
  </si>
  <si>
    <t>280</t>
  </si>
  <si>
    <t>285</t>
  </si>
  <si>
    <t>290</t>
  </si>
  <si>
    <t>295</t>
  </si>
  <si>
    <t>292</t>
  </si>
  <si>
    <t>282</t>
  </si>
  <si>
    <t>272</t>
  </si>
  <si>
    <t>262</t>
  </si>
  <si>
    <t>252</t>
  </si>
  <si>
    <t>QC1</t>
  </si>
  <si>
    <t>305</t>
  </si>
  <si>
    <t>310</t>
  </si>
  <si>
    <t>315</t>
  </si>
  <si>
    <t>320</t>
  </si>
  <si>
    <t>355</t>
  </si>
  <si>
    <t>360</t>
  </si>
  <si>
    <t>365</t>
  </si>
  <si>
    <t>370</t>
  </si>
  <si>
    <t>375</t>
  </si>
  <si>
    <t>380</t>
  </si>
  <si>
    <t>385</t>
  </si>
  <si>
    <t>390</t>
  </si>
  <si>
    <t>395</t>
  </si>
  <si>
    <t>455</t>
  </si>
  <si>
    <t>460</t>
  </si>
  <si>
    <t>465</t>
  </si>
  <si>
    <t>470</t>
  </si>
  <si>
    <t>475</t>
  </si>
  <si>
    <t>485</t>
  </si>
  <si>
    <t>490</t>
  </si>
  <si>
    <t>495</t>
  </si>
  <si>
    <t>477</t>
  </si>
  <si>
    <t>478</t>
  </si>
  <si>
    <t>479</t>
  </si>
  <si>
    <t>510</t>
  </si>
  <si>
    <t>520</t>
  </si>
  <si>
    <t>530</t>
  </si>
  <si>
    <t>540</t>
  </si>
  <si>
    <t>580</t>
  </si>
  <si>
    <t>590</t>
  </si>
  <si>
    <t>600</t>
  </si>
  <si>
    <t>605</t>
  </si>
  <si>
    <t>610</t>
  </si>
  <si>
    <t>615</t>
  </si>
  <si>
    <t>620</t>
  </si>
  <si>
    <t>625</t>
  </si>
  <si>
    <t>630</t>
  </si>
  <si>
    <t>635</t>
  </si>
  <si>
    <t>QC2</t>
  </si>
  <si>
    <t>640</t>
  </si>
  <si>
    <t>645</t>
  </si>
  <si>
    <t>800</t>
  </si>
  <si>
    <t>801</t>
  </si>
  <si>
    <t>705</t>
  </si>
  <si>
    <t>710</t>
  </si>
  <si>
    <t>715</t>
  </si>
  <si>
    <t>720</t>
  </si>
  <si>
    <t>725</t>
  </si>
  <si>
    <t>730</t>
  </si>
  <si>
    <t>735</t>
  </si>
  <si>
    <t>740</t>
  </si>
  <si>
    <t>745</t>
  </si>
  <si>
    <t>750</t>
  </si>
  <si>
    <t>755</t>
  </si>
  <si>
    <t>760</t>
  </si>
  <si>
    <t>765</t>
  </si>
  <si>
    <t>770</t>
  </si>
  <si>
    <t>QC3</t>
  </si>
  <si>
    <t>900</t>
  </si>
  <si>
    <t>910</t>
  </si>
  <si>
    <t>920</t>
  </si>
  <si>
    <t>802</t>
  </si>
  <si>
    <t>940</t>
  </si>
  <si>
    <t>950</t>
  </si>
  <si>
    <t>QC4</t>
  </si>
  <si>
    <t>960</t>
  </si>
  <si>
    <t>Description</t>
  </si>
  <si>
    <t>inspection</t>
  </si>
  <si>
    <t>Build top and bottom stiffeners</t>
  </si>
  <si>
    <t>Estimated Hours</t>
  </si>
  <si>
    <t>Total Estimate Hours</t>
  </si>
  <si>
    <t>Job Estimated Hours</t>
  </si>
  <si>
    <t>261</t>
  </si>
  <si>
    <t>Miscellaneous Fabrication - Braces, Mounting Plates, Cone Outlet Necks</t>
  </si>
  <si>
    <t>637</t>
  </si>
  <si>
    <t>638</t>
  </si>
  <si>
    <t>Grind inside welds smooth - shell</t>
  </si>
  <si>
    <t>Polish inside weld seams - shell</t>
  </si>
  <si>
    <t>717</t>
  </si>
  <si>
    <t>Install lift lugs on shell</t>
  </si>
  <si>
    <t>Install cladding on flange</t>
  </si>
  <si>
    <t>Install cladding on blind / cover</t>
  </si>
  <si>
    <t>140</t>
  </si>
  <si>
    <t>145</t>
  </si>
  <si>
    <t>147</t>
  </si>
  <si>
    <t>Build hatch/door</t>
  </si>
  <si>
    <t>257</t>
  </si>
  <si>
    <t>Sandblast parts / plates</t>
  </si>
  <si>
    <t>Take parts to galvanizers</t>
  </si>
  <si>
    <t>Take parts to machine shop</t>
  </si>
  <si>
    <t>Pick up parts from galvanizers</t>
  </si>
  <si>
    <t>Pick up parts from machine shop</t>
  </si>
  <si>
    <t>Deliver tank</t>
  </si>
  <si>
    <t xml:space="preserve">Deliver misc. parts </t>
  </si>
  <si>
    <t>Repairs</t>
  </si>
  <si>
    <t>Remove nozzles</t>
  </si>
  <si>
    <t>Remove jacket</t>
  </si>
  <si>
    <t>850</t>
  </si>
  <si>
    <t>855</t>
  </si>
  <si>
    <t>860</t>
  </si>
  <si>
    <t>970</t>
  </si>
  <si>
    <t>971</t>
  </si>
  <si>
    <t>972</t>
  </si>
  <si>
    <t>973</t>
  </si>
  <si>
    <t>974</t>
  </si>
  <si>
    <t>975</t>
  </si>
  <si>
    <t>Job #</t>
  </si>
  <si>
    <t>382</t>
  </si>
  <si>
    <t>482</t>
  </si>
  <si>
    <t>325</t>
  </si>
  <si>
    <t>Remove head</t>
  </si>
  <si>
    <t>107</t>
  </si>
  <si>
    <t>Build Repads for Nozzles, drill and tap holes</t>
  </si>
  <si>
    <t>UT Shells</t>
  </si>
  <si>
    <t>QC Inspection - Top</t>
  </si>
  <si>
    <t>QC Inspection - Sandblast</t>
  </si>
  <si>
    <t>QC Inspection - Paint</t>
  </si>
  <si>
    <t>QC Inspection - Test</t>
  </si>
  <si>
    <t>QC Inspection - Clean</t>
  </si>
  <si>
    <t>Customer Inspection</t>
  </si>
  <si>
    <t>ASME Hold Point</t>
  </si>
  <si>
    <t>ASME Inspection - Internal</t>
  </si>
  <si>
    <t>Wrap top and bottom heads</t>
  </si>
  <si>
    <t>Form and roll ladder hoops</t>
  </si>
  <si>
    <t>Q.C. Inspection - Final &amp; Loose Items</t>
  </si>
  <si>
    <t>OI1</t>
  </si>
  <si>
    <t>OI2</t>
  </si>
  <si>
    <t>OI3</t>
  </si>
  <si>
    <t>Notes to Add</t>
  </si>
  <si>
    <t>QC5</t>
  </si>
  <si>
    <t>QC6</t>
  </si>
  <si>
    <t>Q.C. Inspection - Fabrication</t>
  </si>
  <si>
    <t>QC7</t>
  </si>
  <si>
    <t>QC8</t>
  </si>
  <si>
    <t>QC9</t>
  </si>
  <si>
    <t>QC90</t>
  </si>
  <si>
    <t>QC95</t>
  </si>
  <si>
    <t>Fill in Green Cells Only as Needed</t>
  </si>
  <si>
    <t>240</t>
  </si>
  <si>
    <t>Roll/Burn vacuum rings (CHECK BEFORE BURNING)</t>
  </si>
  <si>
    <t>QC51</t>
  </si>
  <si>
    <t>UT Components</t>
  </si>
  <si>
    <t>QC Inspection - Bottom</t>
  </si>
  <si>
    <t>QC21</t>
  </si>
  <si>
    <t>QC Inspection - Components prior to shipment to subcontractor</t>
  </si>
  <si>
    <t>QC Inspection - Components return from subcontractor</t>
  </si>
  <si>
    <t>OI4</t>
  </si>
  <si>
    <t>ASME Inspection - Test</t>
  </si>
  <si>
    <t>Cut and fit jacket to bottom head</t>
  </si>
  <si>
    <t>build</t>
  </si>
  <si>
    <t>detail</t>
  </si>
  <si>
    <t>weld</t>
  </si>
  <si>
    <t>326</t>
  </si>
  <si>
    <t>Weld body flange on shell</t>
  </si>
  <si>
    <t>Install body flange on shell</t>
  </si>
  <si>
    <t>366</t>
  </si>
  <si>
    <t>Weld nozzles in top head</t>
  </si>
  <si>
    <t>Set  nozzles in top head</t>
  </si>
  <si>
    <t>383</t>
  </si>
  <si>
    <t>Weld body flange on top head</t>
  </si>
  <si>
    <t>Install body flange on top head</t>
  </si>
  <si>
    <t>466</t>
  </si>
  <si>
    <t>Weld nozzles in bottom head</t>
  </si>
  <si>
    <t>483</t>
  </si>
  <si>
    <t>Weld body flange on bottom head</t>
  </si>
  <si>
    <t>Install body flange on bottom head</t>
  </si>
  <si>
    <t xml:space="preserve">Build skirt; fit base ring to shell </t>
  </si>
  <si>
    <t>515</t>
  </si>
  <si>
    <t>Weld skirt shell seams and base ring</t>
  </si>
  <si>
    <t>Build skirt; prep, roll and tack shells</t>
  </si>
  <si>
    <t>545</t>
  </si>
  <si>
    <t>Set  nozzles in bottom head</t>
  </si>
  <si>
    <t>Build skirt; fit anchors / gussets</t>
  </si>
  <si>
    <t>Set  nozzles / manway in skirt</t>
  </si>
  <si>
    <t>Weld skirt anchors, gussets, nozzles, manways, etc.</t>
  </si>
  <si>
    <t>616</t>
  </si>
  <si>
    <t>Weld rim angle inside and outside</t>
  </si>
  <si>
    <t>Install rim angle</t>
  </si>
  <si>
    <t>641</t>
  </si>
  <si>
    <t>Fit top head to shell</t>
  </si>
  <si>
    <t>Weld top head to shell inside</t>
  </si>
  <si>
    <t>726</t>
  </si>
  <si>
    <t>Weld shell nozzles, manways, etc.</t>
  </si>
  <si>
    <t>Set nozzles &amp; manways in shell</t>
  </si>
  <si>
    <t>721</t>
  </si>
  <si>
    <t>Weld insulation / vacuum rings, lugs, supports, etc.</t>
  </si>
  <si>
    <t>Fit supports (legs, lugs, anchors, saddles, skirt)</t>
  </si>
  <si>
    <t xml:space="preserve">Install jacket nozzles </t>
  </si>
  <si>
    <t>711</t>
  </si>
  <si>
    <t>Weld jacket nozzles</t>
  </si>
  <si>
    <t xml:space="preserve">Install mixer bridge   </t>
  </si>
  <si>
    <t>Cut &amp; Prep Parts</t>
  </si>
  <si>
    <t>Cut parts on CNC plasma table</t>
  </si>
  <si>
    <t>156</t>
  </si>
  <si>
    <t>Clean and prep parts</t>
  </si>
  <si>
    <t>AND WELD COMPLETE</t>
  </si>
  <si>
    <t>INCL. HOLE WATCH</t>
  </si>
  <si>
    <t>PREP (2) SHELLS</t>
  </si>
  <si>
    <t>BEVEL (2) SHELL PLATES</t>
  </si>
  <si>
    <t>ROLL (2) SHELLS &amp; WELD INSIDE LONG SEAMS</t>
  </si>
  <si>
    <t>RIGHT HEAD</t>
  </si>
  <si>
    <t>LEFT HEAD</t>
  </si>
  <si>
    <t>LEFT HEAD (INCL. PREP FOR FULL PEN WELD)</t>
  </si>
  <si>
    <t>PREP HOLES FOR FULL PEN WELDS</t>
  </si>
  <si>
    <t>*** MAKE FULL PEN WELDS ***  (INCL. HOLE WATCH)</t>
  </si>
  <si>
    <t>***MAKE FULL PEN WELD***</t>
  </si>
  <si>
    <t>013-24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</si>
</sst>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49" fontId="0" fillId="0" borderId="0" xfId="0" applyNumberFormat="1" applyAlignment="1">
      <alignment horizontal="left"/>
    </xf>
    <xf numFmtId="0" fontId="0" fillId="0" borderId="1" xfId="0" applyBorder="1"/>
    <xf numFmtId="0" fontId="0" fillId="2" borderId="1" xfId="0" applyFill="1" applyBorder="1"/>
    <xf numFmtId="49" fontId="3" fillId="0" borderId="0" xfId="0" applyNumberFormat="1" applyFont="1" applyAlignment="1">
      <alignment horizontal="left"/>
    </xf>
    <xf numFmtId="0" fontId="3" fillId="0" borderId="0" xfId="0" applyFont="1"/>
    <xf numFmtId="0" fontId="2" fillId="0" borderId="0" xfId="0" applyFont="1"/>
    <xf numFmtId="49" fontId="1" fillId="0" borderId="0" xfId="0" applyNumberFormat="1" applyFont="1" applyAlignment="1">
      <alignment horizontal="right"/>
    </xf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center"/>
    </xf>
    <xf numFmtId="0" fontId="0" fillId="3" borderId="1" xfId="0" applyFill="1" applyBorder="1"/>
    <xf numFmtId="49" fontId="5" fillId="3" borderId="1" xfId="0" applyNumberFormat="1" applyFont="1" applyFill="1" applyBorder="1" applyAlignment="1">
      <alignment horizontal="left"/>
    </xf>
    <xf numFmtId="0" fontId="0" fillId="3" borderId="0" xfId="0" applyFill="1"/>
    <xf numFmtId="0" fontId="1" fillId="0" borderId="0" xfId="0" applyFont="1"/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08"/>
  <sheetViews>
    <sheetView tabSelected="1" workbookViewId="0">
      <selection activeCell="C3" sqref="C3"/>
    </sheetView>
  </sheetViews>
  <sheetFormatPr defaultRowHeight="15" x14ac:dyDescent="0.25"/>
  <cols>
    <col min="1" max="1" width="2.140625" style="1" customWidth="1"/>
    <col min="2" max="2" width="12.140625" style="1" bestFit="1" customWidth="1"/>
    <col min="3" max="3" width="9.140625" style="1"/>
    <col min="4" max="4" width="66" bestFit="1" customWidth="1"/>
    <col min="5" max="5" width="14.5703125" customWidth="1"/>
    <col min="6" max="6" width="2.42578125" customWidth="1"/>
    <col min="7" max="7" width="54.5703125" customWidth="1"/>
  </cols>
  <sheetData>
    <row r="1" spans="2:8" ht="18.75" x14ac:dyDescent="0.3">
      <c r="B1" s="7" t="s">
        <v>261</v>
      </c>
      <c r="C1" s="11" t="s">
        <v>361</v>
      </c>
      <c r="D1" s="14" t="s">
        <v>226</v>
      </c>
      <c r="E1" s="14"/>
      <c r="F1" s="6"/>
      <c r="G1" s="6" t="s">
        <v>292</v>
      </c>
      <c r="H1" s="6"/>
    </row>
    <row r="2" spans="2:8" x14ac:dyDescent="0.25">
      <c r="B2" s="4" t="s">
        <v>116</v>
      </c>
      <c r="C2" s="4" t="s">
        <v>118</v>
      </c>
      <c r="D2" s="5" t="s">
        <v>221</v>
      </c>
      <c r="E2" s="5" t="s">
        <v>224</v>
      </c>
      <c r="G2" s="5" t="s">
        <v>283</v>
      </c>
    </row>
    <row r="3" spans="2:8" x14ac:dyDescent="0.25">
      <c r="B3" s="4"/>
      <c r="C3" s="4"/>
      <c r="D3" s="5"/>
      <c r="E3" s="5"/>
    </row>
    <row r="4" spans="2:8" x14ac:dyDescent="0.25">
      <c r="B4" s="1" t="s">
        <v>112</v>
      </c>
      <c r="C4" s="1" t="s">
        <v>119</v>
      </c>
      <c r="D4" t="s">
        <v>0</v>
      </c>
      <c r="E4" s="10"/>
      <c r="G4" s="10"/>
    </row>
    <row r="5" spans="2:8" x14ac:dyDescent="0.25">
      <c r="B5" s="1" t="s">
        <v>222</v>
      </c>
      <c r="C5" s="1" t="s">
        <v>154</v>
      </c>
      <c r="D5" t="s">
        <v>117</v>
      </c>
      <c r="E5" s="3"/>
      <c r="G5" s="3"/>
    </row>
    <row r="7" spans="2:8" x14ac:dyDescent="0.25">
      <c r="D7" s="13" t="s">
        <v>61</v>
      </c>
    </row>
    <row r="8" spans="2:8" x14ac:dyDescent="0.25">
      <c r="B8" s="1" t="s">
        <v>112</v>
      </c>
      <c r="C8" s="1" t="s">
        <v>92</v>
      </c>
      <c r="D8" t="s">
        <v>1</v>
      </c>
      <c r="E8" s="10">
        <v>10</v>
      </c>
      <c r="G8" s="10"/>
    </row>
    <row r="9" spans="2:8" x14ac:dyDescent="0.25">
      <c r="B9" s="1" t="s">
        <v>112</v>
      </c>
      <c r="C9" s="1" t="s">
        <v>120</v>
      </c>
      <c r="D9" t="s">
        <v>23</v>
      </c>
      <c r="E9" s="10">
        <v>27</v>
      </c>
      <c r="G9" s="10"/>
    </row>
    <row r="10" spans="2:8" x14ac:dyDescent="0.25">
      <c r="B10" s="1" t="s">
        <v>112</v>
      </c>
      <c r="C10" s="1" t="s">
        <v>266</v>
      </c>
      <c r="D10" t="s">
        <v>267</v>
      </c>
      <c r="E10" s="10"/>
      <c r="G10" s="10"/>
    </row>
    <row r="11" spans="2:8" x14ac:dyDescent="0.25">
      <c r="B11" s="1" t="s">
        <v>112</v>
      </c>
      <c r="C11" s="1" t="s">
        <v>121</v>
      </c>
      <c r="D11" t="s">
        <v>22</v>
      </c>
      <c r="E11" s="10"/>
      <c r="G11" s="10"/>
    </row>
    <row r="12" spans="2:8" x14ac:dyDescent="0.25">
      <c r="B12" s="1" t="s">
        <v>112</v>
      </c>
      <c r="C12" s="1" t="s">
        <v>122</v>
      </c>
      <c r="D12" t="s">
        <v>90</v>
      </c>
      <c r="E12" s="10">
        <v>1</v>
      </c>
      <c r="G12" s="10"/>
    </row>
    <row r="13" spans="2:8" x14ac:dyDescent="0.25">
      <c r="B13" s="1" t="s">
        <v>112</v>
      </c>
      <c r="C13" s="1" t="s">
        <v>98</v>
      </c>
      <c r="D13" t="s">
        <v>104</v>
      </c>
      <c r="E13" s="10">
        <v>1</v>
      </c>
      <c r="G13" s="10"/>
    </row>
    <row r="14" spans="2:8" x14ac:dyDescent="0.25">
      <c r="B14" s="1" t="s">
        <v>112</v>
      </c>
      <c r="C14" s="1" t="s">
        <v>123</v>
      </c>
      <c r="D14" t="s">
        <v>24</v>
      </c>
      <c r="E14" s="10">
        <v>1</v>
      </c>
      <c r="G14" s="10"/>
    </row>
    <row r="15" spans="2:8" x14ac:dyDescent="0.25">
      <c r="B15" s="1" t="s">
        <v>112</v>
      </c>
      <c r="C15" s="1" t="s">
        <v>124</v>
      </c>
      <c r="D15" t="s">
        <v>105</v>
      </c>
      <c r="E15" s="10">
        <v>2</v>
      </c>
      <c r="G15" s="10"/>
    </row>
    <row r="16" spans="2:8" x14ac:dyDescent="0.25">
      <c r="B16" s="1" t="s">
        <v>112</v>
      </c>
      <c r="C16" s="1" t="s">
        <v>125</v>
      </c>
      <c r="D16" t="s">
        <v>106</v>
      </c>
      <c r="E16" s="10">
        <v>2</v>
      </c>
      <c r="G16" s="10"/>
    </row>
    <row r="17" spans="2:7" x14ac:dyDescent="0.25">
      <c r="B17" s="1" t="s">
        <v>112</v>
      </c>
      <c r="C17" s="1" t="s">
        <v>237</v>
      </c>
      <c r="D17" t="s">
        <v>240</v>
      </c>
      <c r="E17" s="10"/>
      <c r="G17" s="10"/>
    </row>
    <row r="18" spans="2:7" x14ac:dyDescent="0.25">
      <c r="B18" s="1" t="s">
        <v>112</v>
      </c>
      <c r="C18" s="1" t="s">
        <v>238</v>
      </c>
      <c r="D18" t="s">
        <v>235</v>
      </c>
      <c r="E18" s="10"/>
      <c r="G18" s="10"/>
    </row>
    <row r="19" spans="2:7" x14ac:dyDescent="0.25">
      <c r="B19" s="1" t="s">
        <v>112</v>
      </c>
      <c r="C19" s="1" t="s">
        <v>239</v>
      </c>
      <c r="D19" t="s">
        <v>236</v>
      </c>
      <c r="E19" s="10"/>
      <c r="G19" s="10"/>
    </row>
    <row r="21" spans="2:7" x14ac:dyDescent="0.25">
      <c r="D21" s="13" t="s">
        <v>346</v>
      </c>
    </row>
    <row r="22" spans="2:7" x14ac:dyDescent="0.25">
      <c r="B22" s="1" t="s">
        <v>112</v>
      </c>
      <c r="C22" s="1" t="s">
        <v>126</v>
      </c>
      <c r="D22" t="s">
        <v>347</v>
      </c>
      <c r="E22" s="10">
        <v>7</v>
      </c>
      <c r="G22" s="10"/>
    </row>
    <row r="23" spans="2:7" x14ac:dyDescent="0.25">
      <c r="B23" s="1" t="s">
        <v>112</v>
      </c>
      <c r="C23" s="1" t="s">
        <v>348</v>
      </c>
      <c r="D23" t="s">
        <v>349</v>
      </c>
      <c r="E23" s="10">
        <v>7</v>
      </c>
      <c r="G23" s="10"/>
    </row>
    <row r="24" spans="2:7" x14ac:dyDescent="0.25">
      <c r="D24" s="13"/>
    </row>
    <row r="25" spans="2:7" x14ac:dyDescent="0.25">
      <c r="D25" s="13" t="s">
        <v>62</v>
      </c>
    </row>
    <row r="26" spans="2:7" x14ac:dyDescent="0.25">
      <c r="B26" s="1" t="s">
        <v>112</v>
      </c>
      <c r="C26" s="1" t="s">
        <v>127</v>
      </c>
      <c r="D26" t="s">
        <v>46</v>
      </c>
      <c r="E26" s="10">
        <v>10</v>
      </c>
      <c r="G26" s="10"/>
    </row>
    <row r="27" spans="2:7" x14ac:dyDescent="0.25">
      <c r="B27" s="1" t="s">
        <v>112</v>
      </c>
      <c r="C27" s="1" t="s">
        <v>128</v>
      </c>
      <c r="D27" t="s">
        <v>47</v>
      </c>
      <c r="E27" s="10"/>
      <c r="G27" s="10"/>
    </row>
    <row r="28" spans="2:7" x14ac:dyDescent="0.25">
      <c r="B28" s="1" t="s">
        <v>112</v>
      </c>
      <c r="C28" s="1" t="s">
        <v>129</v>
      </c>
      <c r="D28" t="s">
        <v>31</v>
      </c>
      <c r="E28" s="10"/>
      <c r="G28" s="10"/>
    </row>
    <row r="29" spans="2:7" x14ac:dyDescent="0.25">
      <c r="B29" s="1" t="s">
        <v>304</v>
      </c>
      <c r="C29" s="1" t="s">
        <v>130</v>
      </c>
      <c r="D29" t="s">
        <v>110</v>
      </c>
      <c r="E29" s="10"/>
      <c r="G29" s="10"/>
    </row>
    <row r="30" spans="2:7" x14ac:dyDescent="0.25">
      <c r="B30" s="1" t="s">
        <v>304</v>
      </c>
      <c r="C30" s="1" t="s">
        <v>131</v>
      </c>
      <c r="D30" t="s">
        <v>27</v>
      </c>
      <c r="E30" s="10"/>
      <c r="G30" s="10"/>
    </row>
    <row r="32" spans="2:7" x14ac:dyDescent="0.25">
      <c r="D32" s="13" t="s">
        <v>63</v>
      </c>
    </row>
    <row r="33" spans="2:7" x14ac:dyDescent="0.25">
      <c r="B33" s="1" t="s">
        <v>112</v>
      </c>
      <c r="C33" s="1" t="s">
        <v>93</v>
      </c>
      <c r="D33" t="s">
        <v>79</v>
      </c>
      <c r="E33" s="10">
        <v>2</v>
      </c>
      <c r="G33" s="10"/>
    </row>
    <row r="34" spans="2:7" x14ac:dyDescent="0.25">
      <c r="B34" s="1" t="s">
        <v>112</v>
      </c>
      <c r="C34" s="1" t="s">
        <v>132</v>
      </c>
      <c r="D34" t="s">
        <v>25</v>
      </c>
      <c r="E34" s="10"/>
      <c r="G34" s="10"/>
    </row>
    <row r="35" spans="2:7" x14ac:dyDescent="0.25">
      <c r="B35" s="1" t="s">
        <v>112</v>
      </c>
      <c r="C35" s="1" t="s">
        <v>133</v>
      </c>
      <c r="D35" t="s">
        <v>26</v>
      </c>
      <c r="E35" s="10"/>
      <c r="G35" s="10"/>
    </row>
    <row r="36" spans="2:7" x14ac:dyDescent="0.25">
      <c r="B36" s="1" t="s">
        <v>112</v>
      </c>
      <c r="C36" s="1" t="s">
        <v>134</v>
      </c>
      <c r="D36" t="s">
        <v>91</v>
      </c>
      <c r="E36" s="10"/>
      <c r="G36" s="10"/>
    </row>
    <row r="37" spans="2:7" x14ac:dyDescent="0.25">
      <c r="B37" s="1" t="s">
        <v>112</v>
      </c>
      <c r="C37" s="1" t="s">
        <v>135</v>
      </c>
      <c r="D37" t="s">
        <v>107</v>
      </c>
      <c r="E37" s="10"/>
      <c r="G37" s="10"/>
    </row>
    <row r="38" spans="2:7" x14ac:dyDescent="0.25">
      <c r="B38" s="1" t="s">
        <v>112</v>
      </c>
      <c r="C38" s="1" t="s">
        <v>136</v>
      </c>
      <c r="D38" t="s">
        <v>81</v>
      </c>
      <c r="E38" s="10"/>
      <c r="G38" s="10"/>
    </row>
    <row r="39" spans="2:7" x14ac:dyDescent="0.25">
      <c r="B39" s="1" t="s">
        <v>112</v>
      </c>
      <c r="C39" s="1" t="s">
        <v>137</v>
      </c>
      <c r="D39" t="s">
        <v>82</v>
      </c>
      <c r="E39" s="10"/>
      <c r="G39" s="10"/>
    </row>
    <row r="40" spans="2:7" x14ac:dyDescent="0.25">
      <c r="B40" s="1" t="s">
        <v>112</v>
      </c>
      <c r="C40" s="1" t="s">
        <v>138</v>
      </c>
      <c r="D40" t="s">
        <v>223</v>
      </c>
      <c r="E40" s="10"/>
      <c r="G40" s="10"/>
    </row>
    <row r="41" spans="2:7" x14ac:dyDescent="0.25">
      <c r="B41" s="1" t="s">
        <v>112</v>
      </c>
      <c r="C41" s="1" t="s">
        <v>293</v>
      </c>
      <c r="D41" t="s">
        <v>294</v>
      </c>
      <c r="E41" s="10"/>
      <c r="G41" s="10"/>
    </row>
    <row r="42" spans="2:7" x14ac:dyDescent="0.25">
      <c r="B42" s="1" t="s">
        <v>112</v>
      </c>
      <c r="C42" s="1" t="s">
        <v>139</v>
      </c>
      <c r="D42" t="s">
        <v>45</v>
      </c>
      <c r="E42" s="10"/>
      <c r="G42" s="10"/>
    </row>
    <row r="43" spans="2:7" x14ac:dyDescent="0.25">
      <c r="B43" s="1" t="s">
        <v>112</v>
      </c>
      <c r="C43" s="1" t="s">
        <v>99</v>
      </c>
      <c r="D43" t="s">
        <v>13</v>
      </c>
      <c r="E43" s="10"/>
      <c r="G43" s="10"/>
    </row>
    <row r="44" spans="2:7" x14ac:dyDescent="0.25">
      <c r="B44" s="1" t="s">
        <v>112</v>
      </c>
      <c r="C44" s="1" t="s">
        <v>153</v>
      </c>
      <c r="D44" t="s">
        <v>14</v>
      </c>
      <c r="E44" s="10"/>
      <c r="G44" s="10"/>
    </row>
    <row r="45" spans="2:7" x14ac:dyDescent="0.25">
      <c r="B45" s="1" t="s">
        <v>112</v>
      </c>
      <c r="C45" s="1" t="s">
        <v>140</v>
      </c>
      <c r="D45" t="s">
        <v>58</v>
      </c>
      <c r="E45" s="10"/>
      <c r="G45" s="10"/>
    </row>
    <row r="46" spans="2:7" x14ac:dyDescent="0.25">
      <c r="B46" s="1" t="s">
        <v>112</v>
      </c>
      <c r="C46" s="1" t="s">
        <v>241</v>
      </c>
      <c r="D46" t="s">
        <v>21</v>
      </c>
      <c r="E46" s="10"/>
      <c r="G46" s="10"/>
    </row>
    <row r="47" spans="2:7" x14ac:dyDescent="0.25">
      <c r="B47" s="1" t="s">
        <v>112</v>
      </c>
      <c r="C47" s="1" t="s">
        <v>141</v>
      </c>
      <c r="D47" t="s">
        <v>242</v>
      </c>
      <c r="E47" s="10"/>
      <c r="G47" s="10"/>
    </row>
    <row r="48" spans="2:7" x14ac:dyDescent="0.25">
      <c r="B48" s="1" t="s">
        <v>112</v>
      </c>
      <c r="C48" s="1" t="s">
        <v>227</v>
      </c>
      <c r="D48" t="s">
        <v>228</v>
      </c>
      <c r="E48" s="10"/>
      <c r="G48" s="10"/>
    </row>
    <row r="50" spans="2:7" x14ac:dyDescent="0.25">
      <c r="D50" s="13" t="s">
        <v>95</v>
      </c>
    </row>
    <row r="51" spans="2:7" x14ac:dyDescent="0.25">
      <c r="B51" s="1" t="s">
        <v>112</v>
      </c>
      <c r="C51" s="1" t="s">
        <v>152</v>
      </c>
      <c r="D51" t="s">
        <v>80</v>
      </c>
      <c r="E51" s="10"/>
      <c r="G51" s="10"/>
    </row>
    <row r="52" spans="2:7" x14ac:dyDescent="0.25">
      <c r="B52" s="1" t="s">
        <v>112</v>
      </c>
      <c r="C52" s="1" t="s">
        <v>142</v>
      </c>
      <c r="D52" t="s">
        <v>278</v>
      </c>
      <c r="E52" s="10"/>
      <c r="G52" s="10"/>
    </row>
    <row r="53" spans="2:7" x14ac:dyDescent="0.25">
      <c r="B53" s="1" t="s">
        <v>112</v>
      </c>
      <c r="C53" s="1" t="s">
        <v>143</v>
      </c>
      <c r="D53" t="s">
        <v>38</v>
      </c>
      <c r="E53" s="10"/>
      <c r="G53" s="10"/>
    </row>
    <row r="54" spans="2:7" x14ac:dyDescent="0.25">
      <c r="B54" s="1" t="s">
        <v>112</v>
      </c>
      <c r="C54" s="1" t="s">
        <v>151</v>
      </c>
      <c r="D54" t="s">
        <v>44</v>
      </c>
      <c r="E54" s="10"/>
      <c r="G54" s="10"/>
    </row>
    <row r="55" spans="2:7" x14ac:dyDescent="0.25">
      <c r="B55" s="1" t="s">
        <v>112</v>
      </c>
      <c r="C55" s="1" t="s">
        <v>144</v>
      </c>
      <c r="D55" t="s">
        <v>39</v>
      </c>
      <c r="E55" s="10"/>
      <c r="G55" s="10"/>
    </row>
    <row r="56" spans="2:7" x14ac:dyDescent="0.25">
      <c r="B56" s="1" t="s">
        <v>112</v>
      </c>
      <c r="C56" s="1" t="s">
        <v>145</v>
      </c>
      <c r="D56" t="s">
        <v>40</v>
      </c>
      <c r="E56" s="10"/>
      <c r="G56" s="10"/>
    </row>
    <row r="57" spans="2:7" x14ac:dyDescent="0.25">
      <c r="B57" s="1" t="s">
        <v>112</v>
      </c>
      <c r="C57" s="1" t="s">
        <v>150</v>
      </c>
      <c r="D57" t="s">
        <v>41</v>
      </c>
      <c r="E57" s="10"/>
      <c r="G57" s="10"/>
    </row>
    <row r="58" spans="2:7" x14ac:dyDescent="0.25">
      <c r="B58" s="1" t="s">
        <v>112</v>
      </c>
      <c r="C58" s="1" t="s">
        <v>146</v>
      </c>
      <c r="D58" t="s">
        <v>43</v>
      </c>
      <c r="E58" s="10"/>
      <c r="G58" s="10"/>
    </row>
    <row r="59" spans="2:7" x14ac:dyDescent="0.25">
      <c r="B59" s="1" t="s">
        <v>112</v>
      </c>
      <c r="C59" s="1" t="s">
        <v>147</v>
      </c>
      <c r="D59" t="s">
        <v>108</v>
      </c>
      <c r="E59" s="10"/>
      <c r="G59" s="10"/>
    </row>
    <row r="60" spans="2:7" x14ac:dyDescent="0.25">
      <c r="B60" s="1" t="s">
        <v>112</v>
      </c>
      <c r="C60" s="1" t="s">
        <v>149</v>
      </c>
      <c r="D60" t="s">
        <v>42</v>
      </c>
      <c r="E60" s="10"/>
      <c r="G60" s="10"/>
    </row>
    <row r="61" spans="2:7" x14ac:dyDescent="0.25">
      <c r="B61" s="1" t="s">
        <v>112</v>
      </c>
      <c r="C61" s="1" t="s">
        <v>148</v>
      </c>
      <c r="D61" t="s">
        <v>109</v>
      </c>
      <c r="E61" s="10"/>
      <c r="G61" s="10"/>
    </row>
    <row r="62" spans="2:7" x14ac:dyDescent="0.25">
      <c r="B62" s="1" t="s">
        <v>222</v>
      </c>
      <c r="C62" s="1" t="s">
        <v>193</v>
      </c>
      <c r="D62" t="s">
        <v>299</v>
      </c>
      <c r="E62" s="3"/>
      <c r="G62" s="3"/>
    </row>
    <row r="64" spans="2:7" x14ac:dyDescent="0.25">
      <c r="D64" s="13" t="s">
        <v>67</v>
      </c>
    </row>
    <row r="65" spans="2:7" x14ac:dyDescent="0.25">
      <c r="B65" s="1" t="s">
        <v>304</v>
      </c>
      <c r="C65" s="1" t="s">
        <v>94</v>
      </c>
      <c r="D65" t="s">
        <v>277</v>
      </c>
      <c r="E65" s="10">
        <v>1</v>
      </c>
      <c r="G65" s="10"/>
    </row>
    <row r="66" spans="2:7" x14ac:dyDescent="0.25">
      <c r="B66" s="1" t="s">
        <v>222</v>
      </c>
      <c r="C66" s="1" t="s">
        <v>212</v>
      </c>
      <c r="D66" t="s">
        <v>268</v>
      </c>
      <c r="E66" s="3"/>
      <c r="G66" s="3"/>
    </row>
    <row r="67" spans="2:7" x14ac:dyDescent="0.25">
      <c r="B67" s="1" t="s">
        <v>304</v>
      </c>
      <c r="C67" s="1" t="s">
        <v>155</v>
      </c>
      <c r="D67" t="s">
        <v>4</v>
      </c>
      <c r="E67" s="10">
        <v>5</v>
      </c>
      <c r="G67" s="10" t="s">
        <v>352</v>
      </c>
    </row>
    <row r="68" spans="2:7" x14ac:dyDescent="0.25">
      <c r="B68" s="1" t="s">
        <v>304</v>
      </c>
      <c r="C68" s="1" t="s">
        <v>156</v>
      </c>
      <c r="D68" t="s">
        <v>35</v>
      </c>
      <c r="E68" s="10">
        <v>8</v>
      </c>
      <c r="G68" s="10" t="s">
        <v>353</v>
      </c>
    </row>
    <row r="69" spans="2:7" x14ac:dyDescent="0.25">
      <c r="B69" s="1" t="s">
        <v>304</v>
      </c>
      <c r="C69" s="1" t="s">
        <v>157</v>
      </c>
      <c r="D69" t="s">
        <v>15</v>
      </c>
      <c r="E69" s="10">
        <v>10</v>
      </c>
      <c r="G69" s="10" t="s">
        <v>354</v>
      </c>
    </row>
    <row r="70" spans="2:7" x14ac:dyDescent="0.25">
      <c r="B70" s="1" t="s">
        <v>304</v>
      </c>
      <c r="C70" s="1" t="s">
        <v>158</v>
      </c>
      <c r="D70" t="s">
        <v>59</v>
      </c>
      <c r="E70" s="10"/>
      <c r="G70" s="10"/>
    </row>
    <row r="71" spans="2:7" x14ac:dyDescent="0.25">
      <c r="B71" s="1" t="s">
        <v>304</v>
      </c>
      <c r="C71" s="1" t="s">
        <v>264</v>
      </c>
      <c r="D71" t="s">
        <v>309</v>
      </c>
      <c r="E71" s="10"/>
      <c r="G71" s="10"/>
    </row>
    <row r="72" spans="2:7" x14ac:dyDescent="0.25">
      <c r="B72" s="1" t="s">
        <v>306</v>
      </c>
      <c r="C72" s="1" t="s">
        <v>307</v>
      </c>
      <c r="D72" t="s">
        <v>308</v>
      </c>
      <c r="E72" s="10"/>
      <c r="G72" s="10"/>
    </row>
    <row r="74" spans="2:7" x14ac:dyDescent="0.25">
      <c r="D74" s="13" t="s">
        <v>68</v>
      </c>
    </row>
    <row r="75" spans="2:7" x14ac:dyDescent="0.25">
      <c r="B75" s="1" t="s">
        <v>304</v>
      </c>
      <c r="C75" s="1" t="s">
        <v>100</v>
      </c>
      <c r="D75" t="s">
        <v>30</v>
      </c>
      <c r="E75" s="10"/>
      <c r="G75" s="10"/>
    </row>
    <row r="76" spans="2:7" x14ac:dyDescent="0.25">
      <c r="B76" s="1" t="s">
        <v>222</v>
      </c>
      <c r="C76" s="1" t="s">
        <v>219</v>
      </c>
      <c r="D76" t="s">
        <v>269</v>
      </c>
      <c r="E76" s="3"/>
      <c r="G76" s="3"/>
    </row>
    <row r="77" spans="2:7" x14ac:dyDescent="0.25">
      <c r="B77" s="1" t="s">
        <v>305</v>
      </c>
      <c r="C77" s="1" t="s">
        <v>159</v>
      </c>
      <c r="D77" t="s">
        <v>2</v>
      </c>
      <c r="E77" s="10">
        <v>1</v>
      </c>
      <c r="G77" s="10" t="s">
        <v>355</v>
      </c>
    </row>
    <row r="78" spans="2:7" x14ac:dyDescent="0.25">
      <c r="B78" s="1" t="s">
        <v>304</v>
      </c>
      <c r="C78" s="1" t="s">
        <v>160</v>
      </c>
      <c r="D78" t="s">
        <v>102</v>
      </c>
      <c r="E78" s="10"/>
      <c r="G78" s="10"/>
    </row>
    <row r="79" spans="2:7" x14ac:dyDescent="0.25">
      <c r="B79" s="1" t="s">
        <v>305</v>
      </c>
      <c r="C79" s="1" t="s">
        <v>161</v>
      </c>
      <c r="D79" t="s">
        <v>312</v>
      </c>
      <c r="E79" s="10"/>
      <c r="G79" s="10"/>
    </row>
    <row r="80" spans="2:7" x14ac:dyDescent="0.25">
      <c r="B80" s="1" t="s">
        <v>306</v>
      </c>
      <c r="C80" s="1" t="s">
        <v>310</v>
      </c>
      <c r="D80" t="s">
        <v>311</v>
      </c>
      <c r="E80" s="10"/>
      <c r="G80" s="10"/>
    </row>
    <row r="81" spans="2:7" x14ac:dyDescent="0.25">
      <c r="B81" s="1" t="s">
        <v>306</v>
      </c>
      <c r="C81" s="1" t="s">
        <v>162</v>
      </c>
      <c r="D81" t="s">
        <v>28</v>
      </c>
      <c r="E81" s="10"/>
      <c r="G81" s="10"/>
    </row>
    <row r="82" spans="2:7" x14ac:dyDescent="0.25">
      <c r="B82" s="1" t="s">
        <v>305</v>
      </c>
      <c r="C82" s="1" t="s">
        <v>163</v>
      </c>
      <c r="D82" t="s">
        <v>33</v>
      </c>
      <c r="E82" s="10"/>
      <c r="G82" s="10"/>
    </row>
    <row r="83" spans="2:7" x14ac:dyDescent="0.25">
      <c r="B83" s="1" t="s">
        <v>305</v>
      </c>
      <c r="C83" s="1" t="s">
        <v>164</v>
      </c>
      <c r="D83" t="s">
        <v>111</v>
      </c>
      <c r="E83" s="10"/>
      <c r="G83" s="10"/>
    </row>
    <row r="84" spans="2:7" x14ac:dyDescent="0.25">
      <c r="B84" s="1" t="s">
        <v>304</v>
      </c>
      <c r="C84" s="1" t="s">
        <v>262</v>
      </c>
      <c r="D84" t="s">
        <v>315</v>
      </c>
      <c r="E84" s="10"/>
      <c r="G84" s="10"/>
    </row>
    <row r="85" spans="2:7" x14ac:dyDescent="0.25">
      <c r="B85" s="1" t="s">
        <v>306</v>
      </c>
      <c r="C85" s="1" t="s">
        <v>313</v>
      </c>
      <c r="D85" t="s">
        <v>314</v>
      </c>
      <c r="E85" s="10"/>
      <c r="G85" s="10"/>
    </row>
    <row r="86" spans="2:7" x14ac:dyDescent="0.25">
      <c r="B86" s="1" t="s">
        <v>306</v>
      </c>
      <c r="C86" s="1" t="s">
        <v>165</v>
      </c>
      <c r="D86" t="s">
        <v>78</v>
      </c>
      <c r="E86" s="10"/>
      <c r="G86" s="10"/>
    </row>
    <row r="87" spans="2:7" x14ac:dyDescent="0.25">
      <c r="B87" s="1" t="s">
        <v>306</v>
      </c>
      <c r="C87" s="1" t="s">
        <v>166</v>
      </c>
      <c r="D87" t="s">
        <v>84</v>
      </c>
      <c r="E87" s="10"/>
      <c r="G87" s="10"/>
    </row>
    <row r="88" spans="2:7" x14ac:dyDescent="0.25">
      <c r="B88" s="1" t="s">
        <v>306</v>
      </c>
      <c r="C88" s="1" t="s">
        <v>167</v>
      </c>
      <c r="D88" t="s">
        <v>85</v>
      </c>
      <c r="E88" s="10"/>
      <c r="G88" s="10"/>
    </row>
    <row r="90" spans="2:7" x14ac:dyDescent="0.25">
      <c r="D90" s="13" t="s">
        <v>69</v>
      </c>
    </row>
    <row r="91" spans="2:7" x14ac:dyDescent="0.25">
      <c r="B91" s="1" t="s">
        <v>304</v>
      </c>
      <c r="C91" s="1" t="s">
        <v>101</v>
      </c>
      <c r="D91" t="s">
        <v>29</v>
      </c>
      <c r="E91" s="10"/>
      <c r="G91" s="10"/>
    </row>
    <row r="92" spans="2:7" x14ac:dyDescent="0.25">
      <c r="B92" s="1" t="s">
        <v>222</v>
      </c>
      <c r="C92" s="1" t="s">
        <v>219</v>
      </c>
      <c r="D92" t="s">
        <v>297</v>
      </c>
      <c r="E92" s="3"/>
      <c r="G92" s="3"/>
    </row>
    <row r="93" spans="2:7" x14ac:dyDescent="0.25">
      <c r="B93" s="1" t="s">
        <v>305</v>
      </c>
      <c r="C93" s="1" t="s">
        <v>168</v>
      </c>
      <c r="D93" t="s">
        <v>3</v>
      </c>
      <c r="E93" s="10">
        <v>2</v>
      </c>
      <c r="G93" s="10" t="s">
        <v>357</v>
      </c>
    </row>
    <row r="94" spans="2:7" x14ac:dyDescent="0.25">
      <c r="B94" s="1" t="s">
        <v>304</v>
      </c>
      <c r="C94" s="1" t="s">
        <v>169</v>
      </c>
      <c r="D94" t="s">
        <v>103</v>
      </c>
      <c r="E94" s="10"/>
      <c r="G94" s="10"/>
    </row>
    <row r="95" spans="2:7" x14ac:dyDescent="0.25">
      <c r="B95" s="1" t="s">
        <v>305</v>
      </c>
      <c r="C95" s="1" t="s">
        <v>170</v>
      </c>
      <c r="D95" t="s">
        <v>326</v>
      </c>
      <c r="E95" s="10">
        <v>1</v>
      </c>
      <c r="G95" s="10"/>
    </row>
    <row r="96" spans="2:7" x14ac:dyDescent="0.25">
      <c r="B96" s="1" t="s">
        <v>306</v>
      </c>
      <c r="C96" s="1" t="s">
        <v>316</v>
      </c>
      <c r="D96" t="s">
        <v>317</v>
      </c>
      <c r="E96" s="10">
        <v>2</v>
      </c>
      <c r="G96" s="10" t="s">
        <v>360</v>
      </c>
    </row>
    <row r="97" spans="2:7" x14ac:dyDescent="0.25">
      <c r="B97" s="1" t="s">
        <v>306</v>
      </c>
      <c r="C97" s="1" t="s">
        <v>171</v>
      </c>
      <c r="D97" t="s">
        <v>32</v>
      </c>
      <c r="E97" s="10"/>
      <c r="G97" s="10"/>
    </row>
    <row r="98" spans="2:7" x14ac:dyDescent="0.25">
      <c r="B98" s="1" t="s">
        <v>305</v>
      </c>
      <c r="C98" s="1" t="s">
        <v>172</v>
      </c>
      <c r="D98" t="s">
        <v>34</v>
      </c>
      <c r="E98" s="10"/>
      <c r="G98" s="10"/>
    </row>
    <row r="99" spans="2:7" x14ac:dyDescent="0.25">
      <c r="B99" s="1" t="s">
        <v>305</v>
      </c>
      <c r="C99" s="1" t="s">
        <v>176</v>
      </c>
      <c r="D99" t="s">
        <v>303</v>
      </c>
      <c r="E99" s="10"/>
      <c r="G99" s="10"/>
    </row>
    <row r="100" spans="2:7" x14ac:dyDescent="0.25">
      <c r="B100" s="1" t="s">
        <v>306</v>
      </c>
      <c r="C100" s="1" t="s">
        <v>177</v>
      </c>
      <c r="D100" t="s">
        <v>72</v>
      </c>
      <c r="E100" s="10"/>
      <c r="G100" s="10"/>
    </row>
    <row r="101" spans="2:7" x14ac:dyDescent="0.25">
      <c r="B101" s="1" t="s">
        <v>305</v>
      </c>
      <c r="C101" s="1" t="s">
        <v>178</v>
      </c>
      <c r="D101" t="s">
        <v>73</v>
      </c>
      <c r="E101" s="10"/>
      <c r="G101" s="10"/>
    </row>
    <row r="102" spans="2:7" x14ac:dyDescent="0.25">
      <c r="B102" s="1" t="s">
        <v>304</v>
      </c>
      <c r="C102" s="1" t="s">
        <v>263</v>
      </c>
      <c r="D102" t="s">
        <v>320</v>
      </c>
      <c r="E102" s="10"/>
      <c r="G102" s="10"/>
    </row>
    <row r="103" spans="2:7" x14ac:dyDescent="0.25">
      <c r="B103" s="1" t="s">
        <v>306</v>
      </c>
      <c r="C103" s="1" t="s">
        <v>318</v>
      </c>
      <c r="D103" t="s">
        <v>319</v>
      </c>
      <c r="E103" s="10"/>
      <c r="G103" s="10"/>
    </row>
    <row r="104" spans="2:7" x14ac:dyDescent="0.25">
      <c r="B104" s="1" t="s">
        <v>306</v>
      </c>
      <c r="C104" s="1" t="s">
        <v>173</v>
      </c>
      <c r="D104" t="s">
        <v>86</v>
      </c>
      <c r="E104" s="10"/>
      <c r="G104" s="10"/>
    </row>
    <row r="105" spans="2:7" x14ac:dyDescent="0.25">
      <c r="B105" s="1" t="s">
        <v>306</v>
      </c>
      <c r="C105" s="1" t="s">
        <v>174</v>
      </c>
      <c r="D105" t="s">
        <v>87</v>
      </c>
      <c r="E105" s="10"/>
      <c r="G105" s="10"/>
    </row>
    <row r="106" spans="2:7" x14ac:dyDescent="0.25">
      <c r="B106" s="1" t="s">
        <v>306</v>
      </c>
      <c r="C106" s="1" t="s">
        <v>175</v>
      </c>
      <c r="D106" t="s">
        <v>88</v>
      </c>
      <c r="E106" s="10"/>
      <c r="G106" s="10"/>
    </row>
    <row r="108" spans="2:7" x14ac:dyDescent="0.25">
      <c r="D108" s="13" t="s">
        <v>70</v>
      </c>
    </row>
    <row r="109" spans="2:7" x14ac:dyDescent="0.25">
      <c r="B109" s="1" t="s">
        <v>304</v>
      </c>
      <c r="C109" s="1" t="s">
        <v>96</v>
      </c>
      <c r="D109" t="s">
        <v>324</v>
      </c>
      <c r="E109" s="10"/>
      <c r="G109" s="10"/>
    </row>
    <row r="110" spans="2:7" x14ac:dyDescent="0.25">
      <c r="B110" s="1" t="s">
        <v>304</v>
      </c>
      <c r="C110" s="1" t="s">
        <v>179</v>
      </c>
      <c r="D110" t="s">
        <v>321</v>
      </c>
      <c r="E110" s="10"/>
      <c r="G110" s="10"/>
    </row>
    <row r="111" spans="2:7" x14ac:dyDescent="0.25">
      <c r="B111" s="1" t="s">
        <v>306</v>
      </c>
      <c r="C111" s="1" t="s">
        <v>322</v>
      </c>
      <c r="D111" t="s">
        <v>323</v>
      </c>
      <c r="E111" s="10"/>
      <c r="G111" s="10"/>
    </row>
    <row r="112" spans="2:7" x14ac:dyDescent="0.25">
      <c r="B112" s="1" t="s">
        <v>305</v>
      </c>
      <c r="C112" s="1" t="s">
        <v>180</v>
      </c>
      <c r="D112" t="s">
        <v>51</v>
      </c>
      <c r="E112" s="10"/>
      <c r="G112" s="10"/>
    </row>
    <row r="113" spans="2:7" x14ac:dyDescent="0.25">
      <c r="B113" s="1" t="s">
        <v>305</v>
      </c>
      <c r="C113" s="1" t="s">
        <v>181</v>
      </c>
      <c r="D113" t="s">
        <v>327</v>
      </c>
      <c r="E113" s="10"/>
      <c r="G113" s="10"/>
    </row>
    <row r="114" spans="2:7" x14ac:dyDescent="0.25">
      <c r="B114" s="1" t="s">
        <v>305</v>
      </c>
      <c r="C114" s="1" t="s">
        <v>182</v>
      </c>
      <c r="D114" t="s">
        <v>328</v>
      </c>
      <c r="E114" s="10"/>
      <c r="G114" s="10"/>
    </row>
    <row r="115" spans="2:7" x14ac:dyDescent="0.25">
      <c r="B115" s="1" t="s">
        <v>306</v>
      </c>
      <c r="C115" s="1" t="s">
        <v>325</v>
      </c>
      <c r="D115" t="s">
        <v>329</v>
      </c>
      <c r="E115" s="12"/>
      <c r="G115" s="12"/>
    </row>
    <row r="117" spans="2:7" x14ac:dyDescent="0.25">
      <c r="D117" s="13" t="s">
        <v>71</v>
      </c>
    </row>
    <row r="118" spans="2:7" x14ac:dyDescent="0.25">
      <c r="B118" s="1" t="s">
        <v>112</v>
      </c>
      <c r="C118" s="1" t="s">
        <v>183</v>
      </c>
      <c r="D118" t="s">
        <v>54</v>
      </c>
      <c r="E118" s="10"/>
      <c r="G118" s="10"/>
    </row>
    <row r="119" spans="2:7" x14ac:dyDescent="0.25">
      <c r="B119" s="1" t="s">
        <v>112</v>
      </c>
      <c r="C119" s="1" t="s">
        <v>184</v>
      </c>
      <c r="D119" t="s">
        <v>18</v>
      </c>
      <c r="E119" s="10"/>
      <c r="G119" s="10"/>
    </row>
    <row r="121" spans="2:7" x14ac:dyDescent="0.25">
      <c r="D121" s="13" t="s">
        <v>74</v>
      </c>
    </row>
    <row r="122" spans="2:7" x14ac:dyDescent="0.25">
      <c r="B122" s="1" t="s">
        <v>222</v>
      </c>
      <c r="C122" s="1" t="s">
        <v>280</v>
      </c>
      <c r="D122" t="s">
        <v>275</v>
      </c>
      <c r="E122" s="3"/>
      <c r="G122" s="3"/>
    </row>
    <row r="123" spans="2:7" x14ac:dyDescent="0.25">
      <c r="B123" s="1" t="s">
        <v>304</v>
      </c>
      <c r="C123" s="1" t="s">
        <v>185</v>
      </c>
      <c r="D123" t="s">
        <v>36</v>
      </c>
      <c r="E123" s="10">
        <v>4</v>
      </c>
      <c r="G123" s="10" t="s">
        <v>356</v>
      </c>
    </row>
    <row r="124" spans="2:7" x14ac:dyDescent="0.25">
      <c r="B124" s="1" t="s">
        <v>304</v>
      </c>
      <c r="C124" s="1" t="s">
        <v>186</v>
      </c>
      <c r="D124" t="s">
        <v>5</v>
      </c>
      <c r="E124" s="10">
        <v>4</v>
      </c>
      <c r="G124" s="10"/>
    </row>
    <row r="125" spans="2:7" x14ac:dyDescent="0.25">
      <c r="B125" s="1" t="s">
        <v>306</v>
      </c>
      <c r="C125" s="1" t="s">
        <v>187</v>
      </c>
      <c r="D125" t="s">
        <v>16</v>
      </c>
      <c r="E125" s="10">
        <v>12</v>
      </c>
      <c r="G125" s="10"/>
    </row>
    <row r="126" spans="2:7" x14ac:dyDescent="0.25">
      <c r="B126" s="1" t="s">
        <v>304</v>
      </c>
      <c r="C126" s="1" t="s">
        <v>188</v>
      </c>
      <c r="D126" t="s">
        <v>332</v>
      </c>
      <c r="E126" s="10"/>
      <c r="G126" s="10"/>
    </row>
    <row r="127" spans="2:7" x14ac:dyDescent="0.25">
      <c r="B127" s="1" t="s">
        <v>306</v>
      </c>
      <c r="C127" s="1" t="s">
        <v>330</v>
      </c>
      <c r="D127" t="s">
        <v>331</v>
      </c>
      <c r="E127" s="10"/>
      <c r="G127" s="10"/>
    </row>
    <row r="128" spans="2:7" x14ac:dyDescent="0.25">
      <c r="B128" s="1" t="s">
        <v>305</v>
      </c>
      <c r="C128" s="1" t="s">
        <v>189</v>
      </c>
      <c r="D128" t="s">
        <v>6</v>
      </c>
      <c r="E128" s="10">
        <v>12</v>
      </c>
      <c r="G128" s="10" t="s">
        <v>358</v>
      </c>
    </row>
    <row r="129" spans="2:7" x14ac:dyDescent="0.25">
      <c r="B129" s="1" t="s">
        <v>305</v>
      </c>
      <c r="C129" s="1" t="s">
        <v>190</v>
      </c>
      <c r="D129" t="s">
        <v>37</v>
      </c>
      <c r="E129" s="10"/>
      <c r="G129" s="10"/>
    </row>
    <row r="130" spans="2:7" x14ac:dyDescent="0.25">
      <c r="B130" s="1" t="s">
        <v>305</v>
      </c>
      <c r="C130" s="1" t="s">
        <v>191</v>
      </c>
      <c r="D130" t="s">
        <v>50</v>
      </c>
      <c r="E130" s="10"/>
      <c r="G130" s="10"/>
    </row>
    <row r="131" spans="2:7" x14ac:dyDescent="0.25">
      <c r="B131" s="1" t="s">
        <v>305</v>
      </c>
      <c r="C131" s="1" t="s">
        <v>192</v>
      </c>
      <c r="D131" t="s">
        <v>55</v>
      </c>
      <c r="E131" s="10"/>
      <c r="G131" s="10"/>
    </row>
    <row r="132" spans="2:7" x14ac:dyDescent="0.25">
      <c r="B132" s="1" t="s">
        <v>306</v>
      </c>
      <c r="C132" s="1" t="s">
        <v>229</v>
      </c>
      <c r="D132" t="s">
        <v>231</v>
      </c>
      <c r="E132" s="10"/>
      <c r="G132" s="10"/>
    </row>
    <row r="133" spans="2:7" x14ac:dyDescent="0.25">
      <c r="B133" s="1" t="s">
        <v>306</v>
      </c>
      <c r="C133" s="1" t="s">
        <v>230</v>
      </c>
      <c r="D133" t="s">
        <v>232</v>
      </c>
      <c r="E133" s="10"/>
      <c r="G133" s="10"/>
    </row>
    <row r="134" spans="2:7" x14ac:dyDescent="0.25">
      <c r="B134" s="1" t="s">
        <v>222</v>
      </c>
      <c r="C134" s="1" t="s">
        <v>284</v>
      </c>
      <c r="D134" t="s">
        <v>48</v>
      </c>
      <c r="E134" s="3"/>
      <c r="G134" s="3"/>
    </row>
    <row r="135" spans="2:7" x14ac:dyDescent="0.25">
      <c r="B135" s="1" t="s">
        <v>304</v>
      </c>
      <c r="C135" s="1" t="s">
        <v>194</v>
      </c>
      <c r="D135" t="s">
        <v>334</v>
      </c>
      <c r="E135" s="10">
        <v>4</v>
      </c>
      <c r="G135" s="10"/>
    </row>
    <row r="136" spans="2:7" x14ac:dyDescent="0.25">
      <c r="B136" s="1" t="s">
        <v>306</v>
      </c>
      <c r="C136" s="1" t="s">
        <v>333</v>
      </c>
      <c r="D136" t="s">
        <v>335</v>
      </c>
      <c r="E136" s="10">
        <v>8</v>
      </c>
      <c r="G136" s="10" t="s">
        <v>351</v>
      </c>
    </row>
    <row r="137" spans="2:7" x14ac:dyDescent="0.25">
      <c r="B137" s="1" t="s">
        <v>306</v>
      </c>
      <c r="C137" s="1" t="s">
        <v>195</v>
      </c>
      <c r="D137" t="s">
        <v>8</v>
      </c>
      <c r="E137" s="10">
        <v>22</v>
      </c>
      <c r="G137" s="10"/>
    </row>
    <row r="138" spans="2:7" x14ac:dyDescent="0.25">
      <c r="B138" s="1" t="s">
        <v>113</v>
      </c>
      <c r="C138" s="1" t="s">
        <v>196</v>
      </c>
      <c r="D138" t="s">
        <v>60</v>
      </c>
      <c r="E138" s="10">
        <v>2</v>
      </c>
      <c r="G138" s="10"/>
    </row>
    <row r="140" spans="2:7" x14ac:dyDescent="0.25">
      <c r="D140" s="13" t="s">
        <v>89</v>
      </c>
    </row>
    <row r="141" spans="2:7" x14ac:dyDescent="0.25">
      <c r="B141" s="1" t="s">
        <v>305</v>
      </c>
      <c r="C141" s="1" t="s">
        <v>97</v>
      </c>
      <c r="D141" t="s">
        <v>56</v>
      </c>
      <c r="E141" s="10"/>
      <c r="G141" s="10"/>
    </row>
    <row r="142" spans="2:7" x14ac:dyDescent="0.25">
      <c r="B142" s="1" t="s">
        <v>306</v>
      </c>
      <c r="C142" s="1" t="s">
        <v>198</v>
      </c>
      <c r="D142" t="s">
        <v>57</v>
      </c>
      <c r="E142" s="10"/>
      <c r="G142" s="10"/>
    </row>
    <row r="143" spans="2:7" x14ac:dyDescent="0.25">
      <c r="B143" s="1" t="s">
        <v>305</v>
      </c>
      <c r="C143" s="1" t="s">
        <v>199</v>
      </c>
      <c r="D143" t="s">
        <v>342</v>
      </c>
      <c r="E143" s="10"/>
      <c r="G143" s="10"/>
    </row>
    <row r="144" spans="2:7" x14ac:dyDescent="0.25">
      <c r="B144" s="1" t="s">
        <v>306</v>
      </c>
      <c r="C144" s="1" t="s">
        <v>343</v>
      </c>
      <c r="D144" t="s">
        <v>344</v>
      </c>
      <c r="E144" s="10"/>
      <c r="G144" s="10"/>
    </row>
    <row r="145" spans="2:7" x14ac:dyDescent="0.25">
      <c r="B145" s="1" t="s">
        <v>305</v>
      </c>
      <c r="C145" s="1" t="s">
        <v>200</v>
      </c>
      <c r="D145" t="s">
        <v>49</v>
      </c>
      <c r="E145" s="10"/>
      <c r="G145" s="10"/>
    </row>
    <row r="146" spans="2:7" x14ac:dyDescent="0.25">
      <c r="B146" s="1" t="s">
        <v>305</v>
      </c>
      <c r="C146" s="1" t="s">
        <v>233</v>
      </c>
      <c r="D146" t="s">
        <v>234</v>
      </c>
      <c r="E146" s="10">
        <v>2</v>
      </c>
      <c r="G146" s="10"/>
    </row>
    <row r="147" spans="2:7" x14ac:dyDescent="0.25">
      <c r="B147" s="1" t="s">
        <v>305</v>
      </c>
      <c r="C147" s="1" t="s">
        <v>201</v>
      </c>
      <c r="D147" t="s">
        <v>341</v>
      </c>
      <c r="E147" s="10">
        <v>18</v>
      </c>
      <c r="G147" s="10" t="s">
        <v>350</v>
      </c>
    </row>
    <row r="148" spans="2:7" x14ac:dyDescent="0.25">
      <c r="B148" s="1" t="s">
        <v>306</v>
      </c>
      <c r="C148" s="1" t="s">
        <v>339</v>
      </c>
      <c r="D148" t="s">
        <v>340</v>
      </c>
      <c r="E148" s="10"/>
      <c r="G148" s="10"/>
    </row>
    <row r="149" spans="2:7" x14ac:dyDescent="0.25">
      <c r="B149" s="1" t="s">
        <v>305</v>
      </c>
      <c r="C149" s="1" t="s">
        <v>202</v>
      </c>
      <c r="D149" t="s">
        <v>338</v>
      </c>
      <c r="E149" s="10">
        <v>12</v>
      </c>
      <c r="G149" s="10"/>
    </row>
    <row r="150" spans="2:7" x14ac:dyDescent="0.25">
      <c r="B150" s="1" t="s">
        <v>306</v>
      </c>
      <c r="C150" s="1" t="s">
        <v>336</v>
      </c>
      <c r="D150" t="s">
        <v>337</v>
      </c>
      <c r="E150" s="10">
        <v>36</v>
      </c>
      <c r="G150" s="10" t="s">
        <v>359</v>
      </c>
    </row>
    <row r="151" spans="2:7" x14ac:dyDescent="0.25">
      <c r="B151" s="1" t="s">
        <v>306</v>
      </c>
      <c r="C151" s="1" t="s">
        <v>203</v>
      </c>
      <c r="D151" t="s">
        <v>7</v>
      </c>
      <c r="E151" s="10"/>
      <c r="G151" s="10"/>
    </row>
    <row r="152" spans="2:7" x14ac:dyDescent="0.25">
      <c r="B152" s="1" t="s">
        <v>305</v>
      </c>
      <c r="C152" s="1" t="s">
        <v>204</v>
      </c>
      <c r="D152" t="s">
        <v>83</v>
      </c>
      <c r="E152" s="10"/>
      <c r="G152" s="10"/>
    </row>
    <row r="153" spans="2:7" x14ac:dyDescent="0.25">
      <c r="B153" s="1" t="s">
        <v>305</v>
      </c>
      <c r="C153" s="1" t="s">
        <v>205</v>
      </c>
      <c r="D153" t="s">
        <v>17</v>
      </c>
      <c r="E153" s="10"/>
      <c r="G153" s="10"/>
    </row>
    <row r="154" spans="2:7" x14ac:dyDescent="0.25">
      <c r="B154" s="1" t="s">
        <v>305</v>
      </c>
      <c r="C154" s="1" t="s">
        <v>206</v>
      </c>
      <c r="D154" t="s">
        <v>345</v>
      </c>
      <c r="E154" s="10"/>
      <c r="G154" s="10"/>
    </row>
    <row r="155" spans="2:7" x14ac:dyDescent="0.25">
      <c r="B155" s="1" t="s">
        <v>305</v>
      </c>
      <c r="C155" s="1" t="s">
        <v>207</v>
      </c>
      <c r="D155" t="s">
        <v>65</v>
      </c>
      <c r="E155" s="10"/>
      <c r="G155" s="10"/>
    </row>
    <row r="156" spans="2:7" x14ac:dyDescent="0.25">
      <c r="B156" s="1" t="s">
        <v>305</v>
      </c>
      <c r="C156" s="1" t="s">
        <v>208</v>
      </c>
      <c r="D156" t="s">
        <v>64</v>
      </c>
      <c r="E156" s="10"/>
      <c r="G156" s="10"/>
    </row>
    <row r="157" spans="2:7" x14ac:dyDescent="0.25">
      <c r="B157" s="1" t="s">
        <v>305</v>
      </c>
      <c r="C157" s="1" t="s">
        <v>209</v>
      </c>
      <c r="D157" t="s">
        <v>66</v>
      </c>
      <c r="E157" s="10"/>
      <c r="G157" s="10"/>
    </row>
    <row r="158" spans="2:7" x14ac:dyDescent="0.25">
      <c r="B158" s="1" t="s">
        <v>222</v>
      </c>
      <c r="C158" s="1" t="s">
        <v>295</v>
      </c>
      <c r="D158" t="s">
        <v>296</v>
      </c>
      <c r="E158" s="3"/>
      <c r="G158" s="3"/>
    </row>
    <row r="159" spans="2:7" x14ac:dyDescent="0.25">
      <c r="B159" s="1" t="s">
        <v>114</v>
      </c>
      <c r="C159" s="1" t="s">
        <v>210</v>
      </c>
      <c r="D159" t="s">
        <v>19</v>
      </c>
      <c r="E159" s="10">
        <v>1</v>
      </c>
      <c r="G159" s="10"/>
    </row>
    <row r="160" spans="2:7" x14ac:dyDescent="0.25">
      <c r="B160" s="1" t="s">
        <v>114</v>
      </c>
      <c r="C160" s="1" t="s">
        <v>213</v>
      </c>
      <c r="D160" t="s">
        <v>53</v>
      </c>
      <c r="E160" s="10"/>
      <c r="G160" s="10"/>
    </row>
    <row r="161" spans="2:7" x14ac:dyDescent="0.25">
      <c r="B161" s="1" t="s">
        <v>306</v>
      </c>
      <c r="C161" s="1" t="s">
        <v>211</v>
      </c>
      <c r="D161" t="s">
        <v>52</v>
      </c>
      <c r="E161" s="10">
        <v>1</v>
      </c>
      <c r="G161" s="10"/>
    </row>
    <row r="162" spans="2:7" x14ac:dyDescent="0.25">
      <c r="B162" s="1" t="s">
        <v>222</v>
      </c>
      <c r="C162" s="1" t="s">
        <v>285</v>
      </c>
      <c r="D162" t="s">
        <v>286</v>
      </c>
      <c r="E162" s="3"/>
      <c r="G162" s="3"/>
    </row>
    <row r="163" spans="2:7" x14ac:dyDescent="0.25">
      <c r="B163" s="1" t="s">
        <v>222</v>
      </c>
      <c r="C163" s="1" t="s">
        <v>301</v>
      </c>
      <c r="D163" t="s">
        <v>274</v>
      </c>
      <c r="E163" s="3"/>
      <c r="G163" s="3"/>
    </row>
    <row r="164" spans="2:7" x14ac:dyDescent="0.25">
      <c r="B164" s="1" t="s">
        <v>222</v>
      </c>
      <c r="C164" s="1" t="s">
        <v>281</v>
      </c>
      <c r="D164" t="s">
        <v>276</v>
      </c>
      <c r="E164" s="3"/>
      <c r="G164" s="3"/>
    </row>
    <row r="166" spans="2:7" x14ac:dyDescent="0.25">
      <c r="D166" s="13" t="s">
        <v>249</v>
      </c>
    </row>
    <row r="167" spans="2:7" x14ac:dyDescent="0.25">
      <c r="B167" s="1" t="s">
        <v>305</v>
      </c>
      <c r="C167" s="1" t="s">
        <v>252</v>
      </c>
      <c r="D167" t="s">
        <v>265</v>
      </c>
      <c r="E167" s="10"/>
      <c r="G167" s="10"/>
    </row>
    <row r="168" spans="2:7" x14ac:dyDescent="0.25">
      <c r="B168" s="1" t="s">
        <v>305</v>
      </c>
      <c r="C168" s="1" t="s">
        <v>253</v>
      </c>
      <c r="D168" t="s">
        <v>250</v>
      </c>
      <c r="E168" s="10"/>
      <c r="G168" s="10"/>
    </row>
    <row r="169" spans="2:7" x14ac:dyDescent="0.25">
      <c r="B169" s="1" t="s">
        <v>305</v>
      </c>
      <c r="C169" s="1" t="s">
        <v>254</v>
      </c>
      <c r="D169" t="s">
        <v>251</v>
      </c>
      <c r="E169" s="10"/>
      <c r="G169" s="10"/>
    </row>
    <row r="171" spans="2:7" x14ac:dyDescent="0.25">
      <c r="D171" s="13" t="s">
        <v>75</v>
      </c>
    </row>
    <row r="172" spans="2:7" x14ac:dyDescent="0.25">
      <c r="B172" s="1" t="s">
        <v>113</v>
      </c>
      <c r="C172" s="1" t="s">
        <v>197</v>
      </c>
      <c r="D172" t="s">
        <v>9</v>
      </c>
      <c r="E172" s="10">
        <v>2</v>
      </c>
      <c r="G172" s="10"/>
    </row>
    <row r="173" spans="2:7" x14ac:dyDescent="0.25">
      <c r="B173" s="1" t="s">
        <v>114</v>
      </c>
      <c r="C173" s="1" t="s">
        <v>213</v>
      </c>
      <c r="D173" t="s">
        <v>53</v>
      </c>
      <c r="E173" s="10"/>
      <c r="G173" s="10"/>
    </row>
    <row r="174" spans="2:7" x14ac:dyDescent="0.25">
      <c r="B174" s="1" t="s">
        <v>114</v>
      </c>
      <c r="C174" s="1" t="s">
        <v>214</v>
      </c>
      <c r="D174" t="s">
        <v>11</v>
      </c>
      <c r="E174" s="10">
        <v>16</v>
      </c>
      <c r="G174" s="10"/>
    </row>
    <row r="175" spans="2:7" x14ac:dyDescent="0.25">
      <c r="B175" s="1" t="s">
        <v>222</v>
      </c>
      <c r="C175" s="1" t="s">
        <v>287</v>
      </c>
      <c r="D175" t="s">
        <v>272</v>
      </c>
      <c r="E175" s="3"/>
      <c r="G175" s="3"/>
    </row>
    <row r="176" spans="2:7" x14ac:dyDescent="0.25">
      <c r="B176" s="1" t="s">
        <v>222</v>
      </c>
      <c r="C176" s="1" t="s">
        <v>282</v>
      </c>
      <c r="D176" t="s">
        <v>302</v>
      </c>
      <c r="E176" s="3"/>
      <c r="G176" s="3"/>
    </row>
    <row r="177" spans="2:7" x14ac:dyDescent="0.25">
      <c r="B177" s="1" t="s">
        <v>114</v>
      </c>
      <c r="C177" s="1" t="s">
        <v>215</v>
      </c>
      <c r="D177" t="s">
        <v>10</v>
      </c>
      <c r="E177" s="10"/>
      <c r="G177" s="10"/>
    </row>
    <row r="178" spans="2:7" x14ac:dyDescent="0.25">
      <c r="B178" s="1" t="s">
        <v>222</v>
      </c>
      <c r="C178" s="1" t="s">
        <v>288</v>
      </c>
      <c r="D178" t="s">
        <v>273</v>
      </c>
      <c r="E178" s="3"/>
      <c r="G178" s="3"/>
    </row>
    <row r="179" spans="2:7" x14ac:dyDescent="0.25">
      <c r="B179" s="1" t="s">
        <v>113</v>
      </c>
      <c r="C179" s="1" t="s">
        <v>216</v>
      </c>
      <c r="D179" t="s">
        <v>76</v>
      </c>
      <c r="E179" s="10">
        <v>2</v>
      </c>
      <c r="G179" s="10"/>
    </row>
    <row r="180" spans="2:7" x14ac:dyDescent="0.25">
      <c r="B180" s="1" t="s">
        <v>222</v>
      </c>
      <c r="C180" s="1" t="s">
        <v>289</v>
      </c>
      <c r="D180" t="s">
        <v>270</v>
      </c>
      <c r="E180" s="3"/>
      <c r="G180" s="3"/>
    </row>
    <row r="181" spans="2:7" x14ac:dyDescent="0.25">
      <c r="B181" s="1" t="s">
        <v>222</v>
      </c>
      <c r="C181" s="1" t="s">
        <v>290</v>
      </c>
      <c r="D181" t="s">
        <v>271</v>
      </c>
      <c r="E181" s="3"/>
      <c r="G181" s="3"/>
    </row>
    <row r="182" spans="2:7" x14ac:dyDescent="0.25">
      <c r="B182" s="1" t="s">
        <v>114</v>
      </c>
      <c r="C182" s="1" t="s">
        <v>217</v>
      </c>
      <c r="D182" t="s">
        <v>77</v>
      </c>
      <c r="E182" s="10">
        <v>3</v>
      </c>
      <c r="G182" s="10"/>
    </row>
    <row r="183" spans="2:7" x14ac:dyDescent="0.25">
      <c r="B183" s="1" t="s">
        <v>114</v>
      </c>
      <c r="C183" s="1" t="s">
        <v>218</v>
      </c>
      <c r="D183" t="s">
        <v>20</v>
      </c>
      <c r="E183" s="10"/>
      <c r="G183" s="10"/>
    </row>
    <row r="184" spans="2:7" x14ac:dyDescent="0.25">
      <c r="B184" s="1" t="s">
        <v>222</v>
      </c>
      <c r="C184" s="1" t="s">
        <v>291</v>
      </c>
      <c r="D184" t="s">
        <v>279</v>
      </c>
      <c r="E184" s="3"/>
      <c r="G184" s="3"/>
    </row>
    <row r="185" spans="2:7" x14ac:dyDescent="0.25">
      <c r="B185" s="1" t="s">
        <v>114</v>
      </c>
      <c r="C185" s="1" t="s">
        <v>220</v>
      </c>
      <c r="D185" t="s">
        <v>12</v>
      </c>
      <c r="E185" s="10">
        <v>3</v>
      </c>
      <c r="G185" s="10"/>
    </row>
    <row r="186" spans="2:7" x14ac:dyDescent="0.25">
      <c r="B186" s="1" t="s">
        <v>115</v>
      </c>
      <c r="C186" s="1" t="s">
        <v>255</v>
      </c>
      <c r="D186" t="s">
        <v>243</v>
      </c>
      <c r="E186" s="10"/>
      <c r="G186" s="10"/>
    </row>
    <row r="187" spans="2:7" x14ac:dyDescent="0.25">
      <c r="B187" s="1" t="s">
        <v>115</v>
      </c>
      <c r="C187" s="1" t="s">
        <v>256</v>
      </c>
      <c r="D187" t="s">
        <v>244</v>
      </c>
      <c r="E187" s="10"/>
      <c r="G187" s="10"/>
    </row>
    <row r="188" spans="2:7" x14ac:dyDescent="0.25">
      <c r="B188" s="1" t="s">
        <v>115</v>
      </c>
      <c r="C188" s="1" t="s">
        <v>257</v>
      </c>
      <c r="D188" t="s">
        <v>245</v>
      </c>
      <c r="E188" s="10"/>
      <c r="G188" s="10"/>
    </row>
    <row r="189" spans="2:7" x14ac:dyDescent="0.25">
      <c r="B189" s="1" t="s">
        <v>115</v>
      </c>
      <c r="C189" s="1" t="s">
        <v>258</v>
      </c>
      <c r="D189" t="s">
        <v>246</v>
      </c>
      <c r="E189" s="10"/>
      <c r="G189" s="10"/>
    </row>
    <row r="190" spans="2:7" x14ac:dyDescent="0.25">
      <c r="B190" s="1" t="s">
        <v>222</v>
      </c>
      <c r="C190" s="1" t="s">
        <v>298</v>
      </c>
      <c r="D190" t="s">
        <v>300</v>
      </c>
      <c r="E190" s="10"/>
      <c r="G190" s="10"/>
    </row>
    <row r="191" spans="2:7" x14ac:dyDescent="0.25">
      <c r="B191" s="1" t="s">
        <v>115</v>
      </c>
      <c r="C191" s="1" t="s">
        <v>259</v>
      </c>
      <c r="D191" t="s">
        <v>247</v>
      </c>
      <c r="E191" s="10"/>
      <c r="G191" s="10"/>
    </row>
    <row r="192" spans="2:7" x14ac:dyDescent="0.25">
      <c r="B192" s="1" t="s">
        <v>115</v>
      </c>
      <c r="C192" s="1" t="s">
        <v>260</v>
      </c>
      <c r="D192" t="s">
        <v>248</v>
      </c>
      <c r="E192" s="10"/>
      <c r="G192" s="10"/>
    </row>
    <row r="195" spans="2:5" x14ac:dyDescent="0.25">
      <c r="D195" t="s">
        <v>225</v>
      </c>
      <c r="E195" s="2">
        <f>SUM(E4:E193)</f>
        <v>264</v>
      </c>
    </row>
    <row r="197" spans="2:5" x14ac:dyDescent="0.25">
      <c r="B197" s="8"/>
      <c r="E197" s="9"/>
    </row>
    <row r="201" spans="2:5" x14ac:dyDescent="0.25">
      <c r="B201"/>
      <c r="C201"/>
    </row>
    <row r="202" spans="2:5" x14ac:dyDescent="0.25">
      <c r="B202"/>
      <c r="C202"/>
    </row>
    <row r="203" spans="2:5" x14ac:dyDescent="0.25">
      <c r="B203"/>
      <c r="C203"/>
    </row>
    <row r="204" spans="2:5" x14ac:dyDescent="0.25">
      <c r="B204"/>
      <c r="C204"/>
    </row>
    <row r="206" spans="2:5" x14ac:dyDescent="0.25">
      <c r="B206"/>
      <c r="C206"/>
    </row>
    <row r="207" spans="2:5" x14ac:dyDescent="0.25">
      <c r="B207"/>
      <c r="C207"/>
    </row>
    <row r="208" spans="2:5" x14ac:dyDescent="0.25">
      <c r="B208"/>
      <c r="C208"/>
    </row>
  </sheetData>
  <mergeCells count="1">
    <mergeCell ref="D1:E1"/>
  </mergeCells>
  <conditionalFormatting sqref="F4:F23">
    <cfRule type="cellIs" dxfId="7" priority="8" operator="greaterThan">
      <formula>25</formula>
    </cfRule>
  </conditionalFormatting>
  <conditionalFormatting sqref="F26:F88">
    <cfRule type="cellIs" dxfId="6" priority="6" operator="greaterThan">
      <formula>25</formula>
    </cfRule>
  </conditionalFormatting>
  <conditionalFormatting sqref="F91:F138">
    <cfRule type="cellIs" dxfId="5" priority="4" operator="greaterThan">
      <formula>25</formula>
    </cfRule>
  </conditionalFormatting>
  <conditionalFormatting sqref="F141:F165">
    <cfRule type="cellIs" dxfId="4" priority="3" operator="greaterThan">
      <formula>25</formula>
    </cfRule>
  </conditionalFormatting>
  <conditionalFormatting sqref="F167:F193">
    <cfRule type="cellIs" dxfId="3" priority="1" operator="greaterThan">
      <formula>25</formula>
    </cfRule>
  </conditionalFormatting>
  <conditionalFormatting sqref="F24:G25">
    <cfRule type="cellIs" dxfId="2" priority="9" operator="greaterThan">
      <formula>25</formula>
    </cfRule>
  </conditionalFormatting>
  <conditionalFormatting sqref="F166:G166">
    <cfRule type="cellIs" dxfId="1" priority="11" operator="greaterThan">
      <formula>25</formula>
    </cfRule>
  </conditionalFormatting>
  <conditionalFormatting sqref="G6:G7 G20:G21 G31:G32 G49:G50 G63:G64 G73:G74 F89:G90 G107:G108 G116:G117 G120:G121 F139:G140 G165 G170:G171 G193">
    <cfRule type="cellIs" dxfId="0" priority="15" operator="greaterThan">
      <formula>25</formula>
    </cfRule>
  </conditionalFormatting>
  <pageMargins left="0.7" right="0.7" top="0.75" bottom="0.75" header="0.3" footer="0.3"/>
  <pageSetup scale="67" fitToHeight="4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New Build Plan</vt:lpstr>
      <vt:lpstr>Sheet3</vt:lpstr>
      <vt:lpstr>'New Build Plan'!Print_Titles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Cindy Rackley</dc:creator>
  <cp:lastModifiedBy>David Onachilla</cp:lastModifiedBy>
  <cp:lastPrinted>2024-09-25T15:15:57Z</cp:lastPrinted>
  <dcterms:created xsi:type="dcterms:W3CDTF">2016-06-08T20:42:28Z</dcterms:created>
  <dcterms:modified xsi:type="dcterms:W3CDTF">2024-09-25T15:18:31Z</dcterms:modified>
</cp:coreProperties>
</file>