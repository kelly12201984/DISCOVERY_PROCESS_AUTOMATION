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5\069-25 - Reco - Buffer Tank #14\"/>
    </mc:Choice>
  </mc:AlternateContent>
  <xr:revisionPtr revIDLastSave="0" documentId="8_{5FB0047D-E60B-4DEF-A9FD-FE1FDB4C9859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Build Plan w Hours" sheetId="1" r:id="rId1"/>
    <sheet name="Build Plan - No Hours" sheetId="6" r:id="rId2"/>
    <sheet name="Sheet2-PASTE HERE!" sheetId="2" r:id="rId3"/>
    <sheet name="Tasks with Hours" sheetId="3" r:id="rId4"/>
    <sheet name="Tasks - No Hours" sheetId="5" r:id="rId5"/>
  </sheets>
  <definedNames>
    <definedName name="_xlnm._FilterDatabase" localSheetId="0" hidden="1">'Build Plan w Hours'!$C$4:$H$100</definedName>
    <definedName name="_xlnm.Print_Area" localSheetId="1">'Build Plan - No Hours'!$A$1:$H$88</definedName>
    <definedName name="_xlnm.Print_Area" localSheetId="0">'Build Plan w Hours'!$A$1:$H$67</definedName>
    <definedName name="_xlnm.Print_Area" localSheetId="4">'Tasks - No Hours'!$A$1:$I$492</definedName>
    <definedName name="_xlnm.Print_Area" localSheetId="3">'Tasks with Hours'!$A$1:$I$480</definedName>
    <definedName name="_xlnm.Print_Titles" localSheetId="0">'Build Plan w Hours'!$1:$6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87" i="5" l="1"/>
  <c r="B481" i="5"/>
  <c r="B475" i="5" l="1"/>
  <c r="B469" i="5"/>
  <c r="B463" i="5"/>
  <c r="B457" i="5"/>
  <c r="B451" i="5"/>
  <c r="B445" i="5"/>
  <c r="B439" i="5"/>
  <c r="B433" i="5"/>
  <c r="B427" i="5"/>
  <c r="B421" i="5"/>
  <c r="B415" i="5"/>
  <c r="B409" i="5"/>
  <c r="B403" i="5"/>
  <c r="B397" i="5"/>
  <c r="B391" i="5"/>
  <c r="B475" i="3"/>
  <c r="B469" i="3"/>
  <c r="B463" i="3"/>
  <c r="B457" i="3"/>
  <c r="B451" i="3"/>
  <c r="B445" i="3"/>
  <c r="B439" i="3"/>
  <c r="B433" i="3"/>
  <c r="B427" i="3"/>
  <c r="B421" i="3"/>
  <c r="B415" i="3"/>
  <c r="B409" i="3"/>
  <c r="B403" i="3"/>
  <c r="B397" i="3"/>
  <c r="B391" i="3"/>
  <c r="E100" i="6"/>
  <c r="D100" i="6"/>
  <c r="C100" i="6"/>
  <c r="L100" i="6" s="1"/>
  <c r="A100" i="6"/>
  <c r="K100" i="6" s="1"/>
  <c r="E99" i="6"/>
  <c r="D99" i="6"/>
  <c r="C99" i="6"/>
  <c r="L99" i="6" s="1"/>
  <c r="A99" i="6"/>
  <c r="K99" i="6" s="1"/>
  <c r="E98" i="6"/>
  <c r="D98" i="6"/>
  <c r="C98" i="6"/>
  <c r="L98" i="6" s="1"/>
  <c r="A98" i="6"/>
  <c r="K98" i="6" s="1"/>
  <c r="E97" i="6"/>
  <c r="D97" i="6"/>
  <c r="C97" i="6"/>
  <c r="L97" i="6" s="1"/>
  <c r="A97" i="6"/>
  <c r="K97" i="6" s="1"/>
  <c r="E96" i="6"/>
  <c r="D96" i="6"/>
  <c r="C96" i="6"/>
  <c r="L96" i="6" s="1"/>
  <c r="A96" i="6"/>
  <c r="K96" i="6" s="1"/>
  <c r="E95" i="6"/>
  <c r="D95" i="6"/>
  <c r="C95" i="6"/>
  <c r="L95" i="6" s="1"/>
  <c r="A95" i="6"/>
  <c r="K95" i="6" s="1"/>
  <c r="E94" i="6"/>
  <c r="D94" i="6"/>
  <c r="C94" i="6"/>
  <c r="L94" i="6" s="1"/>
  <c r="A94" i="6"/>
  <c r="K94" i="6" s="1"/>
  <c r="E93" i="6"/>
  <c r="D93" i="6"/>
  <c r="C93" i="6"/>
  <c r="L93" i="6" s="1"/>
  <c r="A93" i="6"/>
  <c r="K93" i="6" s="1"/>
  <c r="E92" i="6"/>
  <c r="D92" i="6"/>
  <c r="C92" i="6"/>
  <c r="L92" i="6" s="1"/>
  <c r="A92" i="6"/>
  <c r="K92" i="6" s="1"/>
  <c r="E91" i="6"/>
  <c r="D91" i="6"/>
  <c r="C91" i="6"/>
  <c r="L91" i="6" s="1"/>
  <c r="A91" i="6"/>
  <c r="K91" i="6" s="1"/>
  <c r="E90" i="6"/>
  <c r="D90" i="6"/>
  <c r="C90" i="6"/>
  <c r="L90" i="6" s="1"/>
  <c r="A90" i="6"/>
  <c r="K90" i="6" s="1"/>
  <c r="E89" i="6"/>
  <c r="D89" i="6"/>
  <c r="C89" i="6"/>
  <c r="L89" i="6" s="1"/>
  <c r="A89" i="6"/>
  <c r="K89" i="6" s="1"/>
  <c r="E88" i="6"/>
  <c r="D88" i="6"/>
  <c r="C88" i="6"/>
  <c r="L88" i="6" s="1"/>
  <c r="A88" i="6"/>
  <c r="K88" i="6" s="1"/>
  <c r="E87" i="6"/>
  <c r="D87" i="6"/>
  <c r="C87" i="6"/>
  <c r="L87" i="6" s="1"/>
  <c r="A87" i="6"/>
  <c r="K87" i="6" s="1"/>
  <c r="E86" i="6"/>
  <c r="D86" i="6"/>
  <c r="C86" i="6"/>
  <c r="L86" i="6" s="1"/>
  <c r="A86" i="6"/>
  <c r="K86" i="6" s="1"/>
  <c r="E85" i="6"/>
  <c r="D85" i="6"/>
  <c r="C85" i="6"/>
  <c r="L85" i="6" s="1"/>
  <c r="A85" i="6"/>
  <c r="K85" i="6" s="1"/>
  <c r="E84" i="6"/>
  <c r="D84" i="6"/>
  <c r="C84" i="6"/>
  <c r="L84" i="6" s="1"/>
  <c r="A84" i="6"/>
  <c r="K84" i="6" s="1"/>
  <c r="E83" i="6"/>
  <c r="D83" i="6"/>
  <c r="C83" i="6"/>
  <c r="L83" i="6" s="1"/>
  <c r="A83" i="6"/>
  <c r="K83" i="6" s="1"/>
  <c r="E82" i="6"/>
  <c r="D82" i="6"/>
  <c r="C82" i="6"/>
  <c r="L82" i="6" s="1"/>
  <c r="A82" i="6"/>
  <c r="K82" i="6" s="1"/>
  <c r="E81" i="6"/>
  <c r="D81" i="6"/>
  <c r="C81" i="6"/>
  <c r="L81" i="6" s="1"/>
  <c r="A81" i="6"/>
  <c r="K81" i="6" s="1"/>
  <c r="E80" i="6"/>
  <c r="D80" i="6"/>
  <c r="C80" i="6"/>
  <c r="L80" i="6" s="1"/>
  <c r="A80" i="6"/>
  <c r="K80" i="6" s="1"/>
  <c r="E79" i="6"/>
  <c r="D79" i="6"/>
  <c r="C79" i="6"/>
  <c r="L79" i="6" s="1"/>
  <c r="A79" i="6"/>
  <c r="K79" i="6" s="1"/>
  <c r="E78" i="6"/>
  <c r="D78" i="6"/>
  <c r="C78" i="6"/>
  <c r="L78" i="6" s="1"/>
  <c r="A78" i="6"/>
  <c r="K78" i="6" s="1"/>
  <c r="E77" i="6"/>
  <c r="D77" i="6"/>
  <c r="C77" i="6"/>
  <c r="L77" i="6" s="1"/>
  <c r="A77" i="6"/>
  <c r="K77" i="6" s="1"/>
  <c r="E76" i="6"/>
  <c r="D76" i="6"/>
  <c r="C76" i="6"/>
  <c r="L76" i="6" s="1"/>
  <c r="A76" i="6"/>
  <c r="K76" i="6" s="1"/>
  <c r="E75" i="6"/>
  <c r="D75" i="6"/>
  <c r="C75" i="6"/>
  <c r="L75" i="6" s="1"/>
  <c r="A75" i="6"/>
  <c r="K75" i="6" s="1"/>
  <c r="E74" i="6"/>
  <c r="D74" i="6"/>
  <c r="C74" i="6"/>
  <c r="L74" i="6" s="1"/>
  <c r="A74" i="6"/>
  <c r="K74" i="6" s="1"/>
  <c r="E73" i="6"/>
  <c r="D73" i="6"/>
  <c r="C73" i="6"/>
  <c r="L73" i="6" s="1"/>
  <c r="A73" i="6"/>
  <c r="K73" i="6" s="1"/>
  <c r="E72" i="6"/>
  <c r="D72" i="6"/>
  <c r="C72" i="6"/>
  <c r="L72" i="6" s="1"/>
  <c r="A72" i="6"/>
  <c r="K72" i="6" s="1"/>
  <c r="E71" i="6"/>
  <c r="D71" i="6"/>
  <c r="C71" i="6"/>
  <c r="L71" i="6" s="1"/>
  <c r="A71" i="6"/>
  <c r="K71" i="6" s="1"/>
  <c r="E70" i="6"/>
  <c r="D70" i="6"/>
  <c r="C70" i="6"/>
  <c r="L70" i="6" s="1"/>
  <c r="A70" i="6"/>
  <c r="K70" i="6" s="1"/>
  <c r="E69" i="6"/>
  <c r="D69" i="6"/>
  <c r="C69" i="6"/>
  <c r="L69" i="6" s="1"/>
  <c r="A69" i="6"/>
  <c r="K69" i="6" s="1"/>
  <c r="E68" i="6"/>
  <c r="D68" i="6"/>
  <c r="C68" i="6"/>
  <c r="L68" i="6" s="1"/>
  <c r="A68" i="6"/>
  <c r="K68" i="6" s="1"/>
  <c r="E67" i="6"/>
  <c r="D67" i="6"/>
  <c r="C67" i="6"/>
  <c r="L67" i="6" s="1"/>
  <c r="A67" i="6"/>
  <c r="K67" i="6" s="1"/>
  <c r="E66" i="6"/>
  <c r="D66" i="6"/>
  <c r="C66" i="6"/>
  <c r="L66" i="6" s="1"/>
  <c r="A66" i="6"/>
  <c r="K66" i="6" s="1"/>
  <c r="E65" i="6"/>
  <c r="D65" i="6"/>
  <c r="C65" i="6"/>
  <c r="L65" i="6" s="1"/>
  <c r="A65" i="6"/>
  <c r="K65" i="6" s="1"/>
  <c r="E64" i="6"/>
  <c r="D64" i="6"/>
  <c r="C64" i="6"/>
  <c r="L64" i="6" s="1"/>
  <c r="A64" i="6"/>
  <c r="K64" i="6" s="1"/>
  <c r="E63" i="6"/>
  <c r="D63" i="6"/>
  <c r="C63" i="6"/>
  <c r="L63" i="6" s="1"/>
  <c r="A63" i="6"/>
  <c r="K63" i="6" s="1"/>
  <c r="E62" i="6"/>
  <c r="D62" i="6"/>
  <c r="C62" i="6"/>
  <c r="L62" i="6" s="1"/>
  <c r="A62" i="6"/>
  <c r="K62" i="6" s="1"/>
  <c r="E61" i="6"/>
  <c r="D61" i="6"/>
  <c r="C61" i="6"/>
  <c r="L61" i="6" s="1"/>
  <c r="A61" i="6"/>
  <c r="K61" i="6" s="1"/>
  <c r="E60" i="6"/>
  <c r="D60" i="6"/>
  <c r="C60" i="6"/>
  <c r="L60" i="6" s="1"/>
  <c r="A60" i="6"/>
  <c r="K60" i="6" s="1"/>
  <c r="E59" i="6"/>
  <c r="D59" i="6"/>
  <c r="C59" i="6"/>
  <c r="L59" i="6" s="1"/>
  <c r="A59" i="6"/>
  <c r="K59" i="6" s="1"/>
  <c r="E58" i="6"/>
  <c r="D58" i="6"/>
  <c r="C58" i="6"/>
  <c r="L58" i="6" s="1"/>
  <c r="A58" i="6"/>
  <c r="K58" i="6" s="1"/>
  <c r="E57" i="6"/>
  <c r="D57" i="6"/>
  <c r="C57" i="6"/>
  <c r="L57" i="6" s="1"/>
  <c r="A57" i="6"/>
  <c r="K57" i="6" s="1"/>
  <c r="E56" i="6"/>
  <c r="D56" i="6"/>
  <c r="C56" i="6"/>
  <c r="L56" i="6" s="1"/>
  <c r="A56" i="6"/>
  <c r="K56" i="6" s="1"/>
  <c r="E55" i="6"/>
  <c r="D55" i="6"/>
  <c r="C55" i="6"/>
  <c r="L55" i="6" s="1"/>
  <c r="A55" i="6"/>
  <c r="K55" i="6" s="1"/>
  <c r="E54" i="6"/>
  <c r="D54" i="6"/>
  <c r="C54" i="6"/>
  <c r="L54" i="6" s="1"/>
  <c r="A54" i="6"/>
  <c r="K54" i="6" s="1"/>
  <c r="E53" i="6"/>
  <c r="D53" i="6"/>
  <c r="C53" i="6"/>
  <c r="L53" i="6" s="1"/>
  <c r="A53" i="6"/>
  <c r="K53" i="6" s="1"/>
  <c r="E52" i="6"/>
  <c r="D52" i="6"/>
  <c r="C52" i="6"/>
  <c r="L52" i="6" s="1"/>
  <c r="A52" i="6"/>
  <c r="K52" i="6" s="1"/>
  <c r="E51" i="6"/>
  <c r="D51" i="6"/>
  <c r="C51" i="6"/>
  <c r="L51" i="6" s="1"/>
  <c r="A51" i="6"/>
  <c r="K51" i="6" s="1"/>
  <c r="E50" i="6"/>
  <c r="D50" i="6"/>
  <c r="C50" i="6"/>
  <c r="L50" i="6" s="1"/>
  <c r="A50" i="6"/>
  <c r="K50" i="6" s="1"/>
  <c r="E49" i="6"/>
  <c r="D49" i="6"/>
  <c r="C49" i="6"/>
  <c r="L49" i="6" s="1"/>
  <c r="A49" i="6"/>
  <c r="K49" i="6" s="1"/>
  <c r="E48" i="6"/>
  <c r="D48" i="6"/>
  <c r="C48" i="6"/>
  <c r="L48" i="6" s="1"/>
  <c r="A48" i="6"/>
  <c r="K48" i="6" s="1"/>
  <c r="E47" i="6"/>
  <c r="D47" i="6"/>
  <c r="C47" i="6"/>
  <c r="L47" i="6" s="1"/>
  <c r="A47" i="6"/>
  <c r="K47" i="6" s="1"/>
  <c r="E46" i="6"/>
  <c r="D46" i="6"/>
  <c r="C46" i="6"/>
  <c r="L46" i="6" s="1"/>
  <c r="A46" i="6"/>
  <c r="K46" i="6" s="1"/>
  <c r="E45" i="6"/>
  <c r="D45" i="6"/>
  <c r="C45" i="6"/>
  <c r="L45" i="6" s="1"/>
  <c r="A45" i="6"/>
  <c r="K45" i="6" s="1"/>
  <c r="E44" i="6"/>
  <c r="D44" i="6"/>
  <c r="C44" i="6"/>
  <c r="L44" i="6" s="1"/>
  <c r="A44" i="6"/>
  <c r="K44" i="6" s="1"/>
  <c r="E43" i="6"/>
  <c r="D43" i="6"/>
  <c r="C43" i="6"/>
  <c r="L43" i="6" s="1"/>
  <c r="A43" i="6"/>
  <c r="K43" i="6" s="1"/>
  <c r="E42" i="6"/>
  <c r="D42" i="6"/>
  <c r="C42" i="6"/>
  <c r="L42" i="6" s="1"/>
  <c r="A42" i="6"/>
  <c r="K42" i="6" s="1"/>
  <c r="E41" i="6"/>
  <c r="D41" i="6"/>
  <c r="C41" i="6"/>
  <c r="L41" i="6" s="1"/>
  <c r="A41" i="6"/>
  <c r="K41" i="6" s="1"/>
  <c r="E40" i="6"/>
  <c r="D40" i="6"/>
  <c r="C40" i="6"/>
  <c r="L40" i="6" s="1"/>
  <c r="A40" i="6"/>
  <c r="K40" i="6" s="1"/>
  <c r="E39" i="6"/>
  <c r="D39" i="6"/>
  <c r="C39" i="6"/>
  <c r="L39" i="6" s="1"/>
  <c r="A39" i="6"/>
  <c r="K39" i="6" s="1"/>
  <c r="E38" i="6"/>
  <c r="D38" i="6"/>
  <c r="C38" i="6"/>
  <c r="L38" i="6" s="1"/>
  <c r="A38" i="6"/>
  <c r="K38" i="6" s="1"/>
  <c r="E37" i="6"/>
  <c r="D37" i="6"/>
  <c r="C37" i="6"/>
  <c r="L37" i="6" s="1"/>
  <c r="A37" i="6"/>
  <c r="K37" i="6" s="1"/>
  <c r="E36" i="6"/>
  <c r="D36" i="6"/>
  <c r="C36" i="6"/>
  <c r="L36" i="6" s="1"/>
  <c r="A36" i="6"/>
  <c r="K36" i="6" s="1"/>
  <c r="E35" i="6"/>
  <c r="D35" i="6"/>
  <c r="C35" i="6"/>
  <c r="L35" i="6" s="1"/>
  <c r="A35" i="6"/>
  <c r="K35" i="6" s="1"/>
  <c r="E34" i="6"/>
  <c r="D34" i="6"/>
  <c r="C34" i="6"/>
  <c r="L34" i="6" s="1"/>
  <c r="A34" i="6"/>
  <c r="K34" i="6" s="1"/>
  <c r="E33" i="6"/>
  <c r="D33" i="6"/>
  <c r="C33" i="6"/>
  <c r="L33" i="6" s="1"/>
  <c r="A33" i="6"/>
  <c r="K33" i="6" s="1"/>
  <c r="E32" i="6"/>
  <c r="D32" i="6"/>
  <c r="C32" i="6"/>
  <c r="L32" i="6" s="1"/>
  <c r="A32" i="6"/>
  <c r="K32" i="6" s="1"/>
  <c r="E31" i="6"/>
  <c r="D31" i="6"/>
  <c r="C31" i="6"/>
  <c r="L31" i="6" s="1"/>
  <c r="A31" i="6"/>
  <c r="K31" i="6" s="1"/>
  <c r="E30" i="6"/>
  <c r="D30" i="6"/>
  <c r="C30" i="6"/>
  <c r="L30" i="6" s="1"/>
  <c r="A30" i="6"/>
  <c r="K30" i="6" s="1"/>
  <c r="E29" i="6"/>
  <c r="D29" i="6"/>
  <c r="C29" i="6"/>
  <c r="L29" i="6" s="1"/>
  <c r="A29" i="6"/>
  <c r="K29" i="6" s="1"/>
  <c r="E28" i="6"/>
  <c r="D28" i="6"/>
  <c r="C28" i="6"/>
  <c r="L28" i="6" s="1"/>
  <c r="A28" i="6"/>
  <c r="K28" i="6" s="1"/>
  <c r="E27" i="6"/>
  <c r="D27" i="6"/>
  <c r="C27" i="6"/>
  <c r="L27" i="6" s="1"/>
  <c r="A27" i="6"/>
  <c r="K27" i="6" s="1"/>
  <c r="E26" i="6"/>
  <c r="D26" i="6"/>
  <c r="C26" i="6"/>
  <c r="L26" i="6" s="1"/>
  <c r="A26" i="6"/>
  <c r="K26" i="6" s="1"/>
  <c r="E25" i="6"/>
  <c r="D25" i="6"/>
  <c r="C25" i="6"/>
  <c r="L25" i="6" s="1"/>
  <c r="A25" i="6"/>
  <c r="K25" i="6" s="1"/>
  <c r="E24" i="6"/>
  <c r="D24" i="6"/>
  <c r="C24" i="6"/>
  <c r="L24" i="6" s="1"/>
  <c r="A24" i="6"/>
  <c r="K24" i="6" s="1"/>
  <c r="E23" i="6"/>
  <c r="D23" i="6"/>
  <c r="C23" i="6"/>
  <c r="L23" i="6" s="1"/>
  <c r="A23" i="6"/>
  <c r="K23" i="6" s="1"/>
  <c r="E22" i="6"/>
  <c r="D22" i="6"/>
  <c r="C22" i="6"/>
  <c r="L22" i="6" s="1"/>
  <c r="A22" i="6"/>
  <c r="K22" i="6" s="1"/>
  <c r="E21" i="6"/>
  <c r="D21" i="6"/>
  <c r="C21" i="6"/>
  <c r="L21" i="6" s="1"/>
  <c r="A21" i="6"/>
  <c r="K21" i="6" s="1"/>
  <c r="E20" i="6"/>
  <c r="D20" i="6"/>
  <c r="C20" i="6"/>
  <c r="L20" i="6" s="1"/>
  <c r="A20" i="6"/>
  <c r="K20" i="6" s="1"/>
  <c r="E19" i="6"/>
  <c r="D19" i="6"/>
  <c r="C19" i="6"/>
  <c r="L19" i="6" s="1"/>
  <c r="A19" i="6"/>
  <c r="K19" i="6" s="1"/>
  <c r="E18" i="6"/>
  <c r="D18" i="6"/>
  <c r="C18" i="6"/>
  <c r="L18" i="6" s="1"/>
  <c r="A18" i="6"/>
  <c r="K18" i="6" s="1"/>
  <c r="E17" i="6"/>
  <c r="D17" i="6"/>
  <c r="C17" i="6"/>
  <c r="L17" i="6" s="1"/>
  <c r="A17" i="6"/>
  <c r="K17" i="6" s="1"/>
  <c r="E16" i="6"/>
  <c r="D16" i="6"/>
  <c r="C16" i="6"/>
  <c r="L16" i="6" s="1"/>
  <c r="A16" i="6"/>
  <c r="K16" i="6" s="1"/>
  <c r="E15" i="6"/>
  <c r="D15" i="6"/>
  <c r="C15" i="6"/>
  <c r="L15" i="6" s="1"/>
  <c r="A15" i="6"/>
  <c r="K15" i="6" s="1"/>
  <c r="E14" i="6"/>
  <c r="D14" i="6"/>
  <c r="C14" i="6"/>
  <c r="L14" i="6" s="1"/>
  <c r="A14" i="6"/>
  <c r="K14" i="6" s="1"/>
  <c r="E13" i="6"/>
  <c r="D13" i="6"/>
  <c r="C13" i="6"/>
  <c r="L13" i="6" s="1"/>
  <c r="A13" i="6"/>
  <c r="K13" i="6" s="1"/>
  <c r="E12" i="6"/>
  <c r="D12" i="6"/>
  <c r="C12" i="6"/>
  <c r="L12" i="6" s="1"/>
  <c r="A12" i="6"/>
  <c r="K12" i="6" s="1"/>
  <c r="E11" i="6"/>
  <c r="D11" i="6"/>
  <c r="C11" i="6"/>
  <c r="L11" i="6" s="1"/>
  <c r="A11" i="6"/>
  <c r="K11" i="6" s="1"/>
  <c r="E10" i="6"/>
  <c r="D10" i="6"/>
  <c r="C10" i="6"/>
  <c r="L10" i="6" s="1"/>
  <c r="A10" i="6"/>
  <c r="K10" i="6" s="1"/>
  <c r="E9" i="6"/>
  <c r="D9" i="6"/>
  <c r="C9" i="6"/>
  <c r="L9" i="6" s="1"/>
  <c r="A9" i="6"/>
  <c r="K9" i="6" s="1"/>
  <c r="E8" i="6"/>
  <c r="D8" i="6"/>
  <c r="C8" i="6"/>
  <c r="L8" i="6" s="1"/>
  <c r="A8" i="6"/>
  <c r="K8" i="6" s="1"/>
  <c r="E7" i="6"/>
  <c r="D7" i="6"/>
  <c r="C7" i="6"/>
  <c r="L7" i="6" s="1"/>
  <c r="A7" i="6"/>
  <c r="K7" i="6" s="1"/>
  <c r="G2" i="6"/>
  <c r="C2" i="6"/>
  <c r="B385" i="5"/>
  <c r="B379" i="5"/>
  <c r="B373" i="5"/>
  <c r="B367" i="5"/>
  <c r="B361" i="5"/>
  <c r="B355" i="5"/>
  <c r="B349" i="5"/>
  <c r="B343" i="5"/>
  <c r="B337" i="5"/>
  <c r="B331" i="5"/>
  <c r="B325" i="5"/>
  <c r="B319" i="5"/>
  <c r="B313" i="5"/>
  <c r="B307" i="5"/>
  <c r="B301" i="5"/>
  <c r="B295" i="5"/>
  <c r="B289" i="5"/>
  <c r="B283" i="5"/>
  <c r="B277" i="5"/>
  <c r="B271" i="5"/>
  <c r="B265" i="5"/>
  <c r="B259" i="5"/>
  <c r="B253" i="5"/>
  <c r="B247" i="5"/>
  <c r="B241" i="5"/>
  <c r="B235" i="5"/>
  <c r="B229" i="5"/>
  <c r="B223" i="5"/>
  <c r="B217" i="5"/>
  <c r="B211" i="5"/>
  <c r="B205" i="5"/>
  <c r="B199" i="5"/>
  <c r="B193" i="5"/>
  <c r="B187" i="5"/>
  <c r="B181" i="5"/>
  <c r="B175" i="5"/>
  <c r="B169" i="5"/>
  <c r="B163" i="5"/>
  <c r="B157" i="5"/>
  <c r="B151" i="5"/>
  <c r="B145" i="5"/>
  <c r="B139" i="5"/>
  <c r="B133" i="5"/>
  <c r="B127" i="5"/>
  <c r="B121" i="5"/>
  <c r="B115" i="5"/>
  <c r="B109" i="5"/>
  <c r="B103" i="5"/>
  <c r="B97" i="5"/>
  <c r="B91" i="5"/>
  <c r="B85" i="5"/>
  <c r="B79" i="5"/>
  <c r="B73" i="5"/>
  <c r="B67" i="5"/>
  <c r="B61" i="5"/>
  <c r="B55" i="5"/>
  <c r="B49" i="5"/>
  <c r="B43" i="5"/>
  <c r="B37" i="5"/>
  <c r="B31" i="5"/>
  <c r="B25" i="5"/>
  <c r="B19" i="5"/>
  <c r="B13" i="5"/>
  <c r="B7" i="5"/>
  <c r="B1" i="5"/>
  <c r="B1" i="3" l="1"/>
  <c r="B7" i="3"/>
  <c r="B13" i="3"/>
  <c r="B19" i="3"/>
  <c r="B25" i="3"/>
  <c r="B31" i="3"/>
  <c r="B37" i="3"/>
  <c r="B43" i="3"/>
  <c r="B49" i="3"/>
  <c r="B55" i="3"/>
  <c r="B61" i="3"/>
  <c r="B67" i="3"/>
  <c r="B73" i="3"/>
  <c r="B79" i="3"/>
  <c r="B85" i="3"/>
  <c r="B91" i="3"/>
  <c r="B97" i="3"/>
  <c r="B103" i="3"/>
  <c r="B109" i="3"/>
  <c r="B115" i="3"/>
  <c r="B121" i="3"/>
  <c r="B127" i="3"/>
  <c r="B133" i="3"/>
  <c r="B139" i="3"/>
  <c r="B145" i="3"/>
  <c r="B151" i="3"/>
  <c r="B157" i="3"/>
  <c r="B163" i="3"/>
  <c r="B169" i="3"/>
  <c r="B175" i="3"/>
  <c r="B181" i="3"/>
  <c r="B187" i="3"/>
  <c r="B193" i="3"/>
  <c r="B199" i="3"/>
  <c r="B205" i="3"/>
  <c r="B211" i="3"/>
  <c r="B217" i="3"/>
  <c r="B223" i="3"/>
  <c r="B229" i="3"/>
  <c r="B235" i="3"/>
  <c r="B241" i="3"/>
  <c r="B247" i="3"/>
  <c r="B253" i="3"/>
  <c r="B259" i="3"/>
  <c r="B265" i="3"/>
  <c r="B271" i="3"/>
  <c r="B277" i="3"/>
  <c r="B283" i="3"/>
  <c r="B289" i="3"/>
  <c r="B295" i="3"/>
  <c r="B301" i="3"/>
  <c r="B307" i="3"/>
  <c r="B313" i="3"/>
  <c r="B319" i="3"/>
  <c r="B325" i="3"/>
  <c r="B331" i="3"/>
  <c r="B337" i="3"/>
  <c r="B343" i="3"/>
  <c r="B349" i="3"/>
  <c r="B355" i="3"/>
  <c r="B361" i="3"/>
  <c r="B367" i="3"/>
  <c r="B373" i="3"/>
  <c r="B379" i="3"/>
  <c r="B385" i="3"/>
  <c r="C2" i="1"/>
  <c r="G2" i="1"/>
  <c r="A7" i="1"/>
  <c r="K7" i="1" s="1"/>
  <c r="C7" i="1"/>
  <c r="D7" i="1"/>
  <c r="E7" i="1"/>
  <c r="B4" i="3" s="1"/>
  <c r="A8" i="1"/>
  <c r="K8" i="1" s="1"/>
  <c r="C8" i="1"/>
  <c r="D8" i="1"/>
  <c r="E8" i="1"/>
  <c r="B10" i="3" s="1"/>
  <c r="A9" i="1"/>
  <c r="K9" i="1" s="1"/>
  <c r="C9" i="1"/>
  <c r="D9" i="1"/>
  <c r="E9" i="1"/>
  <c r="B16" i="3" s="1"/>
  <c r="A10" i="1"/>
  <c r="K10" i="1" s="1"/>
  <c r="C10" i="1"/>
  <c r="B20" i="3" s="1"/>
  <c r="D10" i="1"/>
  <c r="E10" i="1"/>
  <c r="B22" i="3" s="1"/>
  <c r="A11" i="1"/>
  <c r="K11" i="1" s="1"/>
  <c r="C11" i="1"/>
  <c r="D11" i="1"/>
  <c r="E11" i="1"/>
  <c r="B28" i="3" s="1"/>
  <c r="A12" i="1"/>
  <c r="K12" i="1" s="1"/>
  <c r="C12" i="1"/>
  <c r="D12" i="1"/>
  <c r="E12" i="1"/>
  <c r="B34" i="3" s="1"/>
  <c r="A13" i="1"/>
  <c r="K13" i="1" s="1"/>
  <c r="C13" i="1"/>
  <c r="D13" i="1"/>
  <c r="E13" i="1"/>
  <c r="B40" i="3" s="1"/>
  <c r="A14" i="1"/>
  <c r="K14" i="1" s="1"/>
  <c r="C14" i="1"/>
  <c r="D14" i="1"/>
  <c r="E14" i="1"/>
  <c r="B46" i="3" s="1"/>
  <c r="A15" i="1"/>
  <c r="K15" i="1" s="1"/>
  <c r="C15" i="1"/>
  <c r="D15" i="1"/>
  <c r="E15" i="1"/>
  <c r="B52" i="3" s="1"/>
  <c r="A16" i="1"/>
  <c r="K16" i="1" s="1"/>
  <c r="C16" i="1"/>
  <c r="D16" i="1"/>
  <c r="E16" i="1"/>
  <c r="B58" i="3" s="1"/>
  <c r="A17" i="1"/>
  <c r="K17" i="1" s="1"/>
  <c r="C17" i="1"/>
  <c r="D17" i="1"/>
  <c r="E17" i="1"/>
  <c r="B64" i="3" s="1"/>
  <c r="A18" i="1"/>
  <c r="K18" i="1" s="1"/>
  <c r="C18" i="1"/>
  <c r="D18" i="1"/>
  <c r="E18" i="1"/>
  <c r="B70" i="3" s="1"/>
  <c r="A19" i="1"/>
  <c r="K19" i="1" s="1"/>
  <c r="C19" i="1"/>
  <c r="D19" i="1"/>
  <c r="E19" i="1"/>
  <c r="B76" i="3" s="1"/>
  <c r="A20" i="1"/>
  <c r="K20" i="1" s="1"/>
  <c r="C20" i="1"/>
  <c r="D20" i="1"/>
  <c r="E20" i="1"/>
  <c r="B82" i="3" s="1"/>
  <c r="A21" i="1"/>
  <c r="K21" i="1" s="1"/>
  <c r="C21" i="1"/>
  <c r="D21" i="1"/>
  <c r="E21" i="1"/>
  <c r="B88" i="3" s="1"/>
  <c r="A22" i="1"/>
  <c r="K22" i="1" s="1"/>
  <c r="C22" i="1"/>
  <c r="D22" i="1"/>
  <c r="E22" i="1"/>
  <c r="B94" i="3" s="1"/>
  <c r="A23" i="1"/>
  <c r="K23" i="1" s="1"/>
  <c r="C23" i="1"/>
  <c r="D23" i="1"/>
  <c r="E23" i="1"/>
  <c r="B100" i="3" s="1"/>
  <c r="A24" i="1"/>
  <c r="K24" i="1" s="1"/>
  <c r="C24" i="1"/>
  <c r="D24" i="1"/>
  <c r="E24" i="1"/>
  <c r="B106" i="3" s="1"/>
  <c r="A25" i="1"/>
  <c r="K25" i="1" s="1"/>
  <c r="C25" i="1"/>
  <c r="D25" i="1"/>
  <c r="E25" i="1"/>
  <c r="B112" i="3" s="1"/>
  <c r="A26" i="1"/>
  <c r="K26" i="1" s="1"/>
  <c r="C26" i="1"/>
  <c r="D26" i="1"/>
  <c r="E26" i="1"/>
  <c r="B118" i="3" s="1"/>
  <c r="A27" i="1"/>
  <c r="K27" i="1" s="1"/>
  <c r="C27" i="1"/>
  <c r="D27" i="1"/>
  <c r="E27" i="1"/>
  <c r="B124" i="3" s="1"/>
  <c r="A28" i="1"/>
  <c r="K28" i="1" s="1"/>
  <c r="C28" i="1"/>
  <c r="D28" i="1"/>
  <c r="E28" i="1"/>
  <c r="B130" i="3" s="1"/>
  <c r="A29" i="1"/>
  <c r="K29" i="1" s="1"/>
  <c r="C29" i="1"/>
  <c r="D29" i="1"/>
  <c r="E29" i="1"/>
  <c r="B136" i="3" s="1"/>
  <c r="A30" i="1"/>
  <c r="K30" i="1" s="1"/>
  <c r="C30" i="1"/>
  <c r="D30" i="1"/>
  <c r="E30" i="1"/>
  <c r="B142" i="3" s="1"/>
  <c r="A31" i="1"/>
  <c r="K31" i="1" s="1"/>
  <c r="C31" i="1"/>
  <c r="D31" i="1"/>
  <c r="E31" i="1"/>
  <c r="B148" i="3" s="1"/>
  <c r="A32" i="1"/>
  <c r="K32" i="1" s="1"/>
  <c r="C32" i="1"/>
  <c r="D32" i="1"/>
  <c r="E32" i="1"/>
  <c r="B154" i="3" s="1"/>
  <c r="A33" i="1"/>
  <c r="K33" i="1" s="1"/>
  <c r="C33" i="1"/>
  <c r="D33" i="1"/>
  <c r="E33" i="1"/>
  <c r="B160" i="3" s="1"/>
  <c r="A34" i="1"/>
  <c r="K34" i="1" s="1"/>
  <c r="C34" i="1"/>
  <c r="D34" i="1"/>
  <c r="E34" i="1"/>
  <c r="B166" i="3" s="1"/>
  <c r="A35" i="1"/>
  <c r="K35" i="1" s="1"/>
  <c r="C35" i="1"/>
  <c r="D35" i="1"/>
  <c r="E35" i="1"/>
  <c r="B172" i="3" s="1"/>
  <c r="A36" i="1"/>
  <c r="K36" i="1" s="1"/>
  <c r="C36" i="1"/>
  <c r="D36" i="1"/>
  <c r="E36" i="1"/>
  <c r="B178" i="3" s="1"/>
  <c r="A37" i="1"/>
  <c r="K37" i="1" s="1"/>
  <c r="C37" i="1"/>
  <c r="D37" i="1"/>
  <c r="E37" i="1"/>
  <c r="B184" i="3" s="1"/>
  <c r="A38" i="1"/>
  <c r="K38" i="1" s="1"/>
  <c r="C38" i="1"/>
  <c r="D38" i="1"/>
  <c r="E38" i="1"/>
  <c r="B190" i="3" s="1"/>
  <c r="A39" i="1"/>
  <c r="K39" i="1" s="1"/>
  <c r="C39" i="1"/>
  <c r="D39" i="1"/>
  <c r="E39" i="1"/>
  <c r="B196" i="3" s="1"/>
  <c r="A40" i="1"/>
  <c r="K40" i="1" s="1"/>
  <c r="C40" i="1"/>
  <c r="D40" i="1"/>
  <c r="E40" i="1"/>
  <c r="B202" i="3" s="1"/>
  <c r="A41" i="1"/>
  <c r="K41" i="1" s="1"/>
  <c r="C41" i="1"/>
  <c r="D41" i="1"/>
  <c r="E41" i="1"/>
  <c r="B208" i="3" s="1"/>
  <c r="A42" i="1"/>
  <c r="K42" i="1" s="1"/>
  <c r="C42" i="1"/>
  <c r="D42" i="1"/>
  <c r="E42" i="1"/>
  <c r="B214" i="3" s="1"/>
  <c r="A43" i="1"/>
  <c r="K43" i="1" s="1"/>
  <c r="C43" i="1"/>
  <c r="D43" i="1"/>
  <c r="E43" i="1"/>
  <c r="B220" i="3" s="1"/>
  <c r="A44" i="1"/>
  <c r="K44" i="1" s="1"/>
  <c r="C44" i="1"/>
  <c r="D44" i="1"/>
  <c r="E44" i="1"/>
  <c r="B226" i="3" s="1"/>
  <c r="A45" i="1"/>
  <c r="K45" i="1" s="1"/>
  <c r="C45" i="1"/>
  <c r="B230" i="3" s="1"/>
  <c r="D45" i="1"/>
  <c r="E45" i="1"/>
  <c r="B232" i="3" s="1"/>
  <c r="A46" i="1"/>
  <c r="K46" i="1" s="1"/>
  <c r="C46" i="1"/>
  <c r="D46" i="1"/>
  <c r="E46" i="1"/>
  <c r="B238" i="3" s="1"/>
  <c r="A47" i="1"/>
  <c r="K47" i="1" s="1"/>
  <c r="C47" i="1"/>
  <c r="D47" i="1"/>
  <c r="E47" i="1"/>
  <c r="B244" i="3" s="1"/>
  <c r="A48" i="1"/>
  <c r="K48" i="1" s="1"/>
  <c r="C48" i="1"/>
  <c r="D48" i="1"/>
  <c r="E48" i="1"/>
  <c r="B250" i="3" s="1"/>
  <c r="A49" i="1"/>
  <c r="K49" i="1" s="1"/>
  <c r="C49" i="1"/>
  <c r="D49" i="1"/>
  <c r="E49" i="1"/>
  <c r="B256" i="3" s="1"/>
  <c r="A50" i="1"/>
  <c r="K50" i="1" s="1"/>
  <c r="C50" i="1"/>
  <c r="D50" i="1"/>
  <c r="E50" i="1"/>
  <c r="B262" i="3" s="1"/>
  <c r="A51" i="1"/>
  <c r="K51" i="1" s="1"/>
  <c r="C51" i="1"/>
  <c r="D51" i="1"/>
  <c r="E51" i="1"/>
  <c r="B268" i="3" s="1"/>
  <c r="A52" i="1"/>
  <c r="K52" i="1" s="1"/>
  <c r="C52" i="1"/>
  <c r="D52" i="1"/>
  <c r="E52" i="1"/>
  <c r="B274" i="3" s="1"/>
  <c r="A53" i="1"/>
  <c r="K53" i="1" s="1"/>
  <c r="C53" i="1"/>
  <c r="D53" i="1"/>
  <c r="E53" i="1"/>
  <c r="B280" i="3" s="1"/>
  <c r="A54" i="1"/>
  <c r="K54" i="1" s="1"/>
  <c r="C54" i="1"/>
  <c r="D54" i="1"/>
  <c r="E54" i="1"/>
  <c r="B286" i="3" s="1"/>
  <c r="A55" i="1"/>
  <c r="K55" i="1" s="1"/>
  <c r="C55" i="1"/>
  <c r="D55" i="1"/>
  <c r="E55" i="1"/>
  <c r="B292" i="3" s="1"/>
  <c r="A56" i="1"/>
  <c r="K56" i="1" s="1"/>
  <c r="C56" i="1"/>
  <c r="D56" i="1"/>
  <c r="E56" i="1"/>
  <c r="B298" i="3" s="1"/>
  <c r="A57" i="1"/>
  <c r="K57" i="1" s="1"/>
  <c r="C57" i="1"/>
  <c r="D57" i="1"/>
  <c r="E57" i="1"/>
  <c r="B304" i="3" s="1"/>
  <c r="A58" i="1"/>
  <c r="K58" i="1" s="1"/>
  <c r="C58" i="1"/>
  <c r="D58" i="1"/>
  <c r="E58" i="1"/>
  <c r="B310" i="3" s="1"/>
  <c r="A59" i="1"/>
  <c r="K59" i="1" s="1"/>
  <c r="C59" i="1"/>
  <c r="D59" i="1"/>
  <c r="E59" i="1"/>
  <c r="B316" i="3" s="1"/>
  <c r="A60" i="1"/>
  <c r="K60" i="1" s="1"/>
  <c r="C60" i="1"/>
  <c r="D60" i="1"/>
  <c r="E60" i="1"/>
  <c r="B322" i="3" s="1"/>
  <c r="A61" i="1"/>
  <c r="K61" i="1" s="1"/>
  <c r="C61" i="1"/>
  <c r="D61" i="1"/>
  <c r="E61" i="1"/>
  <c r="B328" i="3" s="1"/>
  <c r="A62" i="1"/>
  <c r="K62" i="1" s="1"/>
  <c r="C62" i="1"/>
  <c r="D62" i="1"/>
  <c r="E62" i="1"/>
  <c r="B334" i="3" s="1"/>
  <c r="A63" i="1"/>
  <c r="K63" i="1" s="1"/>
  <c r="C63" i="1"/>
  <c r="D63" i="1"/>
  <c r="E63" i="1"/>
  <c r="B340" i="3" s="1"/>
  <c r="A64" i="1"/>
  <c r="K64" i="1" s="1"/>
  <c r="C64" i="1"/>
  <c r="D64" i="1"/>
  <c r="E64" i="1"/>
  <c r="B346" i="3" s="1"/>
  <c r="A65" i="1"/>
  <c r="K65" i="1" s="1"/>
  <c r="C65" i="1"/>
  <c r="D65" i="1"/>
  <c r="E65" i="1"/>
  <c r="B352" i="3" s="1"/>
  <c r="A66" i="1"/>
  <c r="K66" i="1" s="1"/>
  <c r="C66" i="1"/>
  <c r="D66" i="1"/>
  <c r="E66" i="1"/>
  <c r="B358" i="3" s="1"/>
  <c r="A67" i="1"/>
  <c r="K67" i="1" s="1"/>
  <c r="C67" i="1"/>
  <c r="D67" i="1"/>
  <c r="E67" i="1"/>
  <c r="B364" i="3" s="1"/>
  <c r="A68" i="1"/>
  <c r="K68" i="1" s="1"/>
  <c r="C68" i="1"/>
  <c r="D68" i="1"/>
  <c r="E68" i="1"/>
  <c r="B370" i="3" s="1"/>
  <c r="A69" i="1"/>
  <c r="K69" i="1" s="1"/>
  <c r="C69" i="1"/>
  <c r="D69" i="1"/>
  <c r="E69" i="1"/>
  <c r="B376" i="3" s="1"/>
  <c r="A70" i="1"/>
  <c r="K70" i="1" s="1"/>
  <c r="C70" i="1"/>
  <c r="D70" i="1"/>
  <c r="E70" i="1"/>
  <c r="B382" i="3" s="1"/>
  <c r="A71" i="1"/>
  <c r="K71" i="1" s="1"/>
  <c r="C71" i="1"/>
  <c r="D71" i="1"/>
  <c r="E71" i="1"/>
  <c r="B388" i="3" s="1"/>
  <c r="A72" i="1"/>
  <c r="K72" i="1" s="1"/>
  <c r="C72" i="1"/>
  <c r="D72" i="1"/>
  <c r="E72" i="1"/>
  <c r="B394" i="3" s="1"/>
  <c r="A73" i="1"/>
  <c r="K73" i="1" s="1"/>
  <c r="C73" i="1"/>
  <c r="D73" i="1"/>
  <c r="E73" i="1"/>
  <c r="B400" i="3" s="1"/>
  <c r="A74" i="1"/>
  <c r="K74" i="1" s="1"/>
  <c r="C74" i="1"/>
  <c r="D74" i="1"/>
  <c r="E74" i="1"/>
  <c r="B406" i="3" s="1"/>
  <c r="A75" i="1"/>
  <c r="K75" i="1" s="1"/>
  <c r="C75" i="1"/>
  <c r="D75" i="1"/>
  <c r="E75" i="1"/>
  <c r="B412" i="3" s="1"/>
  <c r="A76" i="1"/>
  <c r="K76" i="1" s="1"/>
  <c r="C76" i="1"/>
  <c r="D76" i="1"/>
  <c r="E76" i="1"/>
  <c r="B418" i="3" s="1"/>
  <c r="A77" i="1"/>
  <c r="K77" i="1" s="1"/>
  <c r="C77" i="1"/>
  <c r="D77" i="1"/>
  <c r="E77" i="1"/>
  <c r="B424" i="3" s="1"/>
  <c r="A78" i="1"/>
  <c r="K78" i="1" s="1"/>
  <c r="C78" i="1"/>
  <c r="D78" i="1"/>
  <c r="E78" i="1"/>
  <c r="B430" i="3" s="1"/>
  <c r="A79" i="1"/>
  <c r="K79" i="1" s="1"/>
  <c r="C79" i="1"/>
  <c r="D79" i="1"/>
  <c r="E79" i="1"/>
  <c r="B436" i="3" s="1"/>
  <c r="A80" i="1"/>
  <c r="K80" i="1" s="1"/>
  <c r="C80" i="1"/>
  <c r="D80" i="1"/>
  <c r="E80" i="1"/>
  <c r="B442" i="3" s="1"/>
  <c r="A81" i="1"/>
  <c r="K81" i="1" s="1"/>
  <c r="C81" i="1"/>
  <c r="L81" i="1" s="1"/>
  <c r="D81" i="1"/>
  <c r="E81" i="1"/>
  <c r="B448" i="3" s="1"/>
  <c r="A82" i="1"/>
  <c r="K82" i="1" s="1"/>
  <c r="C82" i="1"/>
  <c r="D82" i="1"/>
  <c r="E82" i="1"/>
  <c r="B454" i="3" s="1"/>
  <c r="A83" i="1"/>
  <c r="K83" i="1" s="1"/>
  <c r="C83" i="1"/>
  <c r="D83" i="1"/>
  <c r="E83" i="1"/>
  <c r="B460" i="3" s="1"/>
  <c r="A84" i="1"/>
  <c r="K84" i="1" s="1"/>
  <c r="C84" i="1"/>
  <c r="D84" i="1"/>
  <c r="E84" i="1"/>
  <c r="B466" i="3" s="1"/>
  <c r="A85" i="1"/>
  <c r="K85" i="1" s="1"/>
  <c r="C85" i="1"/>
  <c r="D85" i="1"/>
  <c r="E85" i="1"/>
  <c r="B472" i="3" s="1"/>
  <c r="A86" i="1"/>
  <c r="K86" i="1" s="1"/>
  <c r="C86" i="1"/>
  <c r="D86" i="1"/>
  <c r="E86" i="1"/>
  <c r="B478" i="3" s="1"/>
  <c r="A87" i="1"/>
  <c r="K87" i="1" s="1"/>
  <c r="C87" i="1"/>
  <c r="D87" i="1"/>
  <c r="C482" i="5" s="1"/>
  <c r="E87" i="1"/>
  <c r="A88" i="1"/>
  <c r="K88" i="1" s="1"/>
  <c r="C88" i="1"/>
  <c r="D88" i="1"/>
  <c r="C488" i="5" s="1"/>
  <c r="E88" i="1"/>
  <c r="A89" i="1"/>
  <c r="K89" i="1" s="1"/>
  <c r="C89" i="1"/>
  <c r="L89" i="1" s="1"/>
  <c r="D89" i="1"/>
  <c r="E89" i="1"/>
  <c r="A90" i="1"/>
  <c r="K90" i="1" s="1"/>
  <c r="C90" i="1"/>
  <c r="L90" i="1" s="1"/>
  <c r="D90" i="1"/>
  <c r="E90" i="1"/>
  <c r="A91" i="1"/>
  <c r="K91" i="1" s="1"/>
  <c r="C91" i="1"/>
  <c r="L91" i="1" s="1"/>
  <c r="D91" i="1"/>
  <c r="E91" i="1"/>
  <c r="A92" i="1"/>
  <c r="K92" i="1" s="1"/>
  <c r="C92" i="1"/>
  <c r="L92" i="1" s="1"/>
  <c r="D92" i="1"/>
  <c r="E92" i="1"/>
  <c r="A93" i="1"/>
  <c r="K93" i="1" s="1"/>
  <c r="C93" i="1"/>
  <c r="L93" i="1" s="1"/>
  <c r="D93" i="1"/>
  <c r="E93" i="1"/>
  <c r="A94" i="1"/>
  <c r="K94" i="1" s="1"/>
  <c r="C94" i="1"/>
  <c r="L94" i="1" s="1"/>
  <c r="D94" i="1"/>
  <c r="E94" i="1"/>
  <c r="A95" i="1"/>
  <c r="K95" i="1" s="1"/>
  <c r="C95" i="1"/>
  <c r="L95" i="1" s="1"/>
  <c r="D95" i="1"/>
  <c r="E95" i="1"/>
  <c r="A96" i="1"/>
  <c r="K96" i="1" s="1"/>
  <c r="C96" i="1"/>
  <c r="D96" i="1"/>
  <c r="E96" i="1"/>
  <c r="A97" i="1"/>
  <c r="K97" i="1" s="1"/>
  <c r="C97" i="1"/>
  <c r="L97" i="1" s="1"/>
  <c r="D97" i="1"/>
  <c r="E97" i="1"/>
  <c r="A98" i="1"/>
  <c r="K98" i="1" s="1"/>
  <c r="C98" i="1"/>
  <c r="L98" i="1" s="1"/>
  <c r="D98" i="1"/>
  <c r="E98" i="1"/>
  <c r="A99" i="1"/>
  <c r="K99" i="1" s="1"/>
  <c r="C99" i="1"/>
  <c r="L99" i="1" s="1"/>
  <c r="D99" i="1"/>
  <c r="E99" i="1"/>
  <c r="A100" i="1"/>
  <c r="K100" i="1" s="1"/>
  <c r="C100" i="1"/>
  <c r="L100" i="1" s="1"/>
  <c r="D100" i="1"/>
  <c r="E100" i="1"/>
  <c r="L87" i="1" l="1"/>
  <c r="B482" i="5"/>
  <c r="L88" i="1"/>
  <c r="B488" i="5"/>
  <c r="C458" i="5"/>
  <c r="C458" i="3"/>
  <c r="L85" i="1"/>
  <c r="B470" i="3"/>
  <c r="B470" i="5"/>
  <c r="L83" i="1"/>
  <c r="B458" i="3"/>
  <c r="B458" i="5"/>
  <c r="C434" i="3"/>
  <c r="C434" i="5"/>
  <c r="C422" i="3"/>
  <c r="C422" i="5"/>
  <c r="C398" i="5"/>
  <c r="C398" i="3"/>
  <c r="C446" i="5"/>
  <c r="C446" i="3"/>
  <c r="C410" i="5"/>
  <c r="C410" i="3"/>
  <c r="B446" i="5"/>
  <c r="B446" i="3"/>
  <c r="L79" i="1"/>
  <c r="B434" i="3"/>
  <c r="B434" i="5"/>
  <c r="L77" i="1"/>
  <c r="B422" i="3"/>
  <c r="B422" i="5"/>
  <c r="L75" i="1"/>
  <c r="B410" i="3"/>
  <c r="B410" i="5"/>
  <c r="L73" i="1"/>
  <c r="B398" i="5"/>
  <c r="B398" i="3"/>
  <c r="C476" i="5"/>
  <c r="C476" i="3"/>
  <c r="C452" i="3"/>
  <c r="C452" i="5"/>
  <c r="L86" i="1"/>
  <c r="B476" i="5"/>
  <c r="B476" i="3"/>
  <c r="L84" i="1"/>
  <c r="B464" i="5"/>
  <c r="B464" i="3"/>
  <c r="L82" i="1"/>
  <c r="B452" i="5"/>
  <c r="B452" i="3"/>
  <c r="C470" i="3"/>
  <c r="C470" i="5"/>
  <c r="C464" i="5"/>
  <c r="C464" i="3"/>
  <c r="C440" i="5"/>
  <c r="C440" i="3"/>
  <c r="C428" i="3"/>
  <c r="C428" i="5"/>
  <c r="C416" i="5"/>
  <c r="C416" i="3"/>
  <c r="C404" i="3"/>
  <c r="C404" i="5"/>
  <c r="C392" i="5"/>
  <c r="C392" i="3"/>
  <c r="L80" i="1"/>
  <c r="B440" i="3"/>
  <c r="B440" i="5"/>
  <c r="L78" i="1"/>
  <c r="B428" i="5"/>
  <c r="B428" i="3"/>
  <c r="L76" i="1"/>
  <c r="B416" i="5"/>
  <c r="B416" i="3"/>
  <c r="L74" i="1"/>
  <c r="B404" i="5"/>
  <c r="B404" i="3"/>
  <c r="L72" i="1"/>
  <c r="B392" i="3"/>
  <c r="B392" i="5"/>
  <c r="L71" i="1"/>
  <c r="B386" i="5"/>
  <c r="L59" i="1"/>
  <c r="B314" i="5"/>
  <c r="L51" i="1"/>
  <c r="B266" i="5"/>
  <c r="L39" i="1"/>
  <c r="B194" i="5"/>
  <c r="B158" i="3"/>
  <c r="B158" i="5"/>
  <c r="B122" i="3"/>
  <c r="B122" i="5"/>
  <c r="L13" i="1"/>
  <c r="B38" i="5"/>
  <c r="C386" i="3"/>
  <c r="C386" i="5"/>
  <c r="C350" i="3"/>
  <c r="C350" i="5"/>
  <c r="C326" i="3"/>
  <c r="C326" i="5"/>
  <c r="C302" i="3"/>
  <c r="C302" i="5"/>
  <c r="C266" i="3"/>
  <c r="C266" i="5"/>
  <c r="C242" i="3"/>
  <c r="C242" i="5"/>
  <c r="C218" i="3"/>
  <c r="C218" i="5"/>
  <c r="C194" i="3"/>
  <c r="C194" i="5"/>
  <c r="C170" i="3"/>
  <c r="C170" i="5"/>
  <c r="C146" i="3"/>
  <c r="C146" i="5"/>
  <c r="C110" i="3"/>
  <c r="C110" i="5"/>
  <c r="C86" i="3"/>
  <c r="C86" i="5"/>
  <c r="C62" i="3"/>
  <c r="C62" i="5"/>
  <c r="C38" i="3"/>
  <c r="C38" i="5"/>
  <c r="C14" i="3"/>
  <c r="C14" i="5"/>
  <c r="L70" i="1"/>
  <c r="B380" i="5"/>
  <c r="L68" i="1"/>
  <c r="B368" i="5"/>
  <c r="L66" i="1"/>
  <c r="B356" i="5"/>
  <c r="L64" i="1"/>
  <c r="B344" i="5"/>
  <c r="L62" i="1"/>
  <c r="B332" i="5"/>
  <c r="B320" i="3"/>
  <c r="B320" i="5"/>
  <c r="L58" i="1"/>
  <c r="B308" i="5"/>
  <c r="B296" i="3"/>
  <c r="B296" i="5"/>
  <c r="L54" i="1"/>
  <c r="B284" i="5"/>
  <c r="B272" i="3"/>
  <c r="B272" i="5"/>
  <c r="L50" i="1"/>
  <c r="B260" i="5"/>
  <c r="B248" i="3"/>
  <c r="B248" i="5"/>
  <c r="L46" i="1"/>
  <c r="B236" i="5"/>
  <c r="L44" i="1"/>
  <c r="B224" i="5"/>
  <c r="L42" i="1"/>
  <c r="B212" i="5"/>
  <c r="B200" i="3"/>
  <c r="B200" i="5"/>
  <c r="L38" i="1"/>
  <c r="B188" i="5"/>
  <c r="L36" i="1"/>
  <c r="B176" i="5"/>
  <c r="L34" i="1"/>
  <c r="B164" i="5"/>
  <c r="B152" i="3"/>
  <c r="B152" i="5"/>
  <c r="L30" i="1"/>
  <c r="B140" i="5"/>
  <c r="B128" i="3"/>
  <c r="B128" i="5"/>
  <c r="B116" i="3"/>
  <c r="B116" i="5"/>
  <c r="L24" i="1"/>
  <c r="B104" i="5"/>
  <c r="B92" i="3"/>
  <c r="B92" i="5"/>
  <c r="L20" i="1"/>
  <c r="B80" i="5"/>
  <c r="B68" i="3"/>
  <c r="B68" i="5"/>
  <c r="B56" i="3"/>
  <c r="B56" i="5"/>
  <c r="L14" i="1"/>
  <c r="B44" i="5"/>
  <c r="L12" i="1"/>
  <c r="B32" i="5"/>
  <c r="L10" i="1"/>
  <c r="B20" i="5"/>
  <c r="B8" i="3"/>
  <c r="B8" i="5"/>
  <c r="L61" i="1"/>
  <c r="B326" i="5"/>
  <c r="B254" i="3"/>
  <c r="B254" i="5"/>
  <c r="L43" i="1"/>
  <c r="B218" i="5"/>
  <c r="B146" i="3"/>
  <c r="B146" i="5"/>
  <c r="L23" i="1"/>
  <c r="B98" i="5"/>
  <c r="B50" i="3"/>
  <c r="B50" i="5"/>
  <c r="C374" i="3"/>
  <c r="C374" i="5"/>
  <c r="C338" i="3"/>
  <c r="C338" i="5"/>
  <c r="C314" i="3"/>
  <c r="C314" i="5"/>
  <c r="C290" i="3"/>
  <c r="C290" i="5"/>
  <c r="C278" i="3"/>
  <c r="C278" i="5"/>
  <c r="C254" i="3"/>
  <c r="C254" i="5"/>
  <c r="C230" i="3"/>
  <c r="C230" i="5"/>
  <c r="C206" i="3"/>
  <c r="C206" i="5"/>
  <c r="C182" i="3"/>
  <c r="C182" i="5"/>
  <c r="C158" i="3"/>
  <c r="C158" i="5"/>
  <c r="C134" i="3"/>
  <c r="C134" i="5"/>
  <c r="C122" i="3"/>
  <c r="C122" i="5"/>
  <c r="C98" i="3"/>
  <c r="C98" i="5"/>
  <c r="C74" i="3"/>
  <c r="C74" i="5"/>
  <c r="C50" i="3"/>
  <c r="C50" i="5"/>
  <c r="C26" i="3"/>
  <c r="C26" i="5"/>
  <c r="C2" i="3"/>
  <c r="C2" i="5"/>
  <c r="C380" i="3"/>
  <c r="C380" i="5"/>
  <c r="C368" i="3"/>
  <c r="C368" i="5"/>
  <c r="C356" i="3"/>
  <c r="C356" i="5"/>
  <c r="C344" i="3"/>
  <c r="C344" i="5"/>
  <c r="C332" i="3"/>
  <c r="C332" i="5"/>
  <c r="C320" i="3"/>
  <c r="C320" i="5"/>
  <c r="C308" i="3"/>
  <c r="C308" i="5"/>
  <c r="C296" i="3"/>
  <c r="C296" i="5"/>
  <c r="C284" i="3"/>
  <c r="C284" i="5"/>
  <c r="C272" i="3"/>
  <c r="C272" i="5"/>
  <c r="C260" i="3"/>
  <c r="C260" i="5"/>
  <c r="C248" i="3"/>
  <c r="C248" i="5"/>
  <c r="C236" i="3"/>
  <c r="C236" i="5"/>
  <c r="C224" i="3"/>
  <c r="C224" i="5"/>
  <c r="C212" i="3"/>
  <c r="C212" i="5"/>
  <c r="C200" i="3"/>
  <c r="C200" i="5"/>
  <c r="C188" i="3"/>
  <c r="C188" i="5"/>
  <c r="C176" i="3"/>
  <c r="C176" i="5"/>
  <c r="C164" i="3"/>
  <c r="C164" i="5"/>
  <c r="C152" i="3"/>
  <c r="C152" i="5"/>
  <c r="C140" i="3"/>
  <c r="C140" i="5"/>
  <c r="C128" i="3"/>
  <c r="C128" i="5"/>
  <c r="C116" i="3"/>
  <c r="C116" i="5"/>
  <c r="C104" i="3"/>
  <c r="C104" i="5"/>
  <c r="C92" i="3"/>
  <c r="C92" i="5"/>
  <c r="C80" i="3"/>
  <c r="C80" i="5"/>
  <c r="C68" i="3"/>
  <c r="C68" i="5"/>
  <c r="C56" i="3"/>
  <c r="C56" i="5"/>
  <c r="C44" i="3"/>
  <c r="C44" i="5"/>
  <c r="C32" i="3"/>
  <c r="C32" i="5"/>
  <c r="C20" i="3"/>
  <c r="C20" i="5"/>
  <c r="C8" i="3"/>
  <c r="C8" i="5"/>
  <c r="L67" i="1"/>
  <c r="B362" i="5"/>
  <c r="L57" i="1"/>
  <c r="B302" i="5"/>
  <c r="B242" i="3"/>
  <c r="B242" i="5"/>
  <c r="L35" i="1"/>
  <c r="B170" i="5"/>
  <c r="L29" i="1"/>
  <c r="B134" i="5"/>
  <c r="B110" i="3"/>
  <c r="B110" i="5"/>
  <c r="L21" i="1"/>
  <c r="B86" i="5"/>
  <c r="B74" i="3"/>
  <c r="B74" i="5"/>
  <c r="B62" i="3"/>
  <c r="B62" i="5"/>
  <c r="L11" i="1"/>
  <c r="B26" i="5"/>
  <c r="B14" i="3"/>
  <c r="B14" i="5"/>
  <c r="B2" i="3"/>
  <c r="B2" i="5"/>
  <c r="L65" i="1"/>
  <c r="B350" i="5"/>
  <c r="L45" i="1"/>
  <c r="B230" i="5"/>
  <c r="C362" i="3"/>
  <c r="C362" i="5"/>
  <c r="B338" i="3"/>
  <c r="B338" i="5"/>
  <c r="B182" i="3"/>
  <c r="B182" i="5"/>
  <c r="B374" i="3"/>
  <c r="B374" i="5"/>
  <c r="B290" i="3"/>
  <c r="B290" i="5"/>
  <c r="B278" i="3"/>
  <c r="B278" i="5"/>
  <c r="B206" i="3"/>
  <c r="B206" i="5"/>
  <c r="B386" i="3"/>
  <c r="L41" i="1"/>
  <c r="L60" i="1"/>
  <c r="B44" i="3"/>
  <c r="B380" i="3"/>
  <c r="B368" i="3"/>
  <c r="L96" i="1"/>
  <c r="B326" i="3"/>
  <c r="L8" i="1"/>
  <c r="B32" i="3"/>
  <c r="L18" i="1"/>
  <c r="B308" i="3"/>
  <c r="L40" i="1"/>
  <c r="B302" i="3"/>
  <c r="L25" i="1"/>
  <c r="L56" i="1"/>
  <c r="B332" i="3"/>
  <c r="B26" i="3"/>
  <c r="B38" i="3"/>
  <c r="B284" i="3"/>
  <c r="B344" i="3"/>
  <c r="B356" i="3"/>
  <c r="B236" i="3"/>
  <c r="B260" i="3"/>
  <c r="L52" i="1"/>
  <c r="L69" i="1"/>
  <c r="B362" i="3"/>
  <c r="B350" i="3"/>
  <c r="L63" i="1"/>
  <c r="B314" i="3"/>
  <c r="L55" i="1"/>
  <c r="L53" i="1"/>
  <c r="B266" i="3"/>
  <c r="L49" i="1"/>
  <c r="B194" i="3"/>
  <c r="B218" i="3"/>
  <c r="B134" i="3"/>
  <c r="B140" i="3"/>
  <c r="B104" i="3"/>
  <c r="L16" i="1"/>
  <c r="L47" i="1"/>
  <c r="L32" i="1"/>
  <c r="B86" i="3"/>
  <c r="L17" i="1"/>
  <c r="L22" i="1"/>
  <c r="B98" i="3"/>
  <c r="B188" i="3"/>
  <c r="B170" i="3"/>
  <c r="L48" i="1"/>
  <c r="B224" i="3"/>
  <c r="B212" i="3"/>
  <c r="L37" i="1"/>
  <c r="B176" i="3"/>
  <c r="B164" i="3"/>
  <c r="L33" i="1"/>
  <c r="L31" i="1"/>
  <c r="L28" i="1"/>
  <c r="L27" i="1"/>
  <c r="L26" i="1"/>
  <c r="B80" i="3"/>
  <c r="L19" i="1"/>
  <c r="L15" i="1"/>
  <c r="L9" i="1"/>
  <c r="L7" i="1"/>
</calcChain>
</file>

<file path=xl/sharedStrings.xml><?xml version="1.0" encoding="utf-8"?>
<sst xmlns="http://schemas.openxmlformats.org/spreadsheetml/2006/main" count="1802" uniqueCount="242">
  <si>
    <t>Name</t>
  </si>
  <si>
    <t>Date</t>
  </si>
  <si>
    <t>Work Center</t>
  </si>
  <si>
    <t>Op #</t>
  </si>
  <si>
    <t>Est Hours</t>
  </si>
  <si>
    <t>Task</t>
  </si>
  <si>
    <t>Completed By</t>
  </si>
  <si>
    <t>Description:</t>
  </si>
  <si>
    <t>Delivery Date:</t>
  </si>
  <si>
    <t>QC Sign Off</t>
  </si>
  <si>
    <t>Description</t>
  </si>
  <si>
    <t>Job #:</t>
  </si>
  <si>
    <t>Assigned</t>
  </si>
  <si>
    <t>Op #:</t>
  </si>
  <si>
    <t>Hrs Used</t>
  </si>
  <si>
    <t>_</t>
  </si>
  <si>
    <t>Part:</t>
  </si>
  <si>
    <t>Customer PO:</t>
  </si>
  <si>
    <t>Quote:</t>
  </si>
  <si>
    <t/>
  </si>
  <si>
    <t>Line:</t>
  </si>
  <si>
    <t>Rev:</t>
  </si>
  <si>
    <t>Drawing:</t>
  </si>
  <si>
    <t>Order Qty:</t>
  </si>
  <si>
    <t>/</t>
  </si>
  <si>
    <t>ea</t>
  </si>
  <si>
    <t>Order Date:</t>
  </si>
  <si>
    <t>Make Qty:</t>
  </si>
  <si>
    <t xml:space="preserve"> Est Hours:</t>
  </si>
  <si>
    <t>Job Notes:</t>
  </si>
  <si>
    <t>Linked SO Lines</t>
  </si>
  <si>
    <t>Sales Order</t>
  </si>
  <si>
    <t>SO Line</t>
  </si>
  <si>
    <t>Part</t>
  </si>
  <si>
    <t>Order Qty</t>
  </si>
  <si>
    <t>Remaining Qty</t>
  </si>
  <si>
    <t>Due Date</t>
  </si>
  <si>
    <t>Customer</t>
  </si>
  <si>
    <t>Delivery Schedule</t>
  </si>
  <si>
    <t>Promised Date</t>
  </si>
  <si>
    <t>Promised Quantity</t>
  </si>
  <si>
    <t>Remaining Quantity</t>
  </si>
  <si>
    <t>Comments</t>
  </si>
  <si>
    <t>Routing</t>
  </si>
  <si>
    <t>WC/Vendor</t>
  </si>
  <si>
    <t>Sch Start</t>
  </si>
  <si>
    <t>Oper/Serv</t>
  </si>
  <si>
    <t>Operation Key</t>
  </si>
  <si>
    <t>Sch End</t>
  </si>
  <si>
    <t>Setup</t>
  </si>
  <si>
    <t>Run Rate</t>
  </si>
  <si>
    <t>Run</t>
  </si>
  <si>
    <t>QC SignOff</t>
  </si>
  <si>
    <t>INSPECTION</t>
  </si>
  <si>
    <t>FixedHrs</t>
  </si>
  <si>
    <t>_________________</t>
  </si>
  <si>
    <t>PRE FAB</t>
  </si>
  <si>
    <t>Cut Nozzle Pipe and Clean</t>
  </si>
  <si>
    <t>.100</t>
  </si>
  <si>
    <t>.155</t>
  </si>
  <si>
    <t>FINISHING</t>
  </si>
  <si>
    <t>QC Inspection - Final &amp; L</t>
  </si>
  <si>
    <t>.QC95</t>
  </si>
  <si>
    <t>QC Inspection - Final &amp; Loose Items</t>
  </si>
  <si>
    <t>SHIPPING</t>
  </si>
  <si>
    <t>Load on Truck</t>
  </si>
  <si>
    <t>.960</t>
  </si>
  <si>
    <t>Load on truck</t>
  </si>
  <si>
    <t>Hours</t>
  </si>
  <si>
    <t>% Compl.</t>
  </si>
  <si>
    <t>FIT</t>
  </si>
  <si>
    <t>Receive Material</t>
  </si>
  <si>
    <t>.010</t>
  </si>
  <si>
    <t>UT Top &amp; Bottom Heads</t>
  </si>
  <si>
    <t>.QC1</t>
  </si>
  <si>
    <t>UT top and bottom heads</t>
  </si>
  <si>
    <t>Build Nozzles-Weld</t>
  </si>
  <si>
    <t>.105</t>
  </si>
  <si>
    <t>Burn and clean parts:  lugs, supports, repads, base ring, etc. (CHECK!)</t>
  </si>
  <si>
    <t>Bld Lift Lugs, Grd Lugs</t>
  </si>
  <si>
    <t>.200</t>
  </si>
  <si>
    <t>UT Shells</t>
  </si>
  <si>
    <t>.QC3</t>
  </si>
  <si>
    <t>BI, SQ, T&amp;C Shells</t>
  </si>
  <si>
    <t>.305</t>
  </si>
  <si>
    <t>Roll Shell, Tack-Weld I/S</t>
  </si>
  <si>
    <t>.315</t>
  </si>
  <si>
    <t>QC Inspection -Top/Bot/Co</t>
  </si>
  <si>
    <t>.QC4</t>
  </si>
  <si>
    <t>QC Inspection - Top/Bottom/Cones</t>
  </si>
  <si>
    <t>L/O Top, B&amp;C Holes</t>
  </si>
  <si>
    <t>.355</t>
  </si>
  <si>
    <t>Lay out top head, burn and clean holes</t>
  </si>
  <si>
    <t>Set Nozzles &amp; Lugs - Top</t>
  </si>
  <si>
    <t>.365</t>
  </si>
  <si>
    <t>Weld Nozzles - Top Head</t>
  </si>
  <si>
    <t>.366</t>
  </si>
  <si>
    <t>Fit Bottom Head to Shell</t>
  </si>
  <si>
    <t>.600</t>
  </si>
  <si>
    <t>Tack Shell Courses</t>
  </si>
  <si>
    <t>.605</t>
  </si>
  <si>
    <t>Weld Inside Round Seams</t>
  </si>
  <si>
    <t>.610</t>
  </si>
  <si>
    <t>L/O Shell, B&amp;C Holes</t>
  </si>
  <si>
    <t>.620</t>
  </si>
  <si>
    <t>QC Inspection - Internal</t>
  </si>
  <si>
    <t>.QC5</t>
  </si>
  <si>
    <t>Fit Top to Shell</t>
  </si>
  <si>
    <t>.640</t>
  </si>
  <si>
    <t>MOVE TANK</t>
  </si>
  <si>
    <t>Move Tank to Detail Rolls</t>
  </si>
  <si>
    <t>.800</t>
  </si>
  <si>
    <t>Move tank to detail rolls</t>
  </si>
  <si>
    <t>Install Support Parts</t>
  </si>
  <si>
    <t>.720</t>
  </si>
  <si>
    <t>Set Nozzles in Shell</t>
  </si>
  <si>
    <t>.725</t>
  </si>
  <si>
    <t>Weld Shell Nozz &amp; M/Ws</t>
  </si>
  <si>
    <t>.726</t>
  </si>
  <si>
    <t>Install Name Tag</t>
  </si>
  <si>
    <t>.765</t>
  </si>
  <si>
    <t>Install name tag</t>
  </si>
  <si>
    <t>Inspect Tank, Make Repair</t>
  </si>
  <si>
    <t>.770</t>
  </si>
  <si>
    <t>Inspect tank, make repairs, get QC inspector</t>
  </si>
  <si>
    <t>QC Inspection - Fab</t>
  </si>
  <si>
    <t>.QC6</t>
  </si>
  <si>
    <t>QC Inspection - Fabrication</t>
  </si>
  <si>
    <t>Move to Shop Test Area</t>
  </si>
  <si>
    <t>.801</t>
  </si>
  <si>
    <t>Move to shop test area</t>
  </si>
  <si>
    <t>Test Tank</t>
  </si>
  <si>
    <t>.910</t>
  </si>
  <si>
    <t>Test tank</t>
  </si>
  <si>
    <t>QC Inspection - Test</t>
  </si>
  <si>
    <t>.QC7</t>
  </si>
  <si>
    <t>Cut Parts on Burn Table</t>
  </si>
  <si>
    <t>Clean &amp; Prep Parts</t>
  </si>
  <si>
    <t>.156</t>
  </si>
  <si>
    <t>Drill/Punch holes</t>
  </si>
  <si>
    <t>.255</t>
  </si>
  <si>
    <t>Misc Fabrication</t>
  </si>
  <si>
    <t>.261</t>
  </si>
  <si>
    <t>L/O Bottom, B&amp;C Holes</t>
  </si>
  <si>
    <t>.455</t>
  </si>
  <si>
    <t>Lay out bottom head, burn and clean holes</t>
  </si>
  <si>
    <t>Tack shell courses together</t>
  </si>
  <si>
    <t>Weld inside round seams</t>
  </si>
  <si>
    <t>Install Internal Parts</t>
  </si>
  <si>
    <t>.630</t>
  </si>
  <si>
    <t>Weld all Outside Seams</t>
  </si>
  <si>
    <t>.645</t>
  </si>
  <si>
    <t>Weld all outside seams</t>
  </si>
  <si>
    <t>Add Repads-Weld</t>
  </si>
  <si>
    <t>.730</t>
  </si>
  <si>
    <t>BUFFER TANK #14</t>
  </si>
  <si>
    <t>PO3662</t>
  </si>
  <si>
    <t>9250.1</t>
  </si>
  <si>
    <t>Cut nozzle pipe and clean_x000D_
INCL FOR INLET MANIFOLD</t>
  </si>
  <si>
    <t>Build nozzles and weld</t>
  </si>
  <si>
    <t>Build Repads for Nozzles</t>
  </si>
  <si>
    <t>.107</t>
  </si>
  <si>
    <t>Build Repads for Nozzles, drill and tap holes</t>
  </si>
  <si>
    <t>Build Dip Tubes-Weld</t>
  </si>
  <si>
    <t>.110</t>
  </si>
  <si>
    <t>Build dip tubes and weld_x000D_
BUILD INLET MANIFOLD</t>
  </si>
  <si>
    <t>B&amp;W Base Ring, Skirt</t>
  </si>
  <si>
    <t>.175</t>
  </si>
  <si>
    <t>Build and weld base ring - skirt</t>
  </si>
  <si>
    <t>Make lift lugs, ground lugs, etc.</t>
  </si>
  <si>
    <t>Drill/punch holes_x000D_
BURN HOLES IN MANIFOLD PIPE &amp; REDUCERS</t>
  </si>
  <si>
    <t>Miscellaneous Fabrication - Braces, Mounting Plates, Cone Outlet Necks_x000D_
MAKE INLET MANIFOLD PIPE SUPPORTS</t>
  </si>
  <si>
    <t>Wrap Top &amp; Bottom Heads</t>
  </si>
  <si>
    <t>.300</t>
  </si>
  <si>
    <t>Wrap top and bottom heads</t>
  </si>
  <si>
    <t>Shells: bring in plate, square, trim and clean</t>
  </si>
  <si>
    <t>Bevel Shell Plates</t>
  </si>
  <si>
    <t>.310</t>
  </si>
  <si>
    <t>Bevel shell plates</t>
  </si>
  <si>
    <t>Roll shells, tack and weld inside seams_x000D_
INCL WELD LONG SEAM W/COBOT</t>
  </si>
  <si>
    <t>Bevel Top Head</t>
  </si>
  <si>
    <t>.360</t>
  </si>
  <si>
    <t>Bevel top head_x000D_
CLEAN UP NOZZLE HOLE &amp; PREP FOR FULL PEN WELD</t>
  </si>
  <si>
    <t>Set  nozzles, lift lugs, etc. in top head - tack</t>
  </si>
  <si>
    <t>Weld out top head nozzles, etc._x000D_
INCL (2) LIFT LUGS W/REPADS</t>
  </si>
  <si>
    <t>Bevel Bottom Head</t>
  </si>
  <si>
    <t>.460</t>
  </si>
  <si>
    <t>Bevel bottom head_x000D_
CLEAN UP NOZZLE HOLE &amp; PREP FOR FULL PEN WELD</t>
  </si>
  <si>
    <t>Set Nozzles - Bottom Head</t>
  </si>
  <si>
    <t>.465</t>
  </si>
  <si>
    <t>Set  nozzles in bottom head - tack</t>
  </si>
  <si>
    <t>Weld Nozzles - Bot. Head</t>
  </si>
  <si>
    <t>.466</t>
  </si>
  <si>
    <t>Weld nozzles in bottom head; weld complete</t>
  </si>
  <si>
    <t>Bld Skirt, Roll &amp; Tack</t>
  </si>
  <si>
    <t>.500</t>
  </si>
  <si>
    <t>Build skirt - fit and weld shells_x000D_
ROLL (1) SHELL; INCL WELD LONG SEAM W/COBOT</t>
  </si>
  <si>
    <t>Bld Skirt, F&amp;T to Base</t>
  </si>
  <si>
    <t>.510</t>
  </si>
  <si>
    <t>Build skirt; fit base ring to shell and weld_x000D_
FIT &amp; TACK BASE RING TO SHELL</t>
  </si>
  <si>
    <t>Weld Skirt</t>
  </si>
  <si>
    <t>.515</t>
  </si>
  <si>
    <t>Weld skirt shell seams and base ring_x000D_
WELD BASE RING TO SKIRT SHELL INSIDE &amp; OUTSIDE</t>
  </si>
  <si>
    <t>Bld Skirt, Fit Anchor/Gst</t>
  </si>
  <si>
    <t>.530</t>
  </si>
  <si>
    <t>Build skirt - fit anchors / gussets_x000D_
FIT (8) GUSSETS; TACK ONLY</t>
  </si>
  <si>
    <t>Weld Skirt Nozzles, Etc.</t>
  </si>
  <si>
    <t>.545</t>
  </si>
  <si>
    <t>Weld skirt anchors, gussets, nozzles, manways, etc._x000D_
WELD (8) GUSSETS</t>
  </si>
  <si>
    <t>ASME Hold Point</t>
  </si>
  <si>
    <t>.OI1</t>
  </si>
  <si>
    <t>Fit bottom head to shell</t>
  </si>
  <si>
    <t>Lay out shell, burn and clean holes_x000D_
PREP NOZZLE HOLES FOR FULL PEN WELDS</t>
  </si>
  <si>
    <t>Install internals - wear plates, rings, clips, etc._x000D_
INSTALL INLET MANIFOLD &amp; SUPPORTS</t>
  </si>
  <si>
    <t>Fit top head to shell - tack</t>
  </si>
  <si>
    <t>Weld top to shell</t>
  </si>
  <si>
    <t>.641</t>
  </si>
  <si>
    <t>Weld top head to shell - inside_x000D_
INCL HOLE WATCH</t>
  </si>
  <si>
    <t>Install Insul/Vac Rings</t>
  </si>
  <si>
    <t>.715</t>
  </si>
  <si>
    <t>Install insulation/vacuum rings - tack_x000D_
INCL WELD COMPLETE</t>
  </si>
  <si>
    <t>Install supports - legs, lugs, anchors, saddles, skirt_x000D_
FIT SKIRT TO BOTTOM HEAD AND WELD</t>
  </si>
  <si>
    <t>Set nozzles in shell - tack</t>
  </si>
  <si>
    <t>Weld shell nozzles, manways, etc._x000D_
INCL HOLE WATCH &amp; NOZZLE A</t>
  </si>
  <si>
    <t>Add repads and weld</t>
  </si>
  <si>
    <t>Customer Inspection</t>
  </si>
  <si>
    <t>.OI4</t>
  </si>
  <si>
    <t>ASME Inspection Internal</t>
  </si>
  <si>
    <t>.OI2</t>
  </si>
  <si>
    <t>ASME Inspection Test</t>
  </si>
  <si>
    <t>.OI3</t>
  </si>
  <si>
    <t>Move to Paint Area</t>
  </si>
  <si>
    <t>.802</t>
  </si>
  <si>
    <t>Move to paint area</t>
  </si>
  <si>
    <t>QC Inspection - Sandblast</t>
  </si>
  <si>
    <t>.QC9</t>
  </si>
  <si>
    <t>QC Inspection - Paint</t>
  </si>
  <si>
    <t>.QC90</t>
  </si>
  <si>
    <t>Prepare Tank for Shipment</t>
  </si>
  <si>
    <t>.940</t>
  </si>
  <si>
    <t>Prepare tank for shipment</t>
  </si>
  <si>
    <t>069-25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</si>
</sst>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 dd\-mmm\-yy"/>
    <numFmt numFmtId="165" formatCode="0_);\(0\)"/>
    <numFmt numFmtId="166" formatCode="#,##0.0"/>
    <numFmt numFmtId="167" formatCode="0.0"/>
  </numFmts>
  <fonts count="10" x14ac:knownFonts="1">
    <font>
      <sz val="10"/>
      <color indexed="8"/>
      <name val="ARIAL"/>
      <charset val="1"/>
    </font>
    <font>
      <sz val="10"/>
      <color indexed="8"/>
      <name val="Arial"/>
      <family val="2"/>
    </font>
    <font>
      <u/>
      <sz val="10"/>
      <color indexed="8"/>
      <name val="Arial"/>
      <family val="2"/>
    </font>
    <font>
      <b/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14"/>
      <color indexed="8"/>
      <name val="Arial"/>
      <family val="2"/>
    </font>
    <font>
      <sz val="12"/>
      <color indexed="8"/>
      <name val="Arial"/>
      <family val="2"/>
    </font>
    <font>
      <b/>
      <u/>
      <sz val="10"/>
      <color indexed="8"/>
      <name val="Arial"/>
      <family val="2"/>
    </font>
    <font>
      <sz val="14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top"/>
    </xf>
  </cellStyleXfs>
  <cellXfs count="42">
    <xf numFmtId="0" fontId="0" fillId="0" borderId="0" xfId="0">
      <alignment vertical="top"/>
    </xf>
    <xf numFmtId="0" fontId="0" fillId="0" borderId="0" xfId="0" applyAlignment="1">
      <alignment horizontal="right" vertical="top"/>
    </xf>
    <xf numFmtId="0" fontId="2" fillId="0" borderId="0" xfId="0" applyFont="1">
      <alignment vertical="top"/>
    </xf>
    <xf numFmtId="0" fontId="2" fillId="0" borderId="0" xfId="0" applyFont="1" applyAlignment="1">
      <alignment horizontal="center" vertical="top"/>
    </xf>
    <xf numFmtId="0" fontId="3" fillId="0" borderId="0" xfId="0" applyFont="1">
      <alignment vertical="top"/>
    </xf>
    <xf numFmtId="0" fontId="7" fillId="0" borderId="0" xfId="0" applyFont="1" applyAlignment="1">
      <alignment horizontal="right" vertical="top"/>
    </xf>
    <xf numFmtId="0" fontId="5" fillId="0" borderId="0" xfId="0" applyFont="1" applyAlignment="1">
      <alignment horizontal="right" vertical="top"/>
    </xf>
    <xf numFmtId="164" fontId="5" fillId="0" borderId="0" xfId="0" applyNumberFormat="1" applyFont="1">
      <alignment vertical="top"/>
    </xf>
    <xf numFmtId="0" fontId="0" fillId="0" borderId="0" xfId="0" applyAlignment="1"/>
    <xf numFmtId="0" fontId="3" fillId="0" borderId="0" xfId="0" applyFont="1" applyAlignment="1">
      <alignment horizontal="right"/>
    </xf>
    <xf numFmtId="0" fontId="4" fillId="0" borderId="1" xfId="0" applyFont="1" applyBorder="1" applyAlignment="1"/>
    <xf numFmtId="165" fontId="0" fillId="0" borderId="2" xfId="0" applyNumberFormat="1" applyBorder="1" applyAlignment="1"/>
    <xf numFmtId="0" fontId="0" fillId="0" borderId="2" xfId="0" applyBorder="1" applyAlignment="1"/>
    <xf numFmtId="166" fontId="0" fillId="0" borderId="2" xfId="0" applyNumberFormat="1" applyBorder="1" applyAlignment="1"/>
    <xf numFmtId="0" fontId="5" fillId="0" borderId="0" xfId="0" applyFont="1" applyAlignment="1">
      <alignment horizontal="right"/>
    </xf>
    <xf numFmtId="0" fontId="8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2" xfId="0" applyFont="1" applyBorder="1" applyAlignment="1">
      <alignment horizontal="center"/>
    </xf>
    <xf numFmtId="165" fontId="0" fillId="0" borderId="0" xfId="0" applyNumberFormat="1">
      <alignment vertical="top"/>
    </xf>
    <xf numFmtId="164" fontId="0" fillId="0" borderId="0" xfId="0" applyNumberFormat="1">
      <alignment vertical="top"/>
    </xf>
    <xf numFmtId="4" fontId="0" fillId="0" borderId="0" xfId="0" applyNumberFormat="1">
      <alignment vertical="top"/>
    </xf>
    <xf numFmtId="3" fontId="0" fillId="0" borderId="0" xfId="0" applyNumberFormat="1">
      <alignment vertical="top"/>
    </xf>
    <xf numFmtId="0" fontId="0" fillId="0" borderId="2" xfId="0" applyBorder="1" applyAlignment="1">
      <alignment wrapText="1"/>
    </xf>
    <xf numFmtId="0" fontId="5" fillId="0" borderId="0" xfId="0" applyFont="1" applyAlignment="1">
      <alignment horizontal="left"/>
    </xf>
    <xf numFmtId="39" fontId="0" fillId="0" borderId="0" xfId="0" applyNumberFormat="1">
      <alignment vertical="top"/>
    </xf>
    <xf numFmtId="0" fontId="7" fillId="0" borderId="0" xfId="0" applyFont="1" applyAlignment="1"/>
    <xf numFmtId="0" fontId="1" fillId="0" borderId="0" xfId="0" applyFont="1" applyAlignment="1"/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9" fillId="0" borderId="0" xfId="0" applyFont="1" applyAlignment="1"/>
    <xf numFmtId="0" fontId="9" fillId="0" borderId="0" xfId="0" applyFont="1" applyAlignment="1">
      <alignment horizontal="center"/>
    </xf>
    <xf numFmtId="0" fontId="9" fillId="0" borderId="4" xfId="0" applyFont="1" applyBorder="1" applyAlignment="1"/>
    <xf numFmtId="0" fontId="7" fillId="0" borderId="3" xfId="0" applyFont="1" applyBorder="1" applyAlignment="1"/>
    <xf numFmtId="0" fontId="9" fillId="0" borderId="0" xfId="0" quotePrefix="1" applyFont="1" applyAlignment="1"/>
    <xf numFmtId="0" fontId="6" fillId="2" borderId="0" xfId="0" applyFont="1" applyFill="1">
      <alignment vertical="top"/>
    </xf>
    <xf numFmtId="0" fontId="0" fillId="2" borderId="0" xfId="0" applyFill="1" applyAlignment="1">
      <alignment horizontal="right" vertical="top"/>
    </xf>
    <xf numFmtId="0" fontId="9" fillId="0" borderId="6" xfId="0" applyFont="1" applyBorder="1" applyAlignment="1"/>
    <xf numFmtId="167" fontId="9" fillId="0" borderId="7" xfId="0" applyNumberFormat="1" applyFont="1" applyBorder="1" applyAlignment="1"/>
    <xf numFmtId="0" fontId="1" fillId="0" borderId="3" xfId="0" applyFont="1" applyBorder="1" applyAlignment="1">
      <alignment horizontal="center" vertical="top"/>
    </xf>
    <xf numFmtId="0" fontId="9" fillId="0" borderId="5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1">
    <cellStyle name="Normal" xfId="0" builtinId="0"/>
  </cellStyles>
  <dxfs count="8"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autoPageBreaks="0"/>
  </sheetPr>
  <dimension ref="A1:L100"/>
  <sheetViews>
    <sheetView tabSelected="1" zoomScale="110" zoomScaleNormal="110" workbookViewId="0">
      <selection sqref="A1:H67"/>
    </sheetView>
  </sheetViews>
  <sheetFormatPr defaultColWidth="6.85546875" defaultRowHeight="12.75" customHeight="1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241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BUFFER TANK #14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.100</v>
      </c>
      <c r="D7" s="22" t="str">
        <f>'Sheet2-PASTE HERE!'!K17</f>
        <v>Cut nozzle pipe and clean_x000D_
INCL FOR INLET MANIFOLD</v>
      </c>
      <c r="E7" s="13">
        <f>'Sheet2-PASTE HERE!'!F17</f>
        <v>12</v>
      </c>
      <c r="F7" s="12"/>
      <c r="G7" s="12"/>
      <c r="H7" s="12"/>
      <c r="K7">
        <f t="shared" ref="K7:K16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PRE FAB</v>
      </c>
      <c r="B8" s="11"/>
      <c r="C8" s="17" t="str">
        <f>'Sheet2-PASTE HERE!'!I18</f>
        <v>.105</v>
      </c>
      <c r="D8" s="22" t="str">
        <f>'Sheet2-PASTE HERE!'!K18</f>
        <v>Build nozzles and weld</v>
      </c>
      <c r="E8" s="13">
        <f>'Sheet2-PASTE HERE!'!F18</f>
        <v>6</v>
      </c>
      <c r="F8" s="12"/>
      <c r="G8" s="12"/>
      <c r="H8" s="12"/>
      <c r="K8">
        <f t="shared" si="0"/>
        <v>0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.107</v>
      </c>
      <c r="D9" s="22" t="str">
        <f>'Sheet2-PASTE HERE!'!K19</f>
        <v>Build Repads for Nozzles, drill and tap holes</v>
      </c>
      <c r="E9" s="13">
        <f>'Sheet2-PASTE HERE!'!F19</f>
        <v>3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.110</v>
      </c>
      <c r="D10" s="22" t="str">
        <f>'Sheet2-PASTE HERE!'!K20</f>
        <v>Build dip tubes and weld_x000D_
BUILD INLET MANIFOLD</v>
      </c>
      <c r="E10" s="13">
        <f>'Sheet2-PASTE HERE!'!F20</f>
        <v>30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.155</v>
      </c>
      <c r="D11" s="22" t="str">
        <f>'Sheet2-PASTE HERE!'!K21</f>
        <v>Burn and clean parts:  lugs, supports, repads, base ring, etc. (CHECK!)</v>
      </c>
      <c r="E11" s="13">
        <f>'Sheet2-PASTE HERE!'!F21</f>
        <v>40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.156</v>
      </c>
      <c r="D12" s="22">
        <f>'Sheet2-PASTE HERE!'!K22</f>
        <v>0</v>
      </c>
      <c r="E12" s="13">
        <f>'Sheet2-PASTE HERE!'!F22</f>
        <v>20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.175</v>
      </c>
      <c r="D13" s="22" t="str">
        <f>'Sheet2-PASTE HERE!'!K23</f>
        <v>Build and weld base ring - skirt</v>
      </c>
      <c r="E13" s="13">
        <f>'Sheet2-PASTE HERE!'!F23</f>
        <v>8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.200</v>
      </c>
      <c r="D14" s="22" t="str">
        <f>'Sheet2-PASTE HERE!'!K24</f>
        <v>Make lift lugs, ground lugs, etc.</v>
      </c>
      <c r="E14" s="13">
        <f>'Sheet2-PASTE HERE!'!F24</f>
        <v>2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.255</v>
      </c>
      <c r="D15" s="22" t="str">
        <f>'Sheet2-PASTE HERE!'!K25</f>
        <v>Drill/punch holes_x000D_
BURN HOLES IN MANIFOLD PIPE &amp; REDUCERS</v>
      </c>
      <c r="E15" s="13">
        <f>'Sheet2-PASTE HERE!'!F25</f>
        <v>10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.261</v>
      </c>
      <c r="D16" s="22" t="str">
        <f>'Sheet2-PASTE HERE!'!K26</f>
        <v>Miscellaneous Fabrication - Braces, Mounting Plates, Cone Outlet Necks_x000D_
MAKE INLET MANIFOLD PIPE SUPPORTS</v>
      </c>
      <c r="E16" s="13">
        <f>'Sheet2-PASTE HERE!'!F26</f>
        <v>2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.300</v>
      </c>
      <c r="D17" s="22" t="str">
        <f>'Sheet2-PASTE HERE!'!K27</f>
        <v>Wrap top and bottom heads</v>
      </c>
      <c r="E17" s="13">
        <f>'Sheet2-PASTE HERE!'!F27</f>
        <v>2</v>
      </c>
      <c r="F17" s="12"/>
      <c r="G17" s="12"/>
      <c r="H17" s="12"/>
      <c r="K17">
        <f t="shared" ref="K17:K80" si="2">IF(A17="INSPECTION",1,0)</f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INSPECTION</v>
      </c>
      <c r="B18" s="11"/>
      <c r="C18" s="17" t="str">
        <f>'Sheet2-PASTE HERE!'!I28</f>
        <v>.QC3</v>
      </c>
      <c r="D18" s="22" t="str">
        <f>'Sheet2-PASTE HERE!'!K28</f>
        <v>UT Shells</v>
      </c>
      <c r="E18" s="13">
        <f>'Sheet2-PASTE HERE!'!F28</f>
        <v>0</v>
      </c>
      <c r="F18" s="12"/>
      <c r="G18" s="12"/>
      <c r="H18" s="12"/>
      <c r="K18">
        <f t="shared" si="2"/>
        <v>1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.305</v>
      </c>
      <c r="D19" s="22" t="str">
        <f>'Sheet2-PASTE HERE!'!K29</f>
        <v>Shells: bring in plate, square, trim and clean</v>
      </c>
      <c r="E19" s="13">
        <f>'Sheet2-PASTE HERE!'!F29</f>
        <v>9</v>
      </c>
      <c r="F19" s="12"/>
      <c r="G19" s="12"/>
      <c r="H19" s="12"/>
      <c r="K19">
        <f t="shared" si="2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.310</v>
      </c>
      <c r="D20" s="22" t="str">
        <f>'Sheet2-PASTE HERE!'!K30</f>
        <v>Bevel shell plates</v>
      </c>
      <c r="E20" s="13">
        <f>'Sheet2-PASTE HERE!'!F30</f>
        <v>12</v>
      </c>
      <c r="F20" s="12"/>
      <c r="G20" s="12"/>
      <c r="H20" s="12"/>
      <c r="K20">
        <f t="shared" si="2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PRE FAB</v>
      </c>
      <c r="B21" s="11"/>
      <c r="C21" s="17" t="str">
        <f>'Sheet2-PASTE HERE!'!I31</f>
        <v>.315</v>
      </c>
      <c r="D21" s="22" t="str">
        <f>'Sheet2-PASTE HERE!'!K31</f>
        <v>Roll shells, tack and weld inside seams_x000D_
INCL WELD LONG SEAM W/COBOT</v>
      </c>
      <c r="E21" s="13">
        <f>'Sheet2-PASTE HERE!'!F31</f>
        <v>18</v>
      </c>
      <c r="F21" s="12"/>
      <c r="G21" s="12"/>
      <c r="H21" s="12"/>
      <c r="K21">
        <f t="shared" si="2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INSPECTION</v>
      </c>
      <c r="B22" s="11"/>
      <c r="C22" s="17" t="str">
        <f>'Sheet2-PASTE HERE!'!I32</f>
        <v>.QC4</v>
      </c>
      <c r="D22" s="22" t="str">
        <f>'Sheet2-PASTE HERE!'!K32</f>
        <v>QC Inspection - Top/Bottom/Cones</v>
      </c>
      <c r="E22" s="13">
        <f>'Sheet2-PASTE HERE!'!F32</f>
        <v>0</v>
      </c>
      <c r="F22" s="12"/>
      <c r="G22" s="12"/>
      <c r="H22" s="12"/>
      <c r="K22">
        <f t="shared" si="2"/>
        <v>1</v>
      </c>
      <c r="L22">
        <f t="shared" si="1"/>
        <v>0</v>
      </c>
    </row>
    <row r="23" spans="1:12" ht="26.25" customHeight="1" x14ac:dyDescent="0.2">
      <c r="A23" s="10" t="str">
        <f>'Sheet2-PASTE HERE!'!A33</f>
        <v>PRE FAB</v>
      </c>
      <c r="B23" s="11"/>
      <c r="C23" s="17" t="str">
        <f>'Sheet2-PASTE HERE!'!I33</f>
        <v>.355</v>
      </c>
      <c r="D23" s="22" t="str">
        <f>'Sheet2-PASTE HERE!'!K33</f>
        <v>Lay out top head, burn and clean holes</v>
      </c>
      <c r="E23" s="13">
        <f>'Sheet2-PASTE HERE!'!F33</f>
        <v>1</v>
      </c>
      <c r="F23" s="12"/>
      <c r="G23" s="12"/>
      <c r="H23" s="12"/>
      <c r="K23">
        <f t="shared" si="2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.360</v>
      </c>
      <c r="D24" s="22" t="str">
        <f>'Sheet2-PASTE HERE!'!K34</f>
        <v>Bevel top head_x000D_
CLEAN UP NOZZLE HOLE &amp; PREP FOR FULL PEN WELD</v>
      </c>
      <c r="E24" s="13">
        <f>'Sheet2-PASTE HERE!'!F34</f>
        <v>1</v>
      </c>
      <c r="F24" s="12"/>
      <c r="G24" s="12"/>
      <c r="H24" s="12"/>
      <c r="K24">
        <f t="shared" si="2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PRE FAB</v>
      </c>
      <c r="B25" s="11"/>
      <c r="C25" s="17" t="str">
        <f>'Sheet2-PASTE HERE!'!I35</f>
        <v>.365</v>
      </c>
      <c r="D25" s="22" t="str">
        <f>'Sheet2-PASTE HERE!'!K35</f>
        <v>Set  nozzles, lift lugs, etc. in top head - tack</v>
      </c>
      <c r="E25" s="13">
        <f>'Sheet2-PASTE HERE!'!F35</f>
        <v>1</v>
      </c>
      <c r="F25" s="12"/>
      <c r="G25" s="12"/>
      <c r="H25" s="12"/>
      <c r="K25">
        <f t="shared" si="2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PRE FAB</v>
      </c>
      <c r="B26" s="11"/>
      <c r="C26" s="17" t="str">
        <f>'Sheet2-PASTE HERE!'!I36</f>
        <v>.366</v>
      </c>
      <c r="D26" s="22" t="str">
        <f>'Sheet2-PASTE HERE!'!K36</f>
        <v>Weld out top head nozzles, etc._x000D_
INCL (2) LIFT LUGS W/REPADS</v>
      </c>
      <c r="E26" s="13">
        <f>'Sheet2-PASTE HERE!'!F36</f>
        <v>6</v>
      </c>
      <c r="F26" s="12"/>
      <c r="G26" s="12"/>
      <c r="H26" s="12"/>
      <c r="K26">
        <f t="shared" si="2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INSPECTION</v>
      </c>
      <c r="B27" s="11"/>
      <c r="C27" s="17" t="str">
        <f>'Sheet2-PASTE HERE!'!I37</f>
        <v>.QC4</v>
      </c>
      <c r="D27" s="22" t="str">
        <f>'Sheet2-PASTE HERE!'!K37</f>
        <v>QC Inspection - Top/Bottom/Cones</v>
      </c>
      <c r="E27" s="13">
        <f>'Sheet2-PASTE HERE!'!F37</f>
        <v>0</v>
      </c>
      <c r="F27" s="12"/>
      <c r="G27" s="12"/>
      <c r="H27" s="12"/>
      <c r="K27">
        <f t="shared" si="2"/>
        <v>1</v>
      </c>
      <c r="L27">
        <f t="shared" si="1"/>
        <v>0</v>
      </c>
    </row>
    <row r="28" spans="1:12" ht="26.25" customHeight="1" x14ac:dyDescent="0.2">
      <c r="A28" s="10" t="str">
        <f>'Sheet2-PASTE HERE!'!A38</f>
        <v>PRE FAB</v>
      </c>
      <c r="B28" s="11"/>
      <c r="C28" s="17" t="str">
        <f>'Sheet2-PASTE HERE!'!I38</f>
        <v>.455</v>
      </c>
      <c r="D28" s="22" t="str">
        <f>'Sheet2-PASTE HERE!'!K38</f>
        <v>Lay out bottom head, burn and clean holes</v>
      </c>
      <c r="E28" s="13">
        <f>'Sheet2-PASTE HERE!'!F38</f>
        <v>1</v>
      </c>
      <c r="F28" s="12"/>
      <c r="G28" s="12"/>
      <c r="H28" s="12"/>
      <c r="K28">
        <f t="shared" si="2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PRE FAB</v>
      </c>
      <c r="B29" s="11"/>
      <c r="C29" s="17" t="str">
        <f>'Sheet2-PASTE HERE!'!I39</f>
        <v>.460</v>
      </c>
      <c r="D29" s="22" t="str">
        <f>'Sheet2-PASTE HERE!'!K39</f>
        <v>Bevel bottom head_x000D_
CLEAN UP NOZZLE HOLE &amp; PREP FOR FULL PEN WELD</v>
      </c>
      <c r="E29" s="13">
        <f>'Sheet2-PASTE HERE!'!F39</f>
        <v>1</v>
      </c>
      <c r="F29" s="12"/>
      <c r="G29" s="12"/>
      <c r="H29" s="12"/>
      <c r="K29">
        <f t="shared" si="2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PRE FAB</v>
      </c>
      <c r="B30" s="11"/>
      <c r="C30" s="17" t="str">
        <f>'Sheet2-PASTE HERE!'!I40</f>
        <v>.465</v>
      </c>
      <c r="D30" s="22" t="str">
        <f>'Sheet2-PASTE HERE!'!K40</f>
        <v>Set  nozzles in bottom head - tack</v>
      </c>
      <c r="E30" s="13">
        <f>'Sheet2-PASTE HERE!'!F40</f>
        <v>1</v>
      </c>
      <c r="F30" s="12"/>
      <c r="G30" s="12"/>
      <c r="H30" s="12"/>
      <c r="K30">
        <f t="shared" si="2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PRE FAB</v>
      </c>
      <c r="B31" s="11"/>
      <c r="C31" s="17" t="str">
        <f>'Sheet2-PASTE HERE!'!I41</f>
        <v>.466</v>
      </c>
      <c r="D31" s="22" t="str">
        <f>'Sheet2-PASTE HERE!'!K41</f>
        <v>Weld nozzles in bottom head; weld complete</v>
      </c>
      <c r="E31" s="13">
        <f>'Sheet2-PASTE HERE!'!F41</f>
        <v>2</v>
      </c>
      <c r="F31" s="12"/>
      <c r="G31" s="12"/>
      <c r="H31" s="12"/>
      <c r="K31">
        <f t="shared" si="2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PRE FAB</v>
      </c>
      <c r="B32" s="11"/>
      <c r="C32" s="17" t="str">
        <f>'Sheet2-PASTE HERE!'!I42</f>
        <v>.500</v>
      </c>
      <c r="D32" s="22" t="str">
        <f>'Sheet2-PASTE HERE!'!K42</f>
        <v>Build skirt - fit and weld shells_x000D_
ROLL (1) SHELL; INCL WELD LONG SEAM W/COBOT</v>
      </c>
      <c r="E32" s="13">
        <f>'Sheet2-PASTE HERE!'!F42</f>
        <v>5</v>
      </c>
      <c r="F32" s="12"/>
      <c r="G32" s="12"/>
      <c r="H32" s="12"/>
      <c r="K32">
        <f t="shared" si="2"/>
        <v>0</v>
      </c>
      <c r="L32">
        <f t="shared" si="1"/>
        <v>0</v>
      </c>
    </row>
    <row r="33" spans="1:12" ht="26.25" customHeight="1" x14ac:dyDescent="0.2">
      <c r="A33" s="10" t="str">
        <f>'Sheet2-PASTE HERE!'!A43</f>
        <v>PRE FAB</v>
      </c>
      <c r="B33" s="11"/>
      <c r="C33" s="17" t="str">
        <f>'Sheet2-PASTE HERE!'!I43</f>
        <v>.510</v>
      </c>
      <c r="D33" s="22" t="str">
        <f>'Sheet2-PASTE HERE!'!K43</f>
        <v>Build skirt; fit base ring to shell and weld_x000D_
FIT &amp; TACK BASE RING TO SHELL</v>
      </c>
      <c r="E33" s="13">
        <f>'Sheet2-PASTE HERE!'!F43</f>
        <v>5</v>
      </c>
      <c r="F33" s="12"/>
      <c r="G33" s="12"/>
      <c r="H33" s="12"/>
      <c r="K33">
        <f t="shared" si="2"/>
        <v>0</v>
      </c>
      <c r="L33">
        <f t="shared" si="1"/>
        <v>0</v>
      </c>
    </row>
    <row r="34" spans="1:12" ht="26.25" customHeight="1" x14ac:dyDescent="0.2">
      <c r="A34" s="10" t="str">
        <f>'Sheet2-PASTE HERE!'!A44</f>
        <v>FIT</v>
      </c>
      <c r="B34" s="11"/>
      <c r="C34" s="17" t="str">
        <f>'Sheet2-PASTE HERE!'!I44</f>
        <v>.515</v>
      </c>
      <c r="D34" s="22" t="str">
        <f>'Sheet2-PASTE HERE!'!K44</f>
        <v>Weld skirt shell seams and base ring_x000D_
WELD BASE RING TO SKIRT SHELL INSIDE &amp; OUTSIDE</v>
      </c>
      <c r="E34" s="13">
        <f>'Sheet2-PASTE HERE!'!F44</f>
        <v>8</v>
      </c>
      <c r="F34" s="12"/>
      <c r="G34" s="12"/>
      <c r="H34" s="12"/>
      <c r="K34">
        <f t="shared" si="2"/>
        <v>0</v>
      </c>
      <c r="L34">
        <f t="shared" si="1"/>
        <v>0</v>
      </c>
    </row>
    <row r="35" spans="1:12" ht="26.25" customHeight="1" x14ac:dyDescent="0.2">
      <c r="A35" s="10" t="str">
        <f>'Sheet2-PASTE HERE!'!A45</f>
        <v>FIT</v>
      </c>
      <c r="B35" s="11"/>
      <c r="C35" s="17" t="str">
        <f>'Sheet2-PASTE HERE!'!I45</f>
        <v>.530</v>
      </c>
      <c r="D35" s="22" t="str">
        <f>'Sheet2-PASTE HERE!'!K45</f>
        <v>Build skirt - fit anchors / gussets_x000D_
FIT (8) GUSSETS; TACK ONLY</v>
      </c>
      <c r="E35" s="13">
        <f>'Sheet2-PASTE HERE!'!F45</f>
        <v>3</v>
      </c>
      <c r="F35" s="12"/>
      <c r="G35" s="12"/>
      <c r="H35" s="12"/>
      <c r="K35">
        <f t="shared" si="2"/>
        <v>0</v>
      </c>
      <c r="L35">
        <f t="shared" si="1"/>
        <v>0</v>
      </c>
    </row>
    <row r="36" spans="1:12" ht="26.25" customHeight="1" x14ac:dyDescent="0.2">
      <c r="A36" s="10" t="str">
        <f>'Sheet2-PASTE HERE!'!A46</f>
        <v>FIT</v>
      </c>
      <c r="B36" s="11"/>
      <c r="C36" s="17" t="str">
        <f>'Sheet2-PASTE HERE!'!I46</f>
        <v>.545</v>
      </c>
      <c r="D36" s="22" t="str">
        <f>'Sheet2-PASTE HERE!'!K46</f>
        <v>Weld skirt anchors, gussets, nozzles, manways, etc._x000D_
WELD (8) GUSSETS</v>
      </c>
      <c r="E36" s="13">
        <f>'Sheet2-PASTE HERE!'!F46</f>
        <v>6</v>
      </c>
      <c r="F36" s="12"/>
      <c r="G36" s="12"/>
      <c r="H36" s="12"/>
      <c r="K36">
        <f t="shared" si="2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INSPECTION</v>
      </c>
      <c r="B37" s="11"/>
      <c r="C37" s="17" t="str">
        <f>'Sheet2-PASTE HERE!'!I47</f>
        <v>.OI1</v>
      </c>
      <c r="D37" s="22" t="str">
        <f>'Sheet2-PASTE HERE!'!K47</f>
        <v>ASME Hold Point</v>
      </c>
      <c r="E37" s="13">
        <f>'Sheet2-PASTE HERE!'!F47</f>
        <v>0</v>
      </c>
      <c r="F37" s="12"/>
      <c r="G37" s="12"/>
      <c r="H37" s="12"/>
      <c r="K37">
        <f t="shared" si="2"/>
        <v>1</v>
      </c>
      <c r="L37">
        <f t="shared" si="1"/>
        <v>1</v>
      </c>
    </row>
    <row r="38" spans="1:12" ht="26.25" customHeight="1" x14ac:dyDescent="0.2">
      <c r="A38" s="10" t="str">
        <f>'Sheet2-PASTE HERE!'!A48</f>
        <v>FIT</v>
      </c>
      <c r="B38" s="11"/>
      <c r="C38" s="17" t="str">
        <f>'Sheet2-PASTE HERE!'!I48</f>
        <v>.600</v>
      </c>
      <c r="D38" s="22" t="str">
        <f>'Sheet2-PASTE HERE!'!K48</f>
        <v>Fit bottom head to shell</v>
      </c>
      <c r="E38" s="13">
        <f>'Sheet2-PASTE HERE!'!F48</f>
        <v>4</v>
      </c>
      <c r="F38" s="12"/>
      <c r="G38" s="12"/>
      <c r="H38" s="12"/>
      <c r="K38">
        <f t="shared" si="2"/>
        <v>0</v>
      </c>
      <c r="L38">
        <f t="shared" si="1"/>
        <v>0</v>
      </c>
    </row>
    <row r="39" spans="1:12" ht="26.25" customHeight="1" x14ac:dyDescent="0.2">
      <c r="A39" s="10" t="str">
        <f>'Sheet2-PASTE HERE!'!A49</f>
        <v>FIT</v>
      </c>
      <c r="B39" s="11"/>
      <c r="C39" s="17" t="str">
        <f>'Sheet2-PASTE HERE!'!I49</f>
        <v>.605</v>
      </c>
      <c r="D39" s="22" t="str">
        <f>'Sheet2-PASTE HERE!'!K49</f>
        <v>Tack shell courses together</v>
      </c>
      <c r="E39" s="13">
        <f>'Sheet2-PASTE HERE!'!F49</f>
        <v>8</v>
      </c>
      <c r="F39" s="12"/>
      <c r="G39" s="12"/>
      <c r="H39" s="12"/>
      <c r="K39">
        <f t="shared" si="2"/>
        <v>0</v>
      </c>
      <c r="L39">
        <f t="shared" si="1"/>
        <v>0</v>
      </c>
    </row>
    <row r="40" spans="1:12" ht="26.25" customHeight="1" x14ac:dyDescent="0.2">
      <c r="A40" s="10" t="str">
        <f>'Sheet2-PASTE HERE!'!A50</f>
        <v>FIT</v>
      </c>
      <c r="B40" s="11"/>
      <c r="C40" s="17" t="str">
        <f>'Sheet2-PASTE HERE!'!I50</f>
        <v>.610</v>
      </c>
      <c r="D40" s="22" t="str">
        <f>'Sheet2-PASTE HERE!'!K50</f>
        <v>Weld inside round seams</v>
      </c>
      <c r="E40" s="13">
        <f>'Sheet2-PASTE HERE!'!F50</f>
        <v>18</v>
      </c>
      <c r="F40" s="12"/>
      <c r="G40" s="12"/>
      <c r="H40" s="12"/>
      <c r="K40">
        <f t="shared" si="2"/>
        <v>0</v>
      </c>
      <c r="L40">
        <f t="shared" si="1"/>
        <v>0</v>
      </c>
    </row>
    <row r="41" spans="1:12" ht="26.25" customHeight="1" x14ac:dyDescent="0.2">
      <c r="A41" s="10" t="str">
        <f>'Sheet2-PASTE HERE!'!A51</f>
        <v>FIT</v>
      </c>
      <c r="B41" s="11"/>
      <c r="C41" s="17" t="str">
        <f>'Sheet2-PASTE HERE!'!I51</f>
        <v>.620</v>
      </c>
      <c r="D41" s="22" t="str">
        <f>'Sheet2-PASTE HERE!'!K51</f>
        <v>Lay out shell, burn and clean holes_x000D_
PREP NOZZLE HOLES FOR FULL PEN WELDS</v>
      </c>
      <c r="E41" s="13">
        <f>'Sheet2-PASTE HERE!'!F51</f>
        <v>6</v>
      </c>
      <c r="F41" s="12"/>
      <c r="G41" s="12"/>
      <c r="H41" s="12"/>
      <c r="K41">
        <f t="shared" si="2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FIT</v>
      </c>
      <c r="B42" s="11"/>
      <c r="C42" s="17" t="str">
        <f>'Sheet2-PASTE HERE!'!I52</f>
        <v>.630</v>
      </c>
      <c r="D42" s="22" t="str">
        <f>'Sheet2-PASTE HERE!'!K52</f>
        <v>Install internals - wear plates, rings, clips, etc._x000D_
INSTALL INLET MANIFOLD &amp; SUPPORTS</v>
      </c>
      <c r="E42" s="13">
        <f>'Sheet2-PASTE HERE!'!F52</f>
        <v>36</v>
      </c>
      <c r="F42" s="12"/>
      <c r="G42" s="12"/>
      <c r="H42" s="12"/>
      <c r="K42">
        <f t="shared" si="2"/>
        <v>0</v>
      </c>
      <c r="L42">
        <f t="shared" si="1"/>
        <v>0</v>
      </c>
    </row>
    <row r="43" spans="1:12" ht="26.25" customHeight="1" x14ac:dyDescent="0.2">
      <c r="A43" s="10" t="str">
        <f>'Sheet2-PASTE HERE!'!A53</f>
        <v>INSPECTION</v>
      </c>
      <c r="B43" s="11"/>
      <c r="C43" s="17" t="str">
        <f>'Sheet2-PASTE HERE!'!I53</f>
        <v>.QC5</v>
      </c>
      <c r="D43" s="22" t="str">
        <f>'Sheet2-PASTE HERE!'!K53</f>
        <v>QC Inspection - Internal</v>
      </c>
      <c r="E43" s="13">
        <f>'Sheet2-PASTE HERE!'!F53</f>
        <v>0</v>
      </c>
      <c r="F43" s="12"/>
      <c r="G43" s="12"/>
      <c r="H43" s="12"/>
      <c r="K43">
        <f t="shared" si="2"/>
        <v>1</v>
      </c>
      <c r="L43">
        <f t="shared" si="1"/>
        <v>0</v>
      </c>
    </row>
    <row r="44" spans="1:12" ht="26.25" customHeight="1" x14ac:dyDescent="0.2">
      <c r="A44" s="10" t="str">
        <f>'Sheet2-PASTE HERE!'!A54</f>
        <v>FIT</v>
      </c>
      <c r="B44" s="11"/>
      <c r="C44" s="17" t="str">
        <f>'Sheet2-PASTE HERE!'!I54</f>
        <v>.640</v>
      </c>
      <c r="D44" s="22" t="str">
        <f>'Sheet2-PASTE HERE!'!K54</f>
        <v>Fit top head to shell - tack</v>
      </c>
      <c r="E44" s="13">
        <f>'Sheet2-PASTE HERE!'!F54</f>
        <v>5</v>
      </c>
      <c r="F44" s="12"/>
      <c r="G44" s="12"/>
      <c r="H44" s="12"/>
      <c r="K44">
        <f t="shared" si="2"/>
        <v>0</v>
      </c>
      <c r="L44">
        <f t="shared" si="1"/>
        <v>0</v>
      </c>
    </row>
    <row r="45" spans="1:12" ht="26.25" customHeight="1" x14ac:dyDescent="0.2">
      <c r="A45" s="10" t="str">
        <f>'Sheet2-PASTE HERE!'!A55</f>
        <v>FIT</v>
      </c>
      <c r="B45" s="11"/>
      <c r="C45" s="17" t="str">
        <f>'Sheet2-PASTE HERE!'!I55</f>
        <v>.641</v>
      </c>
      <c r="D45" s="22" t="str">
        <f>'Sheet2-PASTE HERE!'!K55</f>
        <v>Weld top head to shell - inside_x000D_
INCL HOLE WATCH</v>
      </c>
      <c r="E45" s="13">
        <f>'Sheet2-PASTE HERE!'!F55</f>
        <v>12</v>
      </c>
      <c r="F45" s="12"/>
      <c r="G45" s="12"/>
      <c r="H45" s="12"/>
      <c r="K45">
        <f t="shared" si="2"/>
        <v>0</v>
      </c>
      <c r="L45">
        <f t="shared" si="1"/>
        <v>0</v>
      </c>
    </row>
    <row r="46" spans="1:12" ht="26.25" customHeight="1" x14ac:dyDescent="0.2">
      <c r="A46" s="10" t="str">
        <f>'Sheet2-PASTE HERE!'!A56</f>
        <v>FIT</v>
      </c>
      <c r="B46" s="11"/>
      <c r="C46" s="17" t="str">
        <f>'Sheet2-PASTE HERE!'!I56</f>
        <v>.645</v>
      </c>
      <c r="D46" s="22" t="str">
        <f>'Sheet2-PASTE HERE!'!K56</f>
        <v>Weld all outside seams</v>
      </c>
      <c r="E46" s="13">
        <f>'Sheet2-PASTE HERE!'!F56</f>
        <v>20</v>
      </c>
      <c r="F46" s="12"/>
      <c r="G46" s="12"/>
      <c r="H46" s="12"/>
      <c r="K46">
        <f t="shared" si="2"/>
        <v>0</v>
      </c>
      <c r="L46">
        <f t="shared" si="1"/>
        <v>0</v>
      </c>
    </row>
    <row r="47" spans="1:12" ht="26.25" customHeight="1" x14ac:dyDescent="0.2">
      <c r="A47" s="10" t="str">
        <f>'Sheet2-PASTE HERE!'!A57</f>
        <v>MOVE TANK</v>
      </c>
      <c r="B47" s="11"/>
      <c r="C47" s="17" t="str">
        <f>'Sheet2-PASTE HERE!'!I57</f>
        <v>.800</v>
      </c>
      <c r="D47" s="22" t="str">
        <f>'Sheet2-PASTE HERE!'!K57</f>
        <v>Move tank to detail rolls</v>
      </c>
      <c r="E47" s="13">
        <f>'Sheet2-PASTE HERE!'!F57</f>
        <v>3</v>
      </c>
      <c r="F47" s="12"/>
      <c r="G47" s="12"/>
      <c r="H47" s="12"/>
      <c r="K47">
        <f t="shared" si="2"/>
        <v>0</v>
      </c>
      <c r="L47">
        <f t="shared" si="1"/>
        <v>0</v>
      </c>
    </row>
    <row r="48" spans="1:12" ht="26.25" customHeight="1" x14ac:dyDescent="0.2">
      <c r="A48" s="10" t="str">
        <f>'Sheet2-PASTE HERE!'!A58</f>
        <v>FIT</v>
      </c>
      <c r="B48" s="11"/>
      <c r="C48" s="17" t="str">
        <f>'Sheet2-PASTE HERE!'!I58</f>
        <v>.715</v>
      </c>
      <c r="D48" s="22" t="str">
        <f>'Sheet2-PASTE HERE!'!K58</f>
        <v>Install insulation/vacuum rings - tack_x000D_
INCL WELD COMPLETE</v>
      </c>
      <c r="E48" s="13">
        <f>'Sheet2-PASTE HERE!'!F58</f>
        <v>48</v>
      </c>
      <c r="F48" s="12"/>
      <c r="G48" s="12"/>
      <c r="H48" s="12"/>
      <c r="K48">
        <f t="shared" si="2"/>
        <v>0</v>
      </c>
      <c r="L48">
        <f t="shared" si="1"/>
        <v>0</v>
      </c>
    </row>
    <row r="49" spans="1:12" ht="26.25" customHeight="1" x14ac:dyDescent="0.2">
      <c r="A49" s="10" t="str">
        <f>'Sheet2-PASTE HERE!'!A59</f>
        <v>FIT</v>
      </c>
      <c r="B49" s="11"/>
      <c r="C49" s="17" t="str">
        <f>'Sheet2-PASTE HERE!'!I59</f>
        <v>.720</v>
      </c>
      <c r="D49" s="22" t="str">
        <f>'Sheet2-PASTE HERE!'!K59</f>
        <v>Install supports - legs, lugs, anchors, saddles, skirt_x000D_
FIT SKIRT TO BOTTOM HEAD AND WELD</v>
      </c>
      <c r="E49" s="13">
        <f>'Sheet2-PASTE HERE!'!F59</f>
        <v>32</v>
      </c>
      <c r="F49" s="12"/>
      <c r="G49" s="12"/>
      <c r="H49" s="12"/>
      <c r="K49">
        <f t="shared" si="2"/>
        <v>0</v>
      </c>
      <c r="L49">
        <f t="shared" si="1"/>
        <v>0</v>
      </c>
    </row>
    <row r="50" spans="1:12" ht="26.25" customHeight="1" x14ac:dyDescent="0.2">
      <c r="A50" s="10" t="str">
        <f>'Sheet2-PASTE HERE!'!A60</f>
        <v>FIT</v>
      </c>
      <c r="B50" s="11"/>
      <c r="C50" s="17" t="str">
        <f>'Sheet2-PASTE HERE!'!I60</f>
        <v>.725</v>
      </c>
      <c r="D50" s="22" t="str">
        <f>'Sheet2-PASTE HERE!'!K60</f>
        <v>Set nozzles in shell - tack</v>
      </c>
      <c r="E50" s="13">
        <f>'Sheet2-PASTE HERE!'!F60</f>
        <v>8</v>
      </c>
      <c r="F50" s="12"/>
      <c r="G50" s="12"/>
      <c r="H50" s="12"/>
      <c r="K50">
        <f t="shared" si="2"/>
        <v>0</v>
      </c>
      <c r="L50">
        <f t="shared" si="1"/>
        <v>0</v>
      </c>
    </row>
    <row r="51" spans="1:12" ht="26.25" customHeight="1" x14ac:dyDescent="0.2">
      <c r="A51" s="10" t="str">
        <f>'Sheet2-PASTE HERE!'!A61</f>
        <v>FIT</v>
      </c>
      <c r="B51" s="11"/>
      <c r="C51" s="17" t="str">
        <f>'Sheet2-PASTE HERE!'!I61</f>
        <v>.726</v>
      </c>
      <c r="D51" s="22" t="str">
        <f>'Sheet2-PASTE HERE!'!K61</f>
        <v>Weld shell nozzles, manways, etc._x000D_
INCL HOLE WATCH &amp; NOZZLE A</v>
      </c>
      <c r="E51" s="13">
        <f>'Sheet2-PASTE HERE!'!F61</f>
        <v>30</v>
      </c>
      <c r="F51" s="12"/>
      <c r="G51" s="12"/>
      <c r="H51" s="12"/>
      <c r="K51">
        <f t="shared" si="2"/>
        <v>0</v>
      </c>
      <c r="L51">
        <f t="shared" si="1"/>
        <v>0</v>
      </c>
    </row>
    <row r="52" spans="1:12" ht="26.25" customHeight="1" x14ac:dyDescent="0.2">
      <c r="A52" s="10" t="str">
        <f>'Sheet2-PASTE HERE!'!A62</f>
        <v>FIT</v>
      </c>
      <c r="B52" s="11"/>
      <c r="C52" s="17" t="str">
        <f>'Sheet2-PASTE HERE!'!I62</f>
        <v>.730</v>
      </c>
      <c r="D52" s="22" t="str">
        <f>'Sheet2-PASTE HERE!'!K62</f>
        <v>Add repads and weld</v>
      </c>
      <c r="E52" s="13">
        <f>'Sheet2-PASTE HERE!'!F62</f>
        <v>5</v>
      </c>
      <c r="F52" s="12"/>
      <c r="G52" s="12"/>
      <c r="H52" s="12"/>
      <c r="K52">
        <f t="shared" si="2"/>
        <v>0</v>
      </c>
      <c r="L52">
        <f t="shared" si="1"/>
        <v>0</v>
      </c>
    </row>
    <row r="53" spans="1:12" ht="26.25" customHeight="1" x14ac:dyDescent="0.2">
      <c r="A53" s="10" t="str">
        <f>'Sheet2-PASTE HERE!'!A63</f>
        <v>FINISHING</v>
      </c>
      <c r="B53" s="11"/>
      <c r="C53" s="17" t="str">
        <f>'Sheet2-PASTE HERE!'!I63</f>
        <v>.765</v>
      </c>
      <c r="D53" s="22" t="str">
        <f>'Sheet2-PASTE HERE!'!K63</f>
        <v>Install name tag</v>
      </c>
      <c r="E53" s="13">
        <f>'Sheet2-PASTE HERE!'!F63</f>
        <v>1</v>
      </c>
      <c r="F53" s="12"/>
      <c r="G53" s="12"/>
      <c r="H53" s="12"/>
      <c r="K53">
        <f t="shared" si="2"/>
        <v>0</v>
      </c>
      <c r="L53">
        <f t="shared" si="1"/>
        <v>0</v>
      </c>
    </row>
    <row r="54" spans="1:12" ht="26.25" customHeight="1" x14ac:dyDescent="0.2">
      <c r="A54" s="10" t="str">
        <f>'Sheet2-PASTE HERE!'!A64</f>
        <v>FIT</v>
      </c>
      <c r="B54" s="11"/>
      <c r="C54" s="17" t="str">
        <f>'Sheet2-PASTE HERE!'!I64</f>
        <v>.770</v>
      </c>
      <c r="D54" s="22" t="str">
        <f>'Sheet2-PASTE HERE!'!K64</f>
        <v>Inspect tank, make repairs, get QC inspector</v>
      </c>
      <c r="E54" s="13">
        <f>'Sheet2-PASTE HERE!'!F64</f>
        <v>1</v>
      </c>
      <c r="F54" s="12"/>
      <c r="G54" s="12"/>
      <c r="H54" s="12"/>
      <c r="K54">
        <f t="shared" si="2"/>
        <v>0</v>
      </c>
      <c r="L54">
        <f t="shared" si="1"/>
        <v>0</v>
      </c>
    </row>
    <row r="55" spans="1:12" ht="26.25" customHeight="1" x14ac:dyDescent="0.2">
      <c r="A55" s="10" t="str">
        <f>'Sheet2-PASTE HERE!'!A65</f>
        <v>INSPECTION</v>
      </c>
      <c r="B55" s="11"/>
      <c r="C55" s="17" t="str">
        <f>'Sheet2-PASTE HERE!'!I65</f>
        <v>.QC6</v>
      </c>
      <c r="D55" s="22" t="str">
        <f>'Sheet2-PASTE HERE!'!K65</f>
        <v>QC Inspection - Fabrication</v>
      </c>
      <c r="E55" s="13">
        <f>'Sheet2-PASTE HERE!'!F65</f>
        <v>0</v>
      </c>
      <c r="F55" s="12"/>
      <c r="G55" s="12"/>
      <c r="H55" s="12"/>
      <c r="K55">
        <f t="shared" si="2"/>
        <v>1</v>
      </c>
      <c r="L55">
        <f t="shared" si="1"/>
        <v>0</v>
      </c>
    </row>
    <row r="56" spans="1:12" ht="26.25" customHeight="1" x14ac:dyDescent="0.2">
      <c r="A56" s="10" t="str">
        <f>'Sheet2-PASTE HERE!'!A66</f>
        <v>INSPECTION</v>
      </c>
      <c r="B56" s="11"/>
      <c r="C56" s="17" t="str">
        <f>'Sheet2-PASTE HERE!'!I66</f>
        <v>.OI4</v>
      </c>
      <c r="D56" s="22" t="str">
        <f>'Sheet2-PASTE HERE!'!K66</f>
        <v>Customer Inspection</v>
      </c>
      <c r="E56" s="13">
        <f>'Sheet2-PASTE HERE!'!F66</f>
        <v>0</v>
      </c>
      <c r="F56" s="12"/>
      <c r="G56" s="12"/>
      <c r="H56" s="12"/>
      <c r="K56">
        <f t="shared" si="2"/>
        <v>1</v>
      </c>
      <c r="L56">
        <f t="shared" si="1"/>
        <v>1</v>
      </c>
    </row>
    <row r="57" spans="1:12" ht="26.25" customHeight="1" x14ac:dyDescent="0.2">
      <c r="A57" s="10" t="str">
        <f>'Sheet2-PASTE HERE!'!A67</f>
        <v>INSPECTION</v>
      </c>
      <c r="B57" s="11"/>
      <c r="C57" s="17" t="str">
        <f>'Sheet2-PASTE HERE!'!I67</f>
        <v>.OI2</v>
      </c>
      <c r="D57" s="22" t="str">
        <f>'Sheet2-PASTE HERE!'!K67</f>
        <v>ASME Inspection Internal</v>
      </c>
      <c r="E57" s="13">
        <f>'Sheet2-PASTE HERE!'!F67</f>
        <v>0</v>
      </c>
      <c r="F57" s="12"/>
      <c r="G57" s="12"/>
      <c r="H57" s="12"/>
      <c r="K57">
        <f t="shared" si="2"/>
        <v>1</v>
      </c>
      <c r="L57">
        <f t="shared" si="1"/>
        <v>1</v>
      </c>
    </row>
    <row r="58" spans="1:12" ht="26.25" customHeight="1" x14ac:dyDescent="0.2">
      <c r="A58" s="10" t="str">
        <f>'Sheet2-PASTE HERE!'!A68</f>
        <v>MOVE TANK</v>
      </c>
      <c r="B58" s="11"/>
      <c r="C58" s="17" t="str">
        <f>'Sheet2-PASTE HERE!'!I68</f>
        <v>.801</v>
      </c>
      <c r="D58" s="22" t="str">
        <f>'Sheet2-PASTE HERE!'!K68</f>
        <v>Move to shop test area</v>
      </c>
      <c r="E58" s="13">
        <f>'Sheet2-PASTE HERE!'!F68</f>
        <v>2</v>
      </c>
      <c r="F58" s="12"/>
      <c r="G58" s="12"/>
      <c r="H58" s="12"/>
      <c r="K58">
        <f t="shared" si="2"/>
        <v>0</v>
      </c>
      <c r="L58">
        <f t="shared" si="1"/>
        <v>0</v>
      </c>
    </row>
    <row r="59" spans="1:12" ht="26.25" customHeight="1" x14ac:dyDescent="0.2">
      <c r="A59" s="10" t="str">
        <f>'Sheet2-PASTE HERE!'!A69</f>
        <v>FINISHING</v>
      </c>
      <c r="B59" s="11"/>
      <c r="C59" s="17" t="str">
        <f>'Sheet2-PASTE HERE!'!I69</f>
        <v>.910</v>
      </c>
      <c r="D59" s="22" t="str">
        <f>'Sheet2-PASTE HERE!'!K69</f>
        <v>Test tank</v>
      </c>
      <c r="E59" s="13">
        <f>'Sheet2-PASTE HERE!'!F69</f>
        <v>12</v>
      </c>
      <c r="F59" s="12"/>
      <c r="G59" s="12"/>
      <c r="H59" s="12"/>
      <c r="K59">
        <f t="shared" si="2"/>
        <v>0</v>
      </c>
      <c r="L59">
        <f t="shared" si="1"/>
        <v>0</v>
      </c>
    </row>
    <row r="60" spans="1:12" ht="26.25" customHeight="1" x14ac:dyDescent="0.2">
      <c r="A60" s="10" t="str">
        <f>'Sheet2-PASTE HERE!'!A70</f>
        <v>INSPECTION</v>
      </c>
      <c r="B60" s="11"/>
      <c r="C60" s="17" t="str">
        <f>'Sheet2-PASTE HERE!'!I70</f>
        <v>.QC7</v>
      </c>
      <c r="D60" s="22" t="str">
        <f>'Sheet2-PASTE HERE!'!K70</f>
        <v>QC Inspection - Test</v>
      </c>
      <c r="E60" s="13">
        <f>'Sheet2-PASTE HERE!'!F70</f>
        <v>0</v>
      </c>
      <c r="F60" s="12"/>
      <c r="G60" s="12"/>
      <c r="H60" s="12"/>
      <c r="K60">
        <f t="shared" si="2"/>
        <v>1</v>
      </c>
      <c r="L60">
        <f t="shared" si="1"/>
        <v>0</v>
      </c>
    </row>
    <row r="61" spans="1:12" ht="26.25" customHeight="1" x14ac:dyDescent="0.2">
      <c r="A61" s="10" t="str">
        <f>'Sheet2-PASTE HERE!'!A71</f>
        <v>INSPECTION</v>
      </c>
      <c r="B61" s="11"/>
      <c r="C61" s="17" t="str">
        <f>'Sheet2-PASTE HERE!'!I71</f>
        <v>.OI3</v>
      </c>
      <c r="D61" s="22" t="str">
        <f>'Sheet2-PASTE HERE!'!K71</f>
        <v>ASME Inspection Test</v>
      </c>
      <c r="E61" s="13">
        <f>'Sheet2-PASTE HERE!'!F71</f>
        <v>0</v>
      </c>
      <c r="F61" s="12"/>
      <c r="G61" s="12"/>
      <c r="H61" s="12"/>
      <c r="K61">
        <f t="shared" si="2"/>
        <v>1</v>
      </c>
      <c r="L61">
        <f t="shared" si="1"/>
        <v>1</v>
      </c>
    </row>
    <row r="62" spans="1:12" ht="26.25" customHeight="1" x14ac:dyDescent="0.2">
      <c r="A62" s="10" t="str">
        <f>'Sheet2-PASTE HERE!'!A72</f>
        <v>MOVE TANK</v>
      </c>
      <c r="B62" s="11"/>
      <c r="C62" s="17" t="str">
        <f>'Sheet2-PASTE HERE!'!I72</f>
        <v>.802</v>
      </c>
      <c r="D62" s="22" t="str">
        <f>'Sheet2-PASTE HERE!'!K72</f>
        <v>Move to paint area</v>
      </c>
      <c r="E62" s="13">
        <f>'Sheet2-PASTE HERE!'!F72</f>
        <v>2</v>
      </c>
      <c r="F62" s="12"/>
      <c r="G62" s="12"/>
      <c r="H62" s="12"/>
      <c r="K62">
        <f t="shared" si="2"/>
        <v>0</v>
      </c>
      <c r="L62">
        <f t="shared" si="1"/>
        <v>0</v>
      </c>
    </row>
    <row r="63" spans="1:12" ht="26.25" customHeight="1" x14ac:dyDescent="0.2">
      <c r="A63" s="10" t="str">
        <f>'Sheet2-PASTE HERE!'!A73</f>
        <v>INSPECTION</v>
      </c>
      <c r="B63" s="11"/>
      <c r="C63" s="17" t="str">
        <f>'Sheet2-PASTE HERE!'!I73</f>
        <v>.QC9</v>
      </c>
      <c r="D63" s="22" t="str">
        <f>'Sheet2-PASTE HERE!'!K73</f>
        <v>QC Inspection - Sandblast</v>
      </c>
      <c r="E63" s="13">
        <f>'Sheet2-PASTE HERE!'!F73</f>
        <v>0</v>
      </c>
      <c r="F63" s="12"/>
      <c r="G63" s="12"/>
      <c r="H63" s="12"/>
      <c r="K63">
        <f t="shared" si="2"/>
        <v>1</v>
      </c>
      <c r="L63">
        <f t="shared" si="1"/>
        <v>0</v>
      </c>
    </row>
    <row r="64" spans="1:12" ht="26.25" customHeight="1" x14ac:dyDescent="0.2">
      <c r="A64" s="10" t="str">
        <f>'Sheet2-PASTE HERE!'!A74</f>
        <v>INSPECTION</v>
      </c>
      <c r="B64" s="11"/>
      <c r="C64" s="17" t="str">
        <f>'Sheet2-PASTE HERE!'!I74</f>
        <v>.QC90</v>
      </c>
      <c r="D64" s="22" t="str">
        <f>'Sheet2-PASTE HERE!'!K74</f>
        <v>QC Inspection - Paint</v>
      </c>
      <c r="E64" s="13">
        <f>'Sheet2-PASTE HERE!'!F74</f>
        <v>0</v>
      </c>
      <c r="F64" s="12"/>
      <c r="G64" s="12"/>
      <c r="H64" s="12"/>
      <c r="K64">
        <f t="shared" si="2"/>
        <v>1</v>
      </c>
      <c r="L64">
        <f t="shared" si="1"/>
        <v>0</v>
      </c>
    </row>
    <row r="65" spans="1:12" ht="26.25" customHeight="1" x14ac:dyDescent="0.2">
      <c r="A65" s="10" t="str">
        <f>'Sheet2-PASTE HERE!'!A75</f>
        <v>FINISHING</v>
      </c>
      <c r="B65" s="11"/>
      <c r="C65" s="17" t="str">
        <f>'Sheet2-PASTE HERE!'!I75</f>
        <v>.940</v>
      </c>
      <c r="D65" s="22" t="str">
        <f>'Sheet2-PASTE HERE!'!K75</f>
        <v>Prepare tank for shipment</v>
      </c>
      <c r="E65" s="13">
        <f>'Sheet2-PASTE HERE!'!F75</f>
        <v>3</v>
      </c>
      <c r="F65" s="12"/>
      <c r="G65" s="12"/>
      <c r="H65" s="12"/>
      <c r="K65">
        <f t="shared" si="2"/>
        <v>0</v>
      </c>
      <c r="L65">
        <f t="shared" si="1"/>
        <v>0</v>
      </c>
    </row>
    <row r="66" spans="1:12" ht="26.25" customHeight="1" x14ac:dyDescent="0.2">
      <c r="A66" s="10" t="str">
        <f>'Sheet2-PASTE HERE!'!A76</f>
        <v>INSPECTION</v>
      </c>
      <c r="B66" s="11"/>
      <c r="C66" s="17" t="str">
        <f>'Sheet2-PASTE HERE!'!I76</f>
        <v>.QC95</v>
      </c>
      <c r="D66" s="22" t="str">
        <f>'Sheet2-PASTE HERE!'!K76</f>
        <v>QC Inspection - Final &amp; Loose Items</v>
      </c>
      <c r="E66" s="13">
        <f>'Sheet2-PASTE HERE!'!F76</f>
        <v>0</v>
      </c>
      <c r="F66" s="12"/>
      <c r="G66" s="12"/>
      <c r="H66" s="12"/>
      <c r="K66">
        <f t="shared" si="2"/>
        <v>1</v>
      </c>
      <c r="L66">
        <f t="shared" si="1"/>
        <v>0</v>
      </c>
    </row>
    <row r="67" spans="1:12" ht="26.25" customHeight="1" x14ac:dyDescent="0.2">
      <c r="A67" s="10" t="str">
        <f>'Sheet2-PASTE HERE!'!A77</f>
        <v>SHIPPING</v>
      </c>
      <c r="B67" s="11"/>
      <c r="C67" s="17" t="str">
        <f>'Sheet2-PASTE HERE!'!I77</f>
        <v>.960</v>
      </c>
      <c r="D67" s="22" t="str">
        <f>'Sheet2-PASTE HERE!'!K77</f>
        <v>Load on truck</v>
      </c>
      <c r="E67" s="13">
        <f>'Sheet2-PASTE HERE!'!F77</f>
        <v>5</v>
      </c>
      <c r="F67" s="12"/>
      <c r="G67" s="12"/>
      <c r="H67" s="12"/>
      <c r="K67">
        <f t="shared" si="2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2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 t="str">
        <f>'Sheet2-PASTE HERE!'!F79</f>
        <v/>
      </c>
      <c r="F69" s="12"/>
      <c r="G69" s="12"/>
      <c r="H69" s="12"/>
      <c r="K69">
        <f t="shared" si="2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2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si="2"/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ref="K81:K100" si="4">IF(A81="INSPECTION",1,0)</f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4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4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4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4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4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4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4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4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4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4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4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4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4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4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4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4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4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4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4"/>
        <v>0</v>
      </c>
      <c r="L100">
        <f t="shared" si="3"/>
        <v>0</v>
      </c>
    </row>
  </sheetData>
  <autoFilter ref="C4:H100" xr:uid="{00000000-0009-0000-0000-000000000000}">
    <filterColumn colId="1">
      <filters blank="1">
        <filter val="Build bottom head/cone"/>
        <filter val="Build davit arm assembly and cover"/>
        <filter val="Build nozzles and weld"/>
        <filter val="Build Repads for Nozzles, drill and tap holes"/>
        <filter val="Build supports: legs, lugs, saddles"/>
        <filter val="Build top head/cone"/>
        <filter val="Burn and clean parts:  lugs, supports, repads, base ring, etc. (CHECK!)"/>
        <filter val="Burn and clean top and bottom plates (CHECK BEFORE BURNING)"/>
        <filter val="Clean tank complete"/>
        <filter val="Cut nozzle pipe and clean"/>
        <filter val="Dye pen test"/>
        <filter val="Fabricate internal coil"/>
        <filter val="Fabricate internal coil supports"/>
        <filter val="Fit bottom head to shell"/>
        <filter val="Fit top head to shell and weld"/>
        <filter val="Install and weld out repads - top head"/>
        <filter val="Install insulation/vacuum rings and weld"/>
        <filter val="Install internal coil and supports"/>
        <filter val="Install lift lugs on shell"/>
        <filter val="Install rim angle - weld complete"/>
        <filter val="Install supports - legs, lugs, anchors, saddles, skirt"/>
        <filter val="Lay out bottom head, burn and clean holes"/>
        <filter val="Lay out shell, burn and clean holes"/>
        <filter val="Lay out top head, burn and clean holes"/>
        <filter val="Load on truck"/>
        <filter val="Make lift lugs, ground lugs, etc."/>
        <filter val="Make manway parts: cut clips, form handles, etc."/>
        <filter val="Move tank to detail rolls"/>
        <filter val="Move to shop test area"/>
        <filter val="QC Inspection - Clean"/>
        <filter val="QC Inspection - Fabrication"/>
        <filter val="QC Inspection - Final &amp; Loose Items"/>
        <filter val="QC Inspection - Internal"/>
        <filter val="QC Inspection - Test"/>
        <filter val="QC Inspection - Top/Bottom/Cones"/>
        <filter val="Receive Material"/>
        <filter val="Roll insulation rings"/>
        <filter val="Roll manway neck"/>
        <filter val="Roll rim angle"/>
        <filter val="Roll shells, tack and weld inside seams"/>
        <filter val="Set  nozzles in bottom head - weld complete"/>
        <filter val="Set  nozzles in top head - weld complete"/>
        <filter val="Set nozzles in shell and weld"/>
        <filter val="Set up and weld manway flange and neck seam"/>
        <filter val="Shells: bring in plate, square, trim and clean"/>
        <filter val="Tack shell courses together"/>
        <filter val="Task"/>
        <filter val="Test tank"/>
        <filter val="Weld all outside seams"/>
        <filter val="Weld inside round seams"/>
      </filters>
    </filterColumn>
    <filterColumn colId="3" showButton="0"/>
  </autoFilter>
  <mergeCells count="1">
    <mergeCell ref="F4:G4"/>
  </mergeCells>
  <conditionalFormatting sqref="A7:H100">
    <cfRule type="expression" dxfId="7" priority="11" stopIfTrue="1">
      <formula>$K7=1</formula>
    </cfRule>
  </conditionalFormatting>
  <conditionalFormatting sqref="B31:H100">
    <cfRule type="expression" dxfId="6" priority="12" stopIfTrue="1">
      <formula>$K31=1</formula>
    </cfRule>
  </conditionalFormatting>
  <conditionalFormatting sqref="D7:D100">
    <cfRule type="expression" dxfId="5" priority="1" stopIfTrue="1">
      <formula>$L7=1</formula>
    </cfRule>
  </conditionalFormatting>
  <conditionalFormatting sqref="D8:D100">
    <cfRule type="expression" dxfId="4" priority="3" stopIfTrue="1">
      <formula>$L8=1</formula>
    </cfRule>
  </conditionalFormatting>
  <pageMargins left="0.36" right="0" top="0.42" bottom="0.4" header="0" footer="0"/>
  <pageSetup orientation="landscape" r:id="rId1"/>
  <headerFooter alignWithMargins="0">
    <oddHeader>&amp;C&amp;"Arial,Bold"&amp;12Savannah Tank and Equipment Corp&amp;R&amp;"Arial,Bold"&amp;12Detailed Build Plan</oddHeader>
    <oddFooter>&amp;L&amp;D&amp;C&amp;P&amp;R&amp;"Arial,Bold"&amp;14&amp;KFF0000For Reference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"/>
  <sheetViews>
    <sheetView workbookViewId="0">
      <selection activeCell="B1" sqref="B1"/>
    </sheetView>
  </sheetViews>
  <sheetFormatPr defaultColWidth="6.85546875" defaultRowHeight="12.75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hidden="1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241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BUFFER TANK #14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.100</v>
      </c>
      <c r="D7" s="22" t="str">
        <f>'Sheet2-PASTE HERE!'!K17</f>
        <v>Cut nozzle pipe and clean_x000D_
INCL FOR INLET MANIFOLD</v>
      </c>
      <c r="E7" s="13">
        <f>'Sheet2-PASTE HERE!'!F17</f>
        <v>12</v>
      </c>
      <c r="F7" s="12"/>
      <c r="G7" s="12"/>
      <c r="H7" s="12"/>
      <c r="K7">
        <f t="shared" ref="K7:K70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PRE FAB</v>
      </c>
      <c r="B8" s="11"/>
      <c r="C8" s="17" t="str">
        <f>'Sheet2-PASTE HERE!'!I18</f>
        <v>.105</v>
      </c>
      <c r="D8" s="22" t="str">
        <f>'Sheet2-PASTE HERE!'!K18</f>
        <v>Build nozzles and weld</v>
      </c>
      <c r="E8" s="13">
        <f>'Sheet2-PASTE HERE!'!F18</f>
        <v>6</v>
      </c>
      <c r="F8" s="12"/>
      <c r="G8" s="12"/>
      <c r="H8" s="12"/>
      <c r="K8">
        <f t="shared" si="0"/>
        <v>0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.107</v>
      </c>
      <c r="D9" s="22" t="str">
        <f>'Sheet2-PASTE HERE!'!K19</f>
        <v>Build Repads for Nozzles, drill and tap holes</v>
      </c>
      <c r="E9" s="13">
        <f>'Sheet2-PASTE HERE!'!F19</f>
        <v>3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.110</v>
      </c>
      <c r="D10" s="22" t="str">
        <f>'Sheet2-PASTE HERE!'!K20</f>
        <v>Build dip tubes and weld_x000D_
BUILD INLET MANIFOLD</v>
      </c>
      <c r="E10" s="13">
        <f>'Sheet2-PASTE HERE!'!F20</f>
        <v>30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.155</v>
      </c>
      <c r="D11" s="22" t="str">
        <f>'Sheet2-PASTE HERE!'!K21</f>
        <v>Burn and clean parts:  lugs, supports, repads, base ring, etc. (CHECK!)</v>
      </c>
      <c r="E11" s="13">
        <f>'Sheet2-PASTE HERE!'!F21</f>
        <v>40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.156</v>
      </c>
      <c r="D12" s="22">
        <f>'Sheet2-PASTE HERE!'!K22</f>
        <v>0</v>
      </c>
      <c r="E12" s="13">
        <f>'Sheet2-PASTE HERE!'!F22</f>
        <v>20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.175</v>
      </c>
      <c r="D13" s="22" t="str">
        <f>'Sheet2-PASTE HERE!'!K23</f>
        <v>Build and weld base ring - skirt</v>
      </c>
      <c r="E13" s="13">
        <f>'Sheet2-PASTE HERE!'!F23</f>
        <v>8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.200</v>
      </c>
      <c r="D14" s="22" t="str">
        <f>'Sheet2-PASTE HERE!'!K24</f>
        <v>Make lift lugs, ground lugs, etc.</v>
      </c>
      <c r="E14" s="13">
        <f>'Sheet2-PASTE HERE!'!F24</f>
        <v>2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.255</v>
      </c>
      <c r="D15" s="22" t="str">
        <f>'Sheet2-PASTE HERE!'!K25</f>
        <v>Drill/punch holes_x000D_
BURN HOLES IN MANIFOLD PIPE &amp; REDUCERS</v>
      </c>
      <c r="E15" s="13">
        <f>'Sheet2-PASTE HERE!'!F25</f>
        <v>10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.261</v>
      </c>
      <c r="D16" s="22" t="str">
        <f>'Sheet2-PASTE HERE!'!K26</f>
        <v>Miscellaneous Fabrication - Braces, Mounting Plates, Cone Outlet Necks_x000D_
MAKE INLET MANIFOLD PIPE SUPPORTS</v>
      </c>
      <c r="E16" s="13">
        <f>'Sheet2-PASTE HERE!'!F26</f>
        <v>2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.300</v>
      </c>
      <c r="D17" s="22" t="str">
        <f>'Sheet2-PASTE HERE!'!K27</f>
        <v>Wrap top and bottom heads</v>
      </c>
      <c r="E17" s="13">
        <f>'Sheet2-PASTE HERE!'!F27</f>
        <v>2</v>
      </c>
      <c r="F17" s="12"/>
      <c r="G17" s="12"/>
      <c r="H17" s="12"/>
      <c r="K17">
        <f t="shared" si="0"/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INSPECTION</v>
      </c>
      <c r="B18" s="11"/>
      <c r="C18" s="17" t="str">
        <f>'Sheet2-PASTE HERE!'!I28</f>
        <v>.QC3</v>
      </c>
      <c r="D18" s="22" t="str">
        <f>'Sheet2-PASTE HERE!'!K28</f>
        <v>UT Shells</v>
      </c>
      <c r="E18" s="13">
        <f>'Sheet2-PASTE HERE!'!F28</f>
        <v>0</v>
      </c>
      <c r="F18" s="12"/>
      <c r="G18" s="12"/>
      <c r="H18" s="12"/>
      <c r="K18">
        <f t="shared" si="0"/>
        <v>1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.305</v>
      </c>
      <c r="D19" s="22" t="str">
        <f>'Sheet2-PASTE HERE!'!K29</f>
        <v>Shells: bring in plate, square, trim and clean</v>
      </c>
      <c r="E19" s="13">
        <f>'Sheet2-PASTE HERE!'!F29</f>
        <v>9</v>
      </c>
      <c r="F19" s="12"/>
      <c r="G19" s="12"/>
      <c r="H19" s="12"/>
      <c r="K19">
        <f t="shared" si="0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.310</v>
      </c>
      <c r="D20" s="22" t="str">
        <f>'Sheet2-PASTE HERE!'!K30</f>
        <v>Bevel shell plates</v>
      </c>
      <c r="E20" s="13">
        <f>'Sheet2-PASTE HERE!'!F30</f>
        <v>12</v>
      </c>
      <c r="F20" s="12"/>
      <c r="G20" s="12"/>
      <c r="H20" s="12"/>
      <c r="K20">
        <f t="shared" si="0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PRE FAB</v>
      </c>
      <c r="B21" s="11"/>
      <c r="C21" s="17" t="str">
        <f>'Sheet2-PASTE HERE!'!I31</f>
        <v>.315</v>
      </c>
      <c r="D21" s="22" t="str">
        <f>'Sheet2-PASTE HERE!'!K31</f>
        <v>Roll shells, tack and weld inside seams_x000D_
INCL WELD LONG SEAM W/COBOT</v>
      </c>
      <c r="E21" s="13">
        <f>'Sheet2-PASTE HERE!'!F31</f>
        <v>18</v>
      </c>
      <c r="F21" s="12"/>
      <c r="G21" s="12"/>
      <c r="H21" s="12"/>
      <c r="K21">
        <f t="shared" si="0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INSPECTION</v>
      </c>
      <c r="B22" s="11"/>
      <c r="C22" s="17" t="str">
        <f>'Sheet2-PASTE HERE!'!I32</f>
        <v>.QC4</v>
      </c>
      <c r="D22" s="22" t="str">
        <f>'Sheet2-PASTE HERE!'!K32</f>
        <v>QC Inspection - Top/Bottom/Cones</v>
      </c>
      <c r="E22" s="13">
        <f>'Sheet2-PASTE HERE!'!F32</f>
        <v>0</v>
      </c>
      <c r="F22" s="12"/>
      <c r="G22" s="12"/>
      <c r="H22" s="12"/>
      <c r="K22">
        <f t="shared" si="0"/>
        <v>1</v>
      </c>
      <c r="L22">
        <f t="shared" si="1"/>
        <v>0</v>
      </c>
    </row>
    <row r="23" spans="1:12" ht="26.25" customHeight="1" x14ac:dyDescent="0.2">
      <c r="A23" s="10" t="str">
        <f>'Sheet2-PASTE HERE!'!A33</f>
        <v>PRE FAB</v>
      </c>
      <c r="B23" s="11"/>
      <c r="C23" s="17" t="str">
        <f>'Sheet2-PASTE HERE!'!I33</f>
        <v>.355</v>
      </c>
      <c r="D23" s="22" t="str">
        <f>'Sheet2-PASTE HERE!'!K33</f>
        <v>Lay out top head, burn and clean holes</v>
      </c>
      <c r="E23" s="13">
        <f>'Sheet2-PASTE HERE!'!F33</f>
        <v>1</v>
      </c>
      <c r="F23" s="12"/>
      <c r="G23" s="12"/>
      <c r="H23" s="12"/>
      <c r="K23">
        <f t="shared" si="0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.360</v>
      </c>
      <c r="D24" s="22" t="str">
        <f>'Sheet2-PASTE HERE!'!K34</f>
        <v>Bevel top head_x000D_
CLEAN UP NOZZLE HOLE &amp; PREP FOR FULL PEN WELD</v>
      </c>
      <c r="E24" s="13">
        <f>'Sheet2-PASTE HERE!'!F34</f>
        <v>1</v>
      </c>
      <c r="F24" s="12"/>
      <c r="G24" s="12"/>
      <c r="H24" s="12"/>
      <c r="K24">
        <f t="shared" si="0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PRE FAB</v>
      </c>
      <c r="B25" s="11"/>
      <c r="C25" s="17" t="str">
        <f>'Sheet2-PASTE HERE!'!I35</f>
        <v>.365</v>
      </c>
      <c r="D25" s="22" t="str">
        <f>'Sheet2-PASTE HERE!'!K35</f>
        <v>Set  nozzles, lift lugs, etc. in top head - tack</v>
      </c>
      <c r="E25" s="13">
        <f>'Sheet2-PASTE HERE!'!F35</f>
        <v>1</v>
      </c>
      <c r="F25" s="12"/>
      <c r="G25" s="12"/>
      <c r="H25" s="12"/>
      <c r="K25">
        <f t="shared" si="0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PRE FAB</v>
      </c>
      <c r="B26" s="11"/>
      <c r="C26" s="17" t="str">
        <f>'Sheet2-PASTE HERE!'!I36</f>
        <v>.366</v>
      </c>
      <c r="D26" s="22" t="str">
        <f>'Sheet2-PASTE HERE!'!K36</f>
        <v>Weld out top head nozzles, etc._x000D_
INCL (2) LIFT LUGS W/REPADS</v>
      </c>
      <c r="E26" s="13">
        <f>'Sheet2-PASTE HERE!'!F36</f>
        <v>6</v>
      </c>
      <c r="F26" s="12"/>
      <c r="G26" s="12"/>
      <c r="H26" s="12"/>
      <c r="K26">
        <f t="shared" si="0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INSPECTION</v>
      </c>
      <c r="B27" s="11"/>
      <c r="C27" s="17" t="str">
        <f>'Sheet2-PASTE HERE!'!I37</f>
        <v>.QC4</v>
      </c>
      <c r="D27" s="22" t="str">
        <f>'Sheet2-PASTE HERE!'!K37</f>
        <v>QC Inspection - Top/Bottom/Cones</v>
      </c>
      <c r="E27" s="13">
        <f>'Sheet2-PASTE HERE!'!F37</f>
        <v>0</v>
      </c>
      <c r="F27" s="12"/>
      <c r="G27" s="12"/>
      <c r="H27" s="12"/>
      <c r="K27">
        <f t="shared" si="0"/>
        <v>1</v>
      </c>
      <c r="L27">
        <f t="shared" si="1"/>
        <v>0</v>
      </c>
    </row>
    <row r="28" spans="1:12" ht="26.25" customHeight="1" x14ac:dyDescent="0.2">
      <c r="A28" s="10" t="str">
        <f>'Sheet2-PASTE HERE!'!A38</f>
        <v>PRE FAB</v>
      </c>
      <c r="B28" s="11"/>
      <c r="C28" s="17" t="str">
        <f>'Sheet2-PASTE HERE!'!I38</f>
        <v>.455</v>
      </c>
      <c r="D28" s="22" t="str">
        <f>'Sheet2-PASTE HERE!'!K38</f>
        <v>Lay out bottom head, burn and clean holes</v>
      </c>
      <c r="E28" s="13">
        <f>'Sheet2-PASTE HERE!'!F38</f>
        <v>1</v>
      </c>
      <c r="F28" s="12"/>
      <c r="G28" s="12"/>
      <c r="H28" s="12"/>
      <c r="K28">
        <f t="shared" si="0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PRE FAB</v>
      </c>
      <c r="B29" s="11"/>
      <c r="C29" s="17" t="str">
        <f>'Sheet2-PASTE HERE!'!I39</f>
        <v>.460</v>
      </c>
      <c r="D29" s="22" t="str">
        <f>'Sheet2-PASTE HERE!'!K39</f>
        <v>Bevel bottom head_x000D_
CLEAN UP NOZZLE HOLE &amp; PREP FOR FULL PEN WELD</v>
      </c>
      <c r="E29" s="13">
        <f>'Sheet2-PASTE HERE!'!F39</f>
        <v>1</v>
      </c>
      <c r="F29" s="12"/>
      <c r="G29" s="12"/>
      <c r="H29" s="12"/>
      <c r="K29">
        <f t="shared" si="0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PRE FAB</v>
      </c>
      <c r="B30" s="11"/>
      <c r="C30" s="17" t="str">
        <f>'Sheet2-PASTE HERE!'!I40</f>
        <v>.465</v>
      </c>
      <c r="D30" s="22" t="str">
        <f>'Sheet2-PASTE HERE!'!K40</f>
        <v>Set  nozzles in bottom head - tack</v>
      </c>
      <c r="E30" s="13">
        <f>'Sheet2-PASTE HERE!'!F40</f>
        <v>1</v>
      </c>
      <c r="F30" s="12"/>
      <c r="G30" s="12"/>
      <c r="H30" s="12"/>
      <c r="K30">
        <f t="shared" si="0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PRE FAB</v>
      </c>
      <c r="B31" s="11"/>
      <c r="C31" s="17" t="str">
        <f>'Sheet2-PASTE HERE!'!I41</f>
        <v>.466</v>
      </c>
      <c r="D31" s="22" t="str">
        <f>'Sheet2-PASTE HERE!'!K41</f>
        <v>Weld nozzles in bottom head; weld complete</v>
      </c>
      <c r="E31" s="13">
        <f>'Sheet2-PASTE HERE!'!F41</f>
        <v>2</v>
      </c>
      <c r="F31" s="12"/>
      <c r="G31" s="12"/>
      <c r="H31" s="12"/>
      <c r="K31">
        <f t="shared" si="0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PRE FAB</v>
      </c>
      <c r="B32" s="11"/>
      <c r="C32" s="17" t="str">
        <f>'Sheet2-PASTE HERE!'!I42</f>
        <v>.500</v>
      </c>
      <c r="D32" s="22" t="str">
        <f>'Sheet2-PASTE HERE!'!K42</f>
        <v>Build skirt - fit and weld shells_x000D_
ROLL (1) SHELL; INCL WELD LONG SEAM W/COBOT</v>
      </c>
      <c r="E32" s="13">
        <f>'Sheet2-PASTE HERE!'!F42</f>
        <v>5</v>
      </c>
      <c r="F32" s="12"/>
      <c r="G32" s="12"/>
      <c r="H32" s="12"/>
      <c r="K32">
        <f t="shared" si="0"/>
        <v>0</v>
      </c>
      <c r="L32">
        <f t="shared" si="1"/>
        <v>0</v>
      </c>
    </row>
    <row r="33" spans="1:12" ht="26.25" customHeight="1" x14ac:dyDescent="0.2">
      <c r="A33" s="10" t="str">
        <f>'Sheet2-PASTE HERE!'!A43</f>
        <v>PRE FAB</v>
      </c>
      <c r="B33" s="11"/>
      <c r="C33" s="17" t="str">
        <f>'Sheet2-PASTE HERE!'!I43</f>
        <v>.510</v>
      </c>
      <c r="D33" s="22" t="str">
        <f>'Sheet2-PASTE HERE!'!K43</f>
        <v>Build skirt; fit base ring to shell and weld_x000D_
FIT &amp; TACK BASE RING TO SHELL</v>
      </c>
      <c r="E33" s="13">
        <f>'Sheet2-PASTE HERE!'!F43</f>
        <v>5</v>
      </c>
      <c r="F33" s="12"/>
      <c r="G33" s="12"/>
      <c r="H33" s="12"/>
      <c r="K33">
        <f t="shared" si="0"/>
        <v>0</v>
      </c>
      <c r="L33">
        <f t="shared" si="1"/>
        <v>0</v>
      </c>
    </row>
    <row r="34" spans="1:12" ht="26.25" customHeight="1" x14ac:dyDescent="0.2">
      <c r="A34" s="10" t="str">
        <f>'Sheet2-PASTE HERE!'!A44</f>
        <v>FIT</v>
      </c>
      <c r="B34" s="11"/>
      <c r="C34" s="17" t="str">
        <f>'Sheet2-PASTE HERE!'!I44</f>
        <v>.515</v>
      </c>
      <c r="D34" s="22" t="str">
        <f>'Sheet2-PASTE HERE!'!K44</f>
        <v>Weld skirt shell seams and base ring_x000D_
WELD BASE RING TO SKIRT SHELL INSIDE &amp; OUTSIDE</v>
      </c>
      <c r="E34" s="13">
        <f>'Sheet2-PASTE HERE!'!F44</f>
        <v>8</v>
      </c>
      <c r="F34" s="12"/>
      <c r="G34" s="12"/>
      <c r="H34" s="12"/>
      <c r="K34">
        <f t="shared" si="0"/>
        <v>0</v>
      </c>
      <c r="L34">
        <f t="shared" si="1"/>
        <v>0</v>
      </c>
    </row>
    <row r="35" spans="1:12" ht="26.25" customHeight="1" x14ac:dyDescent="0.2">
      <c r="A35" s="10" t="str">
        <f>'Sheet2-PASTE HERE!'!A45</f>
        <v>FIT</v>
      </c>
      <c r="B35" s="11"/>
      <c r="C35" s="17" t="str">
        <f>'Sheet2-PASTE HERE!'!I45</f>
        <v>.530</v>
      </c>
      <c r="D35" s="22" t="str">
        <f>'Sheet2-PASTE HERE!'!K45</f>
        <v>Build skirt - fit anchors / gussets_x000D_
FIT (8) GUSSETS; TACK ONLY</v>
      </c>
      <c r="E35" s="13">
        <f>'Sheet2-PASTE HERE!'!F45</f>
        <v>3</v>
      </c>
      <c r="F35" s="12"/>
      <c r="G35" s="12"/>
      <c r="H35" s="12"/>
      <c r="K35">
        <f t="shared" si="0"/>
        <v>0</v>
      </c>
      <c r="L35">
        <f t="shared" si="1"/>
        <v>0</v>
      </c>
    </row>
    <row r="36" spans="1:12" ht="26.25" customHeight="1" x14ac:dyDescent="0.2">
      <c r="A36" s="10" t="str">
        <f>'Sheet2-PASTE HERE!'!A46</f>
        <v>FIT</v>
      </c>
      <c r="B36" s="11"/>
      <c r="C36" s="17" t="str">
        <f>'Sheet2-PASTE HERE!'!I46</f>
        <v>.545</v>
      </c>
      <c r="D36" s="22" t="str">
        <f>'Sheet2-PASTE HERE!'!K46</f>
        <v>Weld skirt anchors, gussets, nozzles, manways, etc._x000D_
WELD (8) GUSSETS</v>
      </c>
      <c r="E36" s="13">
        <f>'Sheet2-PASTE HERE!'!F46</f>
        <v>6</v>
      </c>
      <c r="F36" s="12"/>
      <c r="G36" s="12"/>
      <c r="H36" s="12"/>
      <c r="K36">
        <f t="shared" si="0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INSPECTION</v>
      </c>
      <c r="B37" s="11"/>
      <c r="C37" s="17" t="str">
        <f>'Sheet2-PASTE HERE!'!I47</f>
        <v>.OI1</v>
      </c>
      <c r="D37" s="22" t="str">
        <f>'Sheet2-PASTE HERE!'!K47</f>
        <v>ASME Hold Point</v>
      </c>
      <c r="E37" s="13">
        <f>'Sheet2-PASTE HERE!'!F47</f>
        <v>0</v>
      </c>
      <c r="F37" s="12"/>
      <c r="G37" s="12"/>
      <c r="H37" s="12"/>
      <c r="K37">
        <f t="shared" si="0"/>
        <v>1</v>
      </c>
      <c r="L37">
        <f t="shared" si="1"/>
        <v>1</v>
      </c>
    </row>
    <row r="38" spans="1:12" ht="26.25" customHeight="1" x14ac:dyDescent="0.2">
      <c r="A38" s="10" t="str">
        <f>'Sheet2-PASTE HERE!'!A48</f>
        <v>FIT</v>
      </c>
      <c r="B38" s="11"/>
      <c r="C38" s="17" t="str">
        <f>'Sheet2-PASTE HERE!'!I48</f>
        <v>.600</v>
      </c>
      <c r="D38" s="22" t="str">
        <f>'Sheet2-PASTE HERE!'!K48</f>
        <v>Fit bottom head to shell</v>
      </c>
      <c r="E38" s="13">
        <f>'Sheet2-PASTE HERE!'!F48</f>
        <v>4</v>
      </c>
      <c r="F38" s="12"/>
      <c r="G38" s="12"/>
      <c r="H38" s="12"/>
      <c r="K38">
        <f t="shared" si="0"/>
        <v>0</v>
      </c>
      <c r="L38">
        <f t="shared" si="1"/>
        <v>0</v>
      </c>
    </row>
    <row r="39" spans="1:12" ht="26.25" customHeight="1" x14ac:dyDescent="0.2">
      <c r="A39" s="10" t="str">
        <f>'Sheet2-PASTE HERE!'!A49</f>
        <v>FIT</v>
      </c>
      <c r="B39" s="11"/>
      <c r="C39" s="17" t="str">
        <f>'Sheet2-PASTE HERE!'!I49</f>
        <v>.605</v>
      </c>
      <c r="D39" s="22" t="str">
        <f>'Sheet2-PASTE HERE!'!K49</f>
        <v>Tack shell courses together</v>
      </c>
      <c r="E39" s="13">
        <f>'Sheet2-PASTE HERE!'!F49</f>
        <v>8</v>
      </c>
      <c r="F39" s="12"/>
      <c r="G39" s="12"/>
      <c r="H39" s="12"/>
      <c r="K39">
        <f t="shared" si="0"/>
        <v>0</v>
      </c>
      <c r="L39">
        <f t="shared" si="1"/>
        <v>0</v>
      </c>
    </row>
    <row r="40" spans="1:12" ht="26.25" customHeight="1" x14ac:dyDescent="0.2">
      <c r="A40" s="10" t="str">
        <f>'Sheet2-PASTE HERE!'!A50</f>
        <v>FIT</v>
      </c>
      <c r="B40" s="11"/>
      <c r="C40" s="17" t="str">
        <f>'Sheet2-PASTE HERE!'!I50</f>
        <v>.610</v>
      </c>
      <c r="D40" s="22" t="str">
        <f>'Sheet2-PASTE HERE!'!K50</f>
        <v>Weld inside round seams</v>
      </c>
      <c r="E40" s="13">
        <f>'Sheet2-PASTE HERE!'!F50</f>
        <v>18</v>
      </c>
      <c r="F40" s="12"/>
      <c r="G40" s="12"/>
      <c r="H40" s="12"/>
      <c r="K40">
        <f t="shared" si="0"/>
        <v>0</v>
      </c>
      <c r="L40">
        <f t="shared" si="1"/>
        <v>0</v>
      </c>
    </row>
    <row r="41" spans="1:12" ht="26.25" customHeight="1" x14ac:dyDescent="0.2">
      <c r="A41" s="10" t="str">
        <f>'Sheet2-PASTE HERE!'!A51</f>
        <v>FIT</v>
      </c>
      <c r="B41" s="11"/>
      <c r="C41" s="17" t="str">
        <f>'Sheet2-PASTE HERE!'!I51</f>
        <v>.620</v>
      </c>
      <c r="D41" s="22" t="str">
        <f>'Sheet2-PASTE HERE!'!K51</f>
        <v>Lay out shell, burn and clean holes_x000D_
PREP NOZZLE HOLES FOR FULL PEN WELDS</v>
      </c>
      <c r="E41" s="13">
        <f>'Sheet2-PASTE HERE!'!F51</f>
        <v>6</v>
      </c>
      <c r="F41" s="12"/>
      <c r="G41" s="12"/>
      <c r="H41" s="12"/>
      <c r="K41">
        <f t="shared" si="0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FIT</v>
      </c>
      <c r="B42" s="11"/>
      <c r="C42" s="17" t="str">
        <f>'Sheet2-PASTE HERE!'!I52</f>
        <v>.630</v>
      </c>
      <c r="D42" s="22" t="str">
        <f>'Sheet2-PASTE HERE!'!K52</f>
        <v>Install internals - wear plates, rings, clips, etc._x000D_
INSTALL INLET MANIFOLD &amp; SUPPORTS</v>
      </c>
      <c r="E42" s="13">
        <f>'Sheet2-PASTE HERE!'!F52</f>
        <v>36</v>
      </c>
      <c r="F42" s="12"/>
      <c r="G42" s="12"/>
      <c r="H42" s="12"/>
      <c r="K42">
        <f t="shared" si="0"/>
        <v>0</v>
      </c>
      <c r="L42">
        <f t="shared" si="1"/>
        <v>0</v>
      </c>
    </row>
    <row r="43" spans="1:12" ht="26.25" customHeight="1" x14ac:dyDescent="0.2">
      <c r="A43" s="10" t="str">
        <f>'Sheet2-PASTE HERE!'!A53</f>
        <v>INSPECTION</v>
      </c>
      <c r="B43" s="11"/>
      <c r="C43" s="17" t="str">
        <f>'Sheet2-PASTE HERE!'!I53</f>
        <v>.QC5</v>
      </c>
      <c r="D43" s="22" t="str">
        <f>'Sheet2-PASTE HERE!'!K53</f>
        <v>QC Inspection - Internal</v>
      </c>
      <c r="E43" s="13">
        <f>'Sheet2-PASTE HERE!'!F53</f>
        <v>0</v>
      </c>
      <c r="F43" s="12"/>
      <c r="G43" s="12"/>
      <c r="H43" s="12"/>
      <c r="K43">
        <f t="shared" si="0"/>
        <v>1</v>
      </c>
      <c r="L43">
        <f t="shared" si="1"/>
        <v>0</v>
      </c>
    </row>
    <row r="44" spans="1:12" ht="26.25" customHeight="1" x14ac:dyDescent="0.2">
      <c r="A44" s="10" t="str">
        <f>'Sheet2-PASTE HERE!'!A54</f>
        <v>FIT</v>
      </c>
      <c r="B44" s="11"/>
      <c r="C44" s="17" t="str">
        <f>'Sheet2-PASTE HERE!'!I54</f>
        <v>.640</v>
      </c>
      <c r="D44" s="22" t="str">
        <f>'Sheet2-PASTE HERE!'!K54</f>
        <v>Fit top head to shell - tack</v>
      </c>
      <c r="E44" s="13">
        <f>'Sheet2-PASTE HERE!'!F54</f>
        <v>5</v>
      </c>
      <c r="F44" s="12"/>
      <c r="G44" s="12"/>
      <c r="H44" s="12"/>
      <c r="K44">
        <f t="shared" si="0"/>
        <v>0</v>
      </c>
      <c r="L44">
        <f t="shared" si="1"/>
        <v>0</v>
      </c>
    </row>
    <row r="45" spans="1:12" ht="26.25" customHeight="1" x14ac:dyDescent="0.2">
      <c r="A45" s="10" t="str">
        <f>'Sheet2-PASTE HERE!'!A55</f>
        <v>FIT</v>
      </c>
      <c r="B45" s="11"/>
      <c r="C45" s="17" t="str">
        <f>'Sheet2-PASTE HERE!'!I55</f>
        <v>.641</v>
      </c>
      <c r="D45" s="22" t="str">
        <f>'Sheet2-PASTE HERE!'!K55</f>
        <v>Weld top head to shell - inside_x000D_
INCL HOLE WATCH</v>
      </c>
      <c r="E45" s="13">
        <f>'Sheet2-PASTE HERE!'!F55</f>
        <v>12</v>
      </c>
      <c r="F45" s="12"/>
      <c r="G45" s="12"/>
      <c r="H45" s="12"/>
      <c r="K45">
        <f t="shared" si="0"/>
        <v>0</v>
      </c>
      <c r="L45">
        <f t="shared" si="1"/>
        <v>0</v>
      </c>
    </row>
    <row r="46" spans="1:12" ht="26.25" customHeight="1" x14ac:dyDescent="0.2">
      <c r="A46" s="10" t="str">
        <f>'Sheet2-PASTE HERE!'!A56</f>
        <v>FIT</v>
      </c>
      <c r="B46" s="11"/>
      <c r="C46" s="17" t="str">
        <f>'Sheet2-PASTE HERE!'!I56</f>
        <v>.645</v>
      </c>
      <c r="D46" s="22" t="str">
        <f>'Sheet2-PASTE HERE!'!K56</f>
        <v>Weld all outside seams</v>
      </c>
      <c r="E46" s="13">
        <f>'Sheet2-PASTE HERE!'!F56</f>
        <v>20</v>
      </c>
      <c r="F46" s="12"/>
      <c r="G46" s="12"/>
      <c r="H46" s="12"/>
      <c r="K46">
        <f t="shared" si="0"/>
        <v>0</v>
      </c>
      <c r="L46">
        <f t="shared" si="1"/>
        <v>0</v>
      </c>
    </row>
    <row r="47" spans="1:12" ht="26.25" customHeight="1" x14ac:dyDescent="0.2">
      <c r="A47" s="10" t="str">
        <f>'Sheet2-PASTE HERE!'!A57</f>
        <v>MOVE TANK</v>
      </c>
      <c r="B47" s="11"/>
      <c r="C47" s="17" t="str">
        <f>'Sheet2-PASTE HERE!'!I57</f>
        <v>.800</v>
      </c>
      <c r="D47" s="22" t="str">
        <f>'Sheet2-PASTE HERE!'!K57</f>
        <v>Move tank to detail rolls</v>
      </c>
      <c r="E47" s="13">
        <f>'Sheet2-PASTE HERE!'!F57</f>
        <v>3</v>
      </c>
      <c r="F47" s="12"/>
      <c r="G47" s="12"/>
      <c r="H47" s="12"/>
      <c r="K47">
        <f t="shared" si="0"/>
        <v>0</v>
      </c>
      <c r="L47">
        <f t="shared" si="1"/>
        <v>0</v>
      </c>
    </row>
    <row r="48" spans="1:12" ht="26.25" customHeight="1" x14ac:dyDescent="0.2">
      <c r="A48" s="10" t="str">
        <f>'Sheet2-PASTE HERE!'!A58</f>
        <v>FIT</v>
      </c>
      <c r="B48" s="11"/>
      <c r="C48" s="17" t="str">
        <f>'Sheet2-PASTE HERE!'!I58</f>
        <v>.715</v>
      </c>
      <c r="D48" s="22" t="str">
        <f>'Sheet2-PASTE HERE!'!K58</f>
        <v>Install insulation/vacuum rings - tack_x000D_
INCL WELD COMPLETE</v>
      </c>
      <c r="E48" s="13">
        <f>'Sheet2-PASTE HERE!'!F58</f>
        <v>48</v>
      </c>
      <c r="F48" s="12"/>
      <c r="G48" s="12"/>
      <c r="H48" s="12"/>
      <c r="K48">
        <f t="shared" si="0"/>
        <v>0</v>
      </c>
      <c r="L48">
        <f t="shared" si="1"/>
        <v>0</v>
      </c>
    </row>
    <row r="49" spans="1:12" ht="26.25" customHeight="1" x14ac:dyDescent="0.2">
      <c r="A49" s="10" t="str">
        <f>'Sheet2-PASTE HERE!'!A59</f>
        <v>FIT</v>
      </c>
      <c r="B49" s="11"/>
      <c r="C49" s="17" t="str">
        <f>'Sheet2-PASTE HERE!'!I59</f>
        <v>.720</v>
      </c>
      <c r="D49" s="22" t="str">
        <f>'Sheet2-PASTE HERE!'!K59</f>
        <v>Install supports - legs, lugs, anchors, saddles, skirt_x000D_
FIT SKIRT TO BOTTOM HEAD AND WELD</v>
      </c>
      <c r="E49" s="13">
        <f>'Sheet2-PASTE HERE!'!F59</f>
        <v>32</v>
      </c>
      <c r="F49" s="12"/>
      <c r="G49" s="12"/>
      <c r="H49" s="12"/>
      <c r="K49">
        <f t="shared" si="0"/>
        <v>0</v>
      </c>
      <c r="L49">
        <f t="shared" si="1"/>
        <v>0</v>
      </c>
    </row>
    <row r="50" spans="1:12" ht="26.25" customHeight="1" x14ac:dyDescent="0.2">
      <c r="A50" s="10" t="str">
        <f>'Sheet2-PASTE HERE!'!A60</f>
        <v>FIT</v>
      </c>
      <c r="B50" s="11"/>
      <c r="C50" s="17" t="str">
        <f>'Sheet2-PASTE HERE!'!I60</f>
        <v>.725</v>
      </c>
      <c r="D50" s="22" t="str">
        <f>'Sheet2-PASTE HERE!'!K60</f>
        <v>Set nozzles in shell - tack</v>
      </c>
      <c r="E50" s="13">
        <f>'Sheet2-PASTE HERE!'!F60</f>
        <v>8</v>
      </c>
      <c r="F50" s="12"/>
      <c r="G50" s="12"/>
      <c r="H50" s="12"/>
      <c r="K50">
        <f t="shared" si="0"/>
        <v>0</v>
      </c>
      <c r="L50">
        <f t="shared" si="1"/>
        <v>0</v>
      </c>
    </row>
    <row r="51" spans="1:12" ht="26.25" customHeight="1" x14ac:dyDescent="0.2">
      <c r="A51" s="10" t="str">
        <f>'Sheet2-PASTE HERE!'!A61</f>
        <v>FIT</v>
      </c>
      <c r="B51" s="11"/>
      <c r="C51" s="17" t="str">
        <f>'Sheet2-PASTE HERE!'!I61</f>
        <v>.726</v>
      </c>
      <c r="D51" s="22" t="str">
        <f>'Sheet2-PASTE HERE!'!K61</f>
        <v>Weld shell nozzles, manways, etc._x000D_
INCL HOLE WATCH &amp; NOZZLE A</v>
      </c>
      <c r="E51" s="13">
        <f>'Sheet2-PASTE HERE!'!F61</f>
        <v>30</v>
      </c>
      <c r="F51" s="12"/>
      <c r="G51" s="12"/>
      <c r="H51" s="12"/>
      <c r="K51">
        <f t="shared" si="0"/>
        <v>0</v>
      </c>
      <c r="L51">
        <f t="shared" si="1"/>
        <v>0</v>
      </c>
    </row>
    <row r="52" spans="1:12" ht="26.25" customHeight="1" x14ac:dyDescent="0.2">
      <c r="A52" s="10" t="str">
        <f>'Sheet2-PASTE HERE!'!A62</f>
        <v>FIT</v>
      </c>
      <c r="B52" s="11"/>
      <c r="C52" s="17" t="str">
        <f>'Sheet2-PASTE HERE!'!I62</f>
        <v>.730</v>
      </c>
      <c r="D52" s="22" t="str">
        <f>'Sheet2-PASTE HERE!'!K62</f>
        <v>Add repads and weld</v>
      </c>
      <c r="E52" s="13">
        <f>'Sheet2-PASTE HERE!'!F62</f>
        <v>5</v>
      </c>
      <c r="F52" s="12"/>
      <c r="G52" s="12"/>
      <c r="H52" s="12"/>
      <c r="K52">
        <f t="shared" si="0"/>
        <v>0</v>
      </c>
      <c r="L52">
        <f t="shared" si="1"/>
        <v>0</v>
      </c>
    </row>
    <row r="53" spans="1:12" ht="26.25" customHeight="1" x14ac:dyDescent="0.2">
      <c r="A53" s="10" t="str">
        <f>'Sheet2-PASTE HERE!'!A63</f>
        <v>FINISHING</v>
      </c>
      <c r="B53" s="11"/>
      <c r="C53" s="17" t="str">
        <f>'Sheet2-PASTE HERE!'!I63</f>
        <v>.765</v>
      </c>
      <c r="D53" s="22" t="str">
        <f>'Sheet2-PASTE HERE!'!K63</f>
        <v>Install name tag</v>
      </c>
      <c r="E53" s="13">
        <f>'Sheet2-PASTE HERE!'!F63</f>
        <v>1</v>
      </c>
      <c r="F53" s="12"/>
      <c r="G53" s="12"/>
      <c r="H53" s="12"/>
      <c r="K53">
        <f t="shared" si="0"/>
        <v>0</v>
      </c>
      <c r="L53">
        <f t="shared" si="1"/>
        <v>0</v>
      </c>
    </row>
    <row r="54" spans="1:12" ht="26.25" customHeight="1" x14ac:dyDescent="0.2">
      <c r="A54" s="10" t="str">
        <f>'Sheet2-PASTE HERE!'!A64</f>
        <v>FIT</v>
      </c>
      <c r="B54" s="11"/>
      <c r="C54" s="17" t="str">
        <f>'Sheet2-PASTE HERE!'!I64</f>
        <v>.770</v>
      </c>
      <c r="D54" s="22" t="str">
        <f>'Sheet2-PASTE HERE!'!K64</f>
        <v>Inspect tank, make repairs, get QC inspector</v>
      </c>
      <c r="E54" s="13">
        <f>'Sheet2-PASTE HERE!'!F64</f>
        <v>1</v>
      </c>
      <c r="F54" s="12"/>
      <c r="G54" s="12"/>
      <c r="H54" s="12"/>
      <c r="K54">
        <f t="shared" si="0"/>
        <v>0</v>
      </c>
      <c r="L54">
        <f t="shared" si="1"/>
        <v>0</v>
      </c>
    </row>
    <row r="55" spans="1:12" ht="26.25" customHeight="1" x14ac:dyDescent="0.2">
      <c r="A55" s="10" t="str">
        <f>'Sheet2-PASTE HERE!'!A65</f>
        <v>INSPECTION</v>
      </c>
      <c r="B55" s="11"/>
      <c r="C55" s="17" t="str">
        <f>'Sheet2-PASTE HERE!'!I65</f>
        <v>.QC6</v>
      </c>
      <c r="D55" s="22" t="str">
        <f>'Sheet2-PASTE HERE!'!K65</f>
        <v>QC Inspection - Fabrication</v>
      </c>
      <c r="E55" s="13">
        <f>'Sheet2-PASTE HERE!'!F65</f>
        <v>0</v>
      </c>
      <c r="F55" s="12"/>
      <c r="G55" s="12"/>
      <c r="H55" s="12"/>
      <c r="K55">
        <f t="shared" si="0"/>
        <v>1</v>
      </c>
      <c r="L55">
        <f t="shared" si="1"/>
        <v>0</v>
      </c>
    </row>
    <row r="56" spans="1:12" ht="26.25" customHeight="1" x14ac:dyDescent="0.2">
      <c r="A56" s="10" t="str">
        <f>'Sheet2-PASTE HERE!'!A66</f>
        <v>INSPECTION</v>
      </c>
      <c r="B56" s="11"/>
      <c r="C56" s="17" t="str">
        <f>'Sheet2-PASTE HERE!'!I66</f>
        <v>.OI4</v>
      </c>
      <c r="D56" s="22" t="str">
        <f>'Sheet2-PASTE HERE!'!K66</f>
        <v>Customer Inspection</v>
      </c>
      <c r="E56" s="13">
        <f>'Sheet2-PASTE HERE!'!F66</f>
        <v>0</v>
      </c>
      <c r="F56" s="12"/>
      <c r="G56" s="12"/>
      <c r="H56" s="12"/>
      <c r="K56">
        <f t="shared" si="0"/>
        <v>1</v>
      </c>
      <c r="L56">
        <f t="shared" si="1"/>
        <v>1</v>
      </c>
    </row>
    <row r="57" spans="1:12" ht="26.25" customHeight="1" x14ac:dyDescent="0.2">
      <c r="A57" s="10" t="str">
        <f>'Sheet2-PASTE HERE!'!A67</f>
        <v>INSPECTION</v>
      </c>
      <c r="B57" s="11"/>
      <c r="C57" s="17" t="str">
        <f>'Sheet2-PASTE HERE!'!I67</f>
        <v>.OI2</v>
      </c>
      <c r="D57" s="22" t="str">
        <f>'Sheet2-PASTE HERE!'!K67</f>
        <v>ASME Inspection Internal</v>
      </c>
      <c r="E57" s="13">
        <f>'Sheet2-PASTE HERE!'!F67</f>
        <v>0</v>
      </c>
      <c r="F57" s="12"/>
      <c r="G57" s="12"/>
      <c r="H57" s="12"/>
      <c r="K57">
        <f t="shared" si="0"/>
        <v>1</v>
      </c>
      <c r="L57">
        <f t="shared" si="1"/>
        <v>1</v>
      </c>
    </row>
    <row r="58" spans="1:12" ht="26.25" customHeight="1" x14ac:dyDescent="0.2">
      <c r="A58" s="10" t="str">
        <f>'Sheet2-PASTE HERE!'!A68</f>
        <v>MOVE TANK</v>
      </c>
      <c r="B58" s="11"/>
      <c r="C58" s="17" t="str">
        <f>'Sheet2-PASTE HERE!'!I68</f>
        <v>.801</v>
      </c>
      <c r="D58" s="22" t="str">
        <f>'Sheet2-PASTE HERE!'!K68</f>
        <v>Move to shop test area</v>
      </c>
      <c r="E58" s="13">
        <f>'Sheet2-PASTE HERE!'!F68</f>
        <v>2</v>
      </c>
      <c r="F58" s="12"/>
      <c r="G58" s="12"/>
      <c r="H58" s="12"/>
      <c r="K58">
        <f t="shared" si="0"/>
        <v>0</v>
      </c>
      <c r="L58">
        <f t="shared" si="1"/>
        <v>0</v>
      </c>
    </row>
    <row r="59" spans="1:12" ht="26.25" customHeight="1" x14ac:dyDescent="0.2">
      <c r="A59" s="10" t="str">
        <f>'Sheet2-PASTE HERE!'!A69</f>
        <v>FINISHING</v>
      </c>
      <c r="B59" s="11"/>
      <c r="C59" s="17" t="str">
        <f>'Sheet2-PASTE HERE!'!I69</f>
        <v>.910</v>
      </c>
      <c r="D59" s="22" t="str">
        <f>'Sheet2-PASTE HERE!'!K69</f>
        <v>Test tank</v>
      </c>
      <c r="E59" s="13">
        <f>'Sheet2-PASTE HERE!'!F69</f>
        <v>12</v>
      </c>
      <c r="F59" s="12"/>
      <c r="G59" s="12"/>
      <c r="H59" s="12"/>
      <c r="K59">
        <f t="shared" si="0"/>
        <v>0</v>
      </c>
      <c r="L59">
        <f t="shared" si="1"/>
        <v>0</v>
      </c>
    </row>
    <row r="60" spans="1:12" ht="26.25" customHeight="1" x14ac:dyDescent="0.2">
      <c r="A60" s="10" t="str">
        <f>'Sheet2-PASTE HERE!'!A70</f>
        <v>INSPECTION</v>
      </c>
      <c r="B60" s="11"/>
      <c r="C60" s="17" t="str">
        <f>'Sheet2-PASTE HERE!'!I70</f>
        <v>.QC7</v>
      </c>
      <c r="D60" s="22" t="str">
        <f>'Sheet2-PASTE HERE!'!K70</f>
        <v>QC Inspection - Test</v>
      </c>
      <c r="E60" s="13">
        <f>'Sheet2-PASTE HERE!'!F70</f>
        <v>0</v>
      </c>
      <c r="F60" s="12"/>
      <c r="G60" s="12"/>
      <c r="H60" s="12"/>
      <c r="K60">
        <f t="shared" si="0"/>
        <v>1</v>
      </c>
      <c r="L60">
        <f t="shared" si="1"/>
        <v>0</v>
      </c>
    </row>
    <row r="61" spans="1:12" ht="26.25" customHeight="1" x14ac:dyDescent="0.2">
      <c r="A61" s="10" t="str">
        <f>'Sheet2-PASTE HERE!'!A71</f>
        <v>INSPECTION</v>
      </c>
      <c r="B61" s="11"/>
      <c r="C61" s="17" t="str">
        <f>'Sheet2-PASTE HERE!'!I71</f>
        <v>.OI3</v>
      </c>
      <c r="D61" s="22" t="str">
        <f>'Sheet2-PASTE HERE!'!K71</f>
        <v>ASME Inspection Test</v>
      </c>
      <c r="E61" s="13">
        <f>'Sheet2-PASTE HERE!'!F71</f>
        <v>0</v>
      </c>
      <c r="F61" s="12"/>
      <c r="G61" s="12"/>
      <c r="H61" s="12"/>
      <c r="K61">
        <f t="shared" si="0"/>
        <v>1</v>
      </c>
      <c r="L61">
        <f t="shared" si="1"/>
        <v>1</v>
      </c>
    </row>
    <row r="62" spans="1:12" ht="26.25" customHeight="1" x14ac:dyDescent="0.2">
      <c r="A62" s="10" t="str">
        <f>'Sheet2-PASTE HERE!'!A72</f>
        <v>MOVE TANK</v>
      </c>
      <c r="B62" s="11"/>
      <c r="C62" s="17" t="str">
        <f>'Sheet2-PASTE HERE!'!I72</f>
        <v>.802</v>
      </c>
      <c r="D62" s="22" t="str">
        <f>'Sheet2-PASTE HERE!'!K72</f>
        <v>Move to paint area</v>
      </c>
      <c r="E62" s="13">
        <f>'Sheet2-PASTE HERE!'!F72</f>
        <v>2</v>
      </c>
      <c r="F62" s="12"/>
      <c r="G62" s="12"/>
      <c r="H62" s="12"/>
      <c r="K62">
        <f t="shared" si="0"/>
        <v>0</v>
      </c>
      <c r="L62">
        <f t="shared" si="1"/>
        <v>0</v>
      </c>
    </row>
    <row r="63" spans="1:12" ht="26.25" customHeight="1" x14ac:dyDescent="0.2">
      <c r="A63" s="10" t="str">
        <f>'Sheet2-PASTE HERE!'!A73</f>
        <v>INSPECTION</v>
      </c>
      <c r="B63" s="11"/>
      <c r="C63" s="17" t="str">
        <f>'Sheet2-PASTE HERE!'!I73</f>
        <v>.QC9</v>
      </c>
      <c r="D63" s="22" t="str">
        <f>'Sheet2-PASTE HERE!'!K73</f>
        <v>QC Inspection - Sandblast</v>
      </c>
      <c r="E63" s="13">
        <f>'Sheet2-PASTE HERE!'!F73</f>
        <v>0</v>
      </c>
      <c r="F63" s="12"/>
      <c r="G63" s="12"/>
      <c r="H63" s="12"/>
      <c r="K63">
        <f t="shared" si="0"/>
        <v>1</v>
      </c>
      <c r="L63">
        <f t="shared" si="1"/>
        <v>0</v>
      </c>
    </row>
    <row r="64" spans="1:12" ht="26.25" customHeight="1" x14ac:dyDescent="0.2">
      <c r="A64" s="10" t="str">
        <f>'Sheet2-PASTE HERE!'!A74</f>
        <v>INSPECTION</v>
      </c>
      <c r="B64" s="11"/>
      <c r="C64" s="17" t="str">
        <f>'Sheet2-PASTE HERE!'!I74</f>
        <v>.QC90</v>
      </c>
      <c r="D64" s="22" t="str">
        <f>'Sheet2-PASTE HERE!'!K74</f>
        <v>QC Inspection - Paint</v>
      </c>
      <c r="E64" s="13">
        <f>'Sheet2-PASTE HERE!'!F74</f>
        <v>0</v>
      </c>
      <c r="F64" s="12"/>
      <c r="G64" s="12"/>
      <c r="H64" s="12"/>
      <c r="K64">
        <f t="shared" si="0"/>
        <v>1</v>
      </c>
      <c r="L64">
        <f t="shared" si="1"/>
        <v>0</v>
      </c>
    </row>
    <row r="65" spans="1:12" ht="26.25" customHeight="1" x14ac:dyDescent="0.2">
      <c r="A65" s="10" t="str">
        <f>'Sheet2-PASTE HERE!'!A75</f>
        <v>FINISHING</v>
      </c>
      <c r="B65" s="11"/>
      <c r="C65" s="17" t="str">
        <f>'Sheet2-PASTE HERE!'!I75</f>
        <v>.940</v>
      </c>
      <c r="D65" s="22" t="str">
        <f>'Sheet2-PASTE HERE!'!K75</f>
        <v>Prepare tank for shipment</v>
      </c>
      <c r="E65" s="13">
        <f>'Sheet2-PASTE HERE!'!F75</f>
        <v>3</v>
      </c>
      <c r="F65" s="12"/>
      <c r="G65" s="12"/>
      <c r="H65" s="12"/>
      <c r="K65">
        <f t="shared" si="0"/>
        <v>0</v>
      </c>
      <c r="L65">
        <f t="shared" si="1"/>
        <v>0</v>
      </c>
    </row>
    <row r="66" spans="1:12" ht="26.25" customHeight="1" x14ac:dyDescent="0.2">
      <c r="A66" s="10" t="str">
        <f>'Sheet2-PASTE HERE!'!A76</f>
        <v>INSPECTION</v>
      </c>
      <c r="B66" s="11"/>
      <c r="C66" s="17" t="str">
        <f>'Sheet2-PASTE HERE!'!I76</f>
        <v>.QC95</v>
      </c>
      <c r="D66" s="22" t="str">
        <f>'Sheet2-PASTE HERE!'!K76</f>
        <v>QC Inspection - Final &amp; Loose Items</v>
      </c>
      <c r="E66" s="13">
        <f>'Sheet2-PASTE HERE!'!F76</f>
        <v>0</v>
      </c>
      <c r="F66" s="12"/>
      <c r="G66" s="12"/>
      <c r="H66" s="12"/>
      <c r="K66">
        <f t="shared" si="0"/>
        <v>1</v>
      </c>
      <c r="L66">
        <f t="shared" si="1"/>
        <v>0</v>
      </c>
    </row>
    <row r="67" spans="1:12" ht="26.25" customHeight="1" x14ac:dyDescent="0.2">
      <c r="A67" s="10" t="str">
        <f>'Sheet2-PASTE HERE!'!A77</f>
        <v>SHIPPING</v>
      </c>
      <c r="B67" s="11"/>
      <c r="C67" s="17" t="str">
        <f>'Sheet2-PASTE HERE!'!I77</f>
        <v>.960</v>
      </c>
      <c r="D67" s="22" t="str">
        <f>'Sheet2-PASTE HERE!'!K77</f>
        <v>Load on truck</v>
      </c>
      <c r="E67" s="13">
        <f>'Sheet2-PASTE HERE!'!F77</f>
        <v>5</v>
      </c>
      <c r="F67" s="12"/>
      <c r="G67" s="12"/>
      <c r="H67" s="12"/>
      <c r="K67">
        <f t="shared" si="0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0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 t="str">
        <f>'Sheet2-PASTE HERE!'!F79</f>
        <v/>
      </c>
      <c r="F69" s="12"/>
      <c r="G69" s="12"/>
      <c r="H69" s="12"/>
      <c r="K69">
        <f t="shared" si="0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0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ref="K71:K100" si="2">IF(A71="INSPECTION",1,0)</f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si="2"/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2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2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2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2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2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2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2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2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2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2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2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2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2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2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2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2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2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2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2"/>
        <v>0</v>
      </c>
      <c r="L100">
        <f t="shared" si="3"/>
        <v>0</v>
      </c>
    </row>
  </sheetData>
  <mergeCells count="1">
    <mergeCell ref="F4:G4"/>
  </mergeCells>
  <conditionalFormatting sqref="A7:H100">
    <cfRule type="expression" dxfId="3" priority="6" stopIfTrue="1">
      <formula>$K7=1</formula>
    </cfRule>
  </conditionalFormatting>
  <conditionalFormatting sqref="B31:H100">
    <cfRule type="expression" dxfId="2" priority="7" stopIfTrue="1">
      <formula>$K31=1</formula>
    </cfRule>
  </conditionalFormatting>
  <conditionalFormatting sqref="D7:D100">
    <cfRule type="expression" dxfId="1" priority="1" stopIfTrue="1">
      <formula>$L7=1</formula>
    </cfRule>
  </conditionalFormatting>
  <conditionalFormatting sqref="D8:D100">
    <cfRule type="expression" dxfId="0" priority="2" stopIfTrue="1">
      <formula>$L8=1</formula>
    </cfRule>
  </conditionalFormatting>
  <pageMargins left="0.36" right="0" top="0.42" bottom="0.4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07"/>
  <sheetViews>
    <sheetView workbookViewId="0">
      <selection sqref="A1:XFD1048576"/>
    </sheetView>
  </sheetViews>
  <sheetFormatPr defaultColWidth="6.85546875" defaultRowHeight="12.75" x14ac:dyDescent="0.2"/>
  <cols>
    <col min="1" max="1" width="6.85546875" style="8" customWidth="1"/>
    <col min="2" max="16384" width="6.85546875" style="8"/>
  </cols>
  <sheetData>
    <row r="1" spans="1:30" ht="12.75" customHeight="1" x14ac:dyDescent="0.2">
      <c r="A1" s="8" t="s">
        <v>16</v>
      </c>
      <c r="B1" s="8" t="s">
        <v>155</v>
      </c>
      <c r="C1" s="8" t="s">
        <v>17</v>
      </c>
      <c r="D1" s="8" t="s">
        <v>156</v>
      </c>
      <c r="E1" s="8" t="s">
        <v>18</v>
      </c>
      <c r="F1" s="8" t="s">
        <v>157</v>
      </c>
      <c r="G1" s="8" t="s">
        <v>155</v>
      </c>
      <c r="H1" s="8" t="s">
        <v>20</v>
      </c>
      <c r="I1" s="8" t="s">
        <v>19</v>
      </c>
      <c r="L1" s="8" t="s">
        <v>21</v>
      </c>
      <c r="M1" s="8" t="s">
        <v>19</v>
      </c>
      <c r="N1" s="8" t="s">
        <v>22</v>
      </c>
      <c r="O1" s="8" t="s">
        <v>19</v>
      </c>
      <c r="R1" s="8" t="s">
        <v>23</v>
      </c>
      <c r="S1" s="21">
        <v>1</v>
      </c>
      <c r="T1" s="8" t="s">
        <v>24</v>
      </c>
      <c r="U1" s="8" t="s">
        <v>25</v>
      </c>
      <c r="V1" s="8" t="s">
        <v>26</v>
      </c>
      <c r="W1" s="19">
        <v>45821</v>
      </c>
      <c r="Y1" s="8" t="s">
        <v>27</v>
      </c>
      <c r="Z1" s="21">
        <v>1</v>
      </c>
      <c r="AA1" s="8" t="s">
        <v>24</v>
      </c>
      <c r="AB1" s="8" t="s">
        <v>25</v>
      </c>
      <c r="AC1" s="8" t="s">
        <v>28</v>
      </c>
      <c r="AD1" s="24">
        <v>476</v>
      </c>
    </row>
    <row r="2" spans="1:30" ht="12.75" customHeight="1" x14ac:dyDescent="0.2"/>
    <row r="3" spans="1:30" ht="12.75" customHeight="1" x14ac:dyDescent="0.2">
      <c r="A3" s="8" t="s">
        <v>29</v>
      </c>
    </row>
    <row r="4" spans="1:30" ht="12.75" customHeight="1" x14ac:dyDescent="0.2"/>
    <row r="5" spans="1:30" ht="12.75" customHeight="1" x14ac:dyDescent="0.2"/>
    <row r="6" spans="1:30" ht="12.75" customHeight="1" x14ac:dyDescent="0.2"/>
    <row r="7" spans="1:30" ht="12.75" customHeight="1" x14ac:dyDescent="0.2">
      <c r="B7" s="8" t="s">
        <v>30</v>
      </c>
      <c r="C7" s="8" t="s">
        <v>31</v>
      </c>
      <c r="D7" s="8" t="s">
        <v>33</v>
      </c>
      <c r="E7" s="8" t="s">
        <v>34</v>
      </c>
      <c r="F7" s="8" t="s">
        <v>35</v>
      </c>
      <c r="G7" s="8" t="s">
        <v>36</v>
      </c>
      <c r="H7" s="8" t="s">
        <v>32</v>
      </c>
      <c r="I7" s="8" t="s">
        <v>10</v>
      </c>
      <c r="J7" s="8" t="s">
        <v>37</v>
      </c>
    </row>
    <row r="8" spans="1:30" ht="12.75" customHeight="1" x14ac:dyDescent="0.2">
      <c r="A8" s="8" t="s">
        <v>19</v>
      </c>
      <c r="B8" s="8" t="s">
        <v>19</v>
      </c>
      <c r="F8" s="8" t="s">
        <v>19</v>
      </c>
      <c r="G8" s="8" t="s">
        <v>19</v>
      </c>
    </row>
    <row r="9" spans="1:30" ht="12.75" customHeight="1" x14ac:dyDescent="0.2"/>
    <row r="10" spans="1:30" ht="12.75" customHeight="1" x14ac:dyDescent="0.2"/>
    <row r="11" spans="1:30" ht="12.75" customHeight="1" x14ac:dyDescent="0.2">
      <c r="B11" s="8" t="s">
        <v>38</v>
      </c>
      <c r="C11" s="8" t="s">
        <v>39</v>
      </c>
      <c r="D11" s="8" t="s">
        <v>40</v>
      </c>
      <c r="E11" s="8" t="s">
        <v>41</v>
      </c>
      <c r="F11" s="8" t="s">
        <v>42</v>
      </c>
    </row>
    <row r="12" spans="1:30" ht="12.75" customHeight="1" x14ac:dyDescent="0.2"/>
    <row r="13" spans="1:30" ht="12.75" customHeight="1" x14ac:dyDescent="0.2"/>
    <row r="14" spans="1:30" ht="12.75" customHeight="1" x14ac:dyDescent="0.2">
      <c r="B14" s="8" t="s">
        <v>43</v>
      </c>
      <c r="C14" s="8" t="s">
        <v>42</v>
      </c>
      <c r="D14" s="8" t="s">
        <v>44</v>
      </c>
      <c r="E14" s="8" t="s">
        <v>45</v>
      </c>
      <c r="F14" s="8" t="s">
        <v>46</v>
      </c>
      <c r="G14" s="8" t="s">
        <v>47</v>
      </c>
      <c r="H14" s="8" t="s">
        <v>48</v>
      </c>
      <c r="I14" s="8" t="s">
        <v>10</v>
      </c>
      <c r="J14" s="8" t="s">
        <v>49</v>
      </c>
      <c r="K14" s="8" t="s">
        <v>50</v>
      </c>
      <c r="L14" s="8" t="s">
        <v>51</v>
      </c>
      <c r="M14" s="8" t="s">
        <v>0</v>
      </c>
      <c r="N14" s="8" t="s">
        <v>1</v>
      </c>
      <c r="O14" s="8" t="s">
        <v>52</v>
      </c>
    </row>
    <row r="15" spans="1:30" ht="12.75" customHeight="1" x14ac:dyDescent="0.2">
      <c r="A15" s="8" t="s">
        <v>56</v>
      </c>
      <c r="B15" s="18">
        <v>53589</v>
      </c>
      <c r="C15" s="19">
        <v>0</v>
      </c>
      <c r="D15" s="8" t="s">
        <v>71</v>
      </c>
      <c r="E15" s="20">
        <v>0</v>
      </c>
      <c r="F15" s="20">
        <v>0</v>
      </c>
      <c r="G15" s="8" t="s">
        <v>54</v>
      </c>
      <c r="H15" s="20">
        <v>0</v>
      </c>
      <c r="I15" s="8" t="s">
        <v>72</v>
      </c>
      <c r="J15" s="19">
        <v>0</v>
      </c>
      <c r="K15" s="8" t="s">
        <v>71</v>
      </c>
      <c r="L15" s="8" t="s">
        <v>55</v>
      </c>
      <c r="M15" s="8" t="s">
        <v>55</v>
      </c>
      <c r="N15" s="8" t="s">
        <v>55</v>
      </c>
    </row>
    <row r="16" spans="1:30" ht="12.75" customHeight="1" x14ac:dyDescent="0.2">
      <c r="A16" s="8" t="s">
        <v>53</v>
      </c>
      <c r="B16" s="18">
        <v>53590</v>
      </c>
      <c r="C16" s="19">
        <v>0</v>
      </c>
      <c r="D16" s="8" t="s">
        <v>73</v>
      </c>
      <c r="E16" s="20">
        <v>0</v>
      </c>
      <c r="F16" s="20">
        <v>0</v>
      </c>
      <c r="G16" s="8" t="s">
        <v>54</v>
      </c>
      <c r="H16" s="20">
        <v>0</v>
      </c>
      <c r="I16" s="8" t="s">
        <v>74</v>
      </c>
      <c r="J16" s="19">
        <v>0</v>
      </c>
      <c r="K16" s="8" t="s">
        <v>75</v>
      </c>
      <c r="L16" s="8" t="s">
        <v>55</v>
      </c>
      <c r="M16" s="8" t="s">
        <v>55</v>
      </c>
      <c r="N16" s="8" t="s">
        <v>55</v>
      </c>
    </row>
    <row r="17" spans="1:14" ht="12.75" customHeight="1" x14ac:dyDescent="0.2">
      <c r="A17" s="8" t="s">
        <v>56</v>
      </c>
      <c r="B17" s="18">
        <v>53591</v>
      </c>
      <c r="C17" s="19">
        <v>0</v>
      </c>
      <c r="D17" s="8" t="s">
        <v>57</v>
      </c>
      <c r="E17" s="20">
        <v>0</v>
      </c>
      <c r="F17" s="20">
        <v>12</v>
      </c>
      <c r="G17" s="8" t="s">
        <v>54</v>
      </c>
      <c r="H17" s="20">
        <v>12</v>
      </c>
      <c r="I17" s="8" t="s">
        <v>58</v>
      </c>
      <c r="J17" s="19">
        <v>0</v>
      </c>
      <c r="K17" s="8" t="s">
        <v>158</v>
      </c>
      <c r="L17" s="8" t="s">
        <v>55</v>
      </c>
      <c r="M17" s="8" t="s">
        <v>55</v>
      </c>
      <c r="N17" s="8" t="s">
        <v>55</v>
      </c>
    </row>
    <row r="18" spans="1:14" ht="12.75" customHeight="1" x14ac:dyDescent="0.2">
      <c r="A18" s="8" t="s">
        <v>56</v>
      </c>
      <c r="B18" s="18">
        <v>53592</v>
      </c>
      <c r="C18" s="19">
        <v>0</v>
      </c>
      <c r="D18" s="8" t="s">
        <v>76</v>
      </c>
      <c r="E18" s="20">
        <v>0</v>
      </c>
      <c r="F18" s="20">
        <v>6</v>
      </c>
      <c r="G18" s="8" t="s">
        <v>54</v>
      </c>
      <c r="H18" s="20">
        <v>6</v>
      </c>
      <c r="I18" s="8" t="s">
        <v>77</v>
      </c>
      <c r="J18" s="19">
        <v>0</v>
      </c>
      <c r="K18" s="8" t="s">
        <v>159</v>
      </c>
      <c r="L18" s="8" t="s">
        <v>55</v>
      </c>
      <c r="M18" s="8" t="s">
        <v>55</v>
      </c>
      <c r="N18" s="8" t="s">
        <v>55</v>
      </c>
    </row>
    <row r="19" spans="1:14" ht="12.75" customHeight="1" x14ac:dyDescent="0.2">
      <c r="A19" s="8" t="s">
        <v>56</v>
      </c>
      <c r="B19" s="18">
        <v>53593</v>
      </c>
      <c r="C19" s="19">
        <v>0</v>
      </c>
      <c r="D19" s="8" t="s">
        <v>160</v>
      </c>
      <c r="E19" s="20">
        <v>0</v>
      </c>
      <c r="F19" s="20">
        <v>3</v>
      </c>
      <c r="G19" s="8" t="s">
        <v>54</v>
      </c>
      <c r="H19" s="20">
        <v>3</v>
      </c>
      <c r="I19" s="8" t="s">
        <v>161</v>
      </c>
      <c r="J19" s="19">
        <v>0</v>
      </c>
      <c r="K19" s="8" t="s">
        <v>162</v>
      </c>
      <c r="L19" s="8" t="s">
        <v>55</v>
      </c>
      <c r="M19" s="8" t="s">
        <v>55</v>
      </c>
      <c r="N19" s="8" t="s">
        <v>55</v>
      </c>
    </row>
    <row r="20" spans="1:14" ht="12.75" customHeight="1" x14ac:dyDescent="0.2">
      <c r="A20" s="8" t="s">
        <v>56</v>
      </c>
      <c r="B20" s="18">
        <v>53594</v>
      </c>
      <c r="C20" s="19">
        <v>0</v>
      </c>
      <c r="D20" s="8" t="s">
        <v>163</v>
      </c>
      <c r="E20" s="20">
        <v>0</v>
      </c>
      <c r="F20" s="20">
        <v>30</v>
      </c>
      <c r="G20" s="8" t="s">
        <v>54</v>
      </c>
      <c r="H20" s="20">
        <v>30</v>
      </c>
      <c r="I20" s="8" t="s">
        <v>164</v>
      </c>
      <c r="J20" s="19">
        <v>0</v>
      </c>
      <c r="K20" s="8" t="s">
        <v>165</v>
      </c>
      <c r="L20" s="8" t="s">
        <v>55</v>
      </c>
      <c r="M20" s="8" t="s">
        <v>55</v>
      </c>
      <c r="N20" s="8" t="s">
        <v>55</v>
      </c>
    </row>
    <row r="21" spans="1:14" ht="12.75" customHeight="1" x14ac:dyDescent="0.2">
      <c r="A21" s="8" t="s">
        <v>56</v>
      </c>
      <c r="B21" s="18">
        <v>53595</v>
      </c>
      <c r="C21" s="19">
        <v>0</v>
      </c>
      <c r="D21" s="8" t="s">
        <v>136</v>
      </c>
      <c r="E21" s="20">
        <v>0</v>
      </c>
      <c r="F21" s="20">
        <v>40</v>
      </c>
      <c r="G21" s="8" t="s">
        <v>54</v>
      </c>
      <c r="H21" s="20">
        <v>40</v>
      </c>
      <c r="I21" s="8" t="s">
        <v>59</v>
      </c>
      <c r="J21" s="19">
        <v>0</v>
      </c>
      <c r="K21" s="8" t="s">
        <v>78</v>
      </c>
      <c r="L21" s="8" t="s">
        <v>55</v>
      </c>
      <c r="M21" s="8" t="s">
        <v>55</v>
      </c>
      <c r="N21" s="8" t="s">
        <v>55</v>
      </c>
    </row>
    <row r="22" spans="1:14" ht="12.75" customHeight="1" x14ac:dyDescent="0.2">
      <c r="A22" s="8" t="s">
        <v>56</v>
      </c>
      <c r="B22" s="18">
        <v>53596</v>
      </c>
      <c r="C22" s="19">
        <v>0</v>
      </c>
      <c r="D22" s="8" t="s">
        <v>137</v>
      </c>
      <c r="E22" s="20">
        <v>0</v>
      </c>
      <c r="F22" s="20">
        <v>20</v>
      </c>
      <c r="G22" s="8" t="s">
        <v>54</v>
      </c>
      <c r="H22" s="20">
        <v>20</v>
      </c>
      <c r="I22" s="8" t="s">
        <v>138</v>
      </c>
      <c r="J22" s="19">
        <v>0</v>
      </c>
      <c r="L22" s="8" t="s">
        <v>55</v>
      </c>
      <c r="M22" s="8" t="s">
        <v>55</v>
      </c>
      <c r="N22" s="8" t="s">
        <v>55</v>
      </c>
    </row>
    <row r="23" spans="1:14" ht="12.75" customHeight="1" x14ac:dyDescent="0.2">
      <c r="A23" s="8" t="s">
        <v>56</v>
      </c>
      <c r="B23" s="18">
        <v>53597</v>
      </c>
      <c r="C23" s="19">
        <v>0</v>
      </c>
      <c r="D23" s="8" t="s">
        <v>166</v>
      </c>
      <c r="E23" s="20">
        <v>0</v>
      </c>
      <c r="F23" s="20">
        <v>8</v>
      </c>
      <c r="G23" s="8" t="s">
        <v>54</v>
      </c>
      <c r="H23" s="20">
        <v>8</v>
      </c>
      <c r="I23" s="8" t="s">
        <v>167</v>
      </c>
      <c r="J23" s="19">
        <v>0</v>
      </c>
      <c r="K23" s="8" t="s">
        <v>168</v>
      </c>
      <c r="L23" s="8" t="s">
        <v>55</v>
      </c>
      <c r="M23" s="8" t="s">
        <v>55</v>
      </c>
      <c r="N23" s="8" t="s">
        <v>55</v>
      </c>
    </row>
    <row r="24" spans="1:14" ht="12.75" customHeight="1" x14ac:dyDescent="0.2">
      <c r="A24" s="8" t="s">
        <v>56</v>
      </c>
      <c r="B24" s="18">
        <v>53598</v>
      </c>
      <c r="C24" s="19">
        <v>0</v>
      </c>
      <c r="D24" s="8" t="s">
        <v>79</v>
      </c>
      <c r="E24" s="20">
        <v>0</v>
      </c>
      <c r="F24" s="20">
        <v>2</v>
      </c>
      <c r="G24" s="8" t="s">
        <v>54</v>
      </c>
      <c r="H24" s="20">
        <v>2</v>
      </c>
      <c r="I24" s="8" t="s">
        <v>80</v>
      </c>
      <c r="J24" s="19">
        <v>0</v>
      </c>
      <c r="K24" s="8" t="s">
        <v>169</v>
      </c>
      <c r="L24" s="8" t="s">
        <v>55</v>
      </c>
      <c r="M24" s="8" t="s">
        <v>55</v>
      </c>
      <c r="N24" s="8" t="s">
        <v>55</v>
      </c>
    </row>
    <row r="25" spans="1:14" ht="12.75" customHeight="1" x14ac:dyDescent="0.2">
      <c r="A25" s="8" t="s">
        <v>56</v>
      </c>
      <c r="B25" s="18">
        <v>53599</v>
      </c>
      <c r="C25" s="19">
        <v>0</v>
      </c>
      <c r="D25" s="8" t="s">
        <v>139</v>
      </c>
      <c r="E25" s="20">
        <v>0</v>
      </c>
      <c r="F25" s="20">
        <v>10</v>
      </c>
      <c r="G25" s="8" t="s">
        <v>54</v>
      </c>
      <c r="H25" s="20">
        <v>10</v>
      </c>
      <c r="I25" s="8" t="s">
        <v>140</v>
      </c>
      <c r="J25" s="19">
        <v>0</v>
      </c>
      <c r="K25" s="8" t="s">
        <v>170</v>
      </c>
      <c r="L25" s="8" t="s">
        <v>55</v>
      </c>
      <c r="M25" s="8" t="s">
        <v>55</v>
      </c>
      <c r="N25" s="8" t="s">
        <v>55</v>
      </c>
    </row>
    <row r="26" spans="1:14" ht="12.75" customHeight="1" x14ac:dyDescent="0.2">
      <c r="A26" s="8" t="s">
        <v>56</v>
      </c>
      <c r="B26" s="18">
        <v>53600</v>
      </c>
      <c r="C26" s="19">
        <v>0</v>
      </c>
      <c r="D26" s="8" t="s">
        <v>141</v>
      </c>
      <c r="E26" s="20">
        <v>0</v>
      </c>
      <c r="F26" s="20">
        <v>2</v>
      </c>
      <c r="G26" s="8" t="s">
        <v>54</v>
      </c>
      <c r="H26" s="20">
        <v>2</v>
      </c>
      <c r="I26" s="8" t="s">
        <v>142</v>
      </c>
      <c r="J26" s="19">
        <v>0</v>
      </c>
      <c r="K26" s="8" t="s">
        <v>171</v>
      </c>
      <c r="L26" s="8" t="s">
        <v>55</v>
      </c>
      <c r="M26" s="8" t="s">
        <v>55</v>
      </c>
      <c r="N26" s="8" t="s">
        <v>55</v>
      </c>
    </row>
    <row r="27" spans="1:14" ht="12.75" customHeight="1" x14ac:dyDescent="0.2">
      <c r="A27" s="8" t="s">
        <v>56</v>
      </c>
      <c r="B27" s="18">
        <v>53601</v>
      </c>
      <c r="C27" s="19">
        <v>0</v>
      </c>
      <c r="D27" s="8" t="s">
        <v>172</v>
      </c>
      <c r="E27" s="20">
        <v>0</v>
      </c>
      <c r="F27" s="20">
        <v>2</v>
      </c>
      <c r="G27" s="8" t="s">
        <v>54</v>
      </c>
      <c r="H27" s="20">
        <v>2</v>
      </c>
      <c r="I27" s="8" t="s">
        <v>173</v>
      </c>
      <c r="J27" s="19">
        <v>0</v>
      </c>
      <c r="K27" s="8" t="s">
        <v>174</v>
      </c>
      <c r="L27" s="8" t="s">
        <v>55</v>
      </c>
      <c r="M27" s="8" t="s">
        <v>55</v>
      </c>
      <c r="N27" s="8" t="s">
        <v>55</v>
      </c>
    </row>
    <row r="28" spans="1:14" ht="12.75" customHeight="1" x14ac:dyDescent="0.2">
      <c r="A28" s="8" t="s">
        <v>53</v>
      </c>
      <c r="B28" s="18">
        <v>53602</v>
      </c>
      <c r="C28" s="19">
        <v>0</v>
      </c>
      <c r="D28" s="8" t="s">
        <v>81</v>
      </c>
      <c r="E28" s="20">
        <v>0</v>
      </c>
      <c r="F28" s="20">
        <v>0</v>
      </c>
      <c r="G28" s="8" t="s">
        <v>54</v>
      </c>
      <c r="H28" s="20">
        <v>0</v>
      </c>
      <c r="I28" s="8" t="s">
        <v>82</v>
      </c>
      <c r="J28" s="19">
        <v>0</v>
      </c>
      <c r="K28" s="8" t="s">
        <v>81</v>
      </c>
      <c r="L28" s="8" t="s">
        <v>55</v>
      </c>
      <c r="M28" s="8" t="s">
        <v>55</v>
      </c>
      <c r="N28" s="8" t="s">
        <v>55</v>
      </c>
    </row>
    <row r="29" spans="1:14" ht="12.75" customHeight="1" x14ac:dyDescent="0.2">
      <c r="A29" s="8" t="s">
        <v>56</v>
      </c>
      <c r="B29" s="18">
        <v>53603</v>
      </c>
      <c r="C29" s="19">
        <v>0</v>
      </c>
      <c r="D29" s="8" t="s">
        <v>83</v>
      </c>
      <c r="E29" s="20">
        <v>0</v>
      </c>
      <c r="F29" s="20">
        <v>9</v>
      </c>
      <c r="G29" s="8" t="s">
        <v>54</v>
      </c>
      <c r="H29" s="20">
        <v>9</v>
      </c>
      <c r="I29" s="8" t="s">
        <v>84</v>
      </c>
      <c r="J29" s="19">
        <v>0</v>
      </c>
      <c r="K29" s="8" t="s">
        <v>175</v>
      </c>
      <c r="L29" s="8" t="s">
        <v>55</v>
      </c>
      <c r="M29" s="8" t="s">
        <v>55</v>
      </c>
      <c r="N29" s="8" t="s">
        <v>55</v>
      </c>
    </row>
    <row r="30" spans="1:14" ht="12.75" customHeight="1" x14ac:dyDescent="0.2">
      <c r="A30" s="8" t="s">
        <v>56</v>
      </c>
      <c r="B30" s="18">
        <v>53604</v>
      </c>
      <c r="C30" s="19">
        <v>0</v>
      </c>
      <c r="D30" s="8" t="s">
        <v>176</v>
      </c>
      <c r="E30" s="20">
        <v>0</v>
      </c>
      <c r="F30" s="20">
        <v>12</v>
      </c>
      <c r="G30" s="8" t="s">
        <v>54</v>
      </c>
      <c r="H30" s="20">
        <v>12</v>
      </c>
      <c r="I30" s="8" t="s">
        <v>177</v>
      </c>
      <c r="J30" s="19">
        <v>0</v>
      </c>
      <c r="K30" s="8" t="s">
        <v>178</v>
      </c>
      <c r="L30" s="8" t="s">
        <v>55</v>
      </c>
      <c r="M30" s="8" t="s">
        <v>55</v>
      </c>
      <c r="N30" s="8" t="s">
        <v>55</v>
      </c>
    </row>
    <row r="31" spans="1:14" ht="12.75" customHeight="1" x14ac:dyDescent="0.2">
      <c r="A31" s="8" t="s">
        <v>56</v>
      </c>
      <c r="B31" s="18">
        <v>53605</v>
      </c>
      <c r="C31" s="19">
        <v>0</v>
      </c>
      <c r="D31" s="8" t="s">
        <v>85</v>
      </c>
      <c r="E31" s="20">
        <v>0</v>
      </c>
      <c r="F31" s="20">
        <v>18</v>
      </c>
      <c r="G31" s="8" t="s">
        <v>54</v>
      </c>
      <c r="H31" s="20">
        <v>18</v>
      </c>
      <c r="I31" s="8" t="s">
        <v>86</v>
      </c>
      <c r="J31" s="19">
        <v>0</v>
      </c>
      <c r="K31" s="8" t="s">
        <v>179</v>
      </c>
      <c r="L31" s="8" t="s">
        <v>55</v>
      </c>
      <c r="M31" s="8" t="s">
        <v>55</v>
      </c>
      <c r="N31" s="8" t="s">
        <v>55</v>
      </c>
    </row>
    <row r="32" spans="1:14" ht="12.75" customHeight="1" x14ac:dyDescent="0.2">
      <c r="A32" s="8" t="s">
        <v>53</v>
      </c>
      <c r="B32" s="18">
        <v>53606</v>
      </c>
      <c r="C32" s="19">
        <v>0</v>
      </c>
      <c r="D32" s="8" t="s">
        <v>87</v>
      </c>
      <c r="E32" s="20">
        <v>0</v>
      </c>
      <c r="F32" s="20">
        <v>0</v>
      </c>
      <c r="G32" s="8" t="s">
        <v>54</v>
      </c>
      <c r="H32" s="20">
        <v>0</v>
      </c>
      <c r="I32" s="8" t="s">
        <v>88</v>
      </c>
      <c r="J32" s="19">
        <v>0</v>
      </c>
      <c r="K32" s="8" t="s">
        <v>89</v>
      </c>
      <c r="L32" s="8" t="s">
        <v>55</v>
      </c>
      <c r="M32" s="8" t="s">
        <v>55</v>
      </c>
      <c r="N32" s="8" t="s">
        <v>55</v>
      </c>
    </row>
    <row r="33" spans="1:14" ht="12.75" customHeight="1" x14ac:dyDescent="0.2">
      <c r="A33" s="8" t="s">
        <v>56</v>
      </c>
      <c r="B33" s="18">
        <v>53607</v>
      </c>
      <c r="C33" s="19">
        <v>0</v>
      </c>
      <c r="D33" s="8" t="s">
        <v>90</v>
      </c>
      <c r="E33" s="20">
        <v>0</v>
      </c>
      <c r="F33" s="20">
        <v>1</v>
      </c>
      <c r="G33" s="8" t="s">
        <v>54</v>
      </c>
      <c r="H33" s="20">
        <v>1</v>
      </c>
      <c r="I33" s="8" t="s">
        <v>91</v>
      </c>
      <c r="J33" s="19">
        <v>0</v>
      </c>
      <c r="K33" s="8" t="s">
        <v>92</v>
      </c>
      <c r="L33" s="8" t="s">
        <v>55</v>
      </c>
      <c r="M33" s="8" t="s">
        <v>55</v>
      </c>
      <c r="N33" s="8" t="s">
        <v>55</v>
      </c>
    </row>
    <row r="34" spans="1:14" ht="12.75" customHeight="1" x14ac:dyDescent="0.2">
      <c r="A34" s="8" t="s">
        <v>56</v>
      </c>
      <c r="B34" s="18">
        <v>53608</v>
      </c>
      <c r="C34" s="19">
        <v>0</v>
      </c>
      <c r="D34" s="8" t="s">
        <v>180</v>
      </c>
      <c r="E34" s="20">
        <v>0</v>
      </c>
      <c r="F34" s="20">
        <v>1</v>
      </c>
      <c r="G34" s="8" t="s">
        <v>54</v>
      </c>
      <c r="H34" s="20">
        <v>1</v>
      </c>
      <c r="I34" s="8" t="s">
        <v>181</v>
      </c>
      <c r="J34" s="19">
        <v>0</v>
      </c>
      <c r="K34" s="8" t="s">
        <v>182</v>
      </c>
      <c r="L34" s="8" t="s">
        <v>55</v>
      </c>
      <c r="M34" s="8" t="s">
        <v>55</v>
      </c>
      <c r="N34" s="8" t="s">
        <v>55</v>
      </c>
    </row>
    <row r="35" spans="1:14" ht="12.75" customHeight="1" x14ac:dyDescent="0.2">
      <c r="A35" s="8" t="s">
        <v>56</v>
      </c>
      <c r="B35" s="18">
        <v>53609</v>
      </c>
      <c r="C35" s="19">
        <v>0</v>
      </c>
      <c r="D35" s="8" t="s">
        <v>93</v>
      </c>
      <c r="E35" s="20">
        <v>0</v>
      </c>
      <c r="F35" s="20">
        <v>1</v>
      </c>
      <c r="G35" s="8" t="s">
        <v>54</v>
      </c>
      <c r="H35" s="20">
        <v>1</v>
      </c>
      <c r="I35" s="8" t="s">
        <v>94</v>
      </c>
      <c r="J35" s="19">
        <v>0</v>
      </c>
      <c r="K35" s="8" t="s">
        <v>183</v>
      </c>
      <c r="L35" s="8" t="s">
        <v>55</v>
      </c>
      <c r="M35" s="8" t="s">
        <v>55</v>
      </c>
      <c r="N35" s="8" t="s">
        <v>55</v>
      </c>
    </row>
    <row r="36" spans="1:14" ht="12.75" customHeight="1" x14ac:dyDescent="0.2">
      <c r="A36" s="8" t="s">
        <v>56</v>
      </c>
      <c r="B36" s="18">
        <v>53610</v>
      </c>
      <c r="C36" s="19">
        <v>0</v>
      </c>
      <c r="D36" s="8" t="s">
        <v>95</v>
      </c>
      <c r="E36" s="20">
        <v>0</v>
      </c>
      <c r="F36" s="20">
        <v>6</v>
      </c>
      <c r="G36" s="8" t="s">
        <v>54</v>
      </c>
      <c r="H36" s="20">
        <v>6</v>
      </c>
      <c r="I36" s="8" t="s">
        <v>96</v>
      </c>
      <c r="J36" s="19">
        <v>0</v>
      </c>
      <c r="K36" s="8" t="s">
        <v>184</v>
      </c>
      <c r="L36" s="8" t="s">
        <v>55</v>
      </c>
      <c r="M36" s="8" t="s">
        <v>55</v>
      </c>
      <c r="N36" s="8" t="s">
        <v>55</v>
      </c>
    </row>
    <row r="37" spans="1:14" ht="12.75" customHeight="1" x14ac:dyDescent="0.2">
      <c r="A37" s="8" t="s">
        <v>53</v>
      </c>
      <c r="B37" s="18">
        <v>53611</v>
      </c>
      <c r="C37" s="19">
        <v>0</v>
      </c>
      <c r="D37" s="8" t="s">
        <v>87</v>
      </c>
      <c r="E37" s="20">
        <v>0</v>
      </c>
      <c r="F37" s="20">
        <v>0</v>
      </c>
      <c r="G37" s="8" t="s">
        <v>54</v>
      </c>
      <c r="H37" s="20">
        <v>0</v>
      </c>
      <c r="I37" s="8" t="s">
        <v>88</v>
      </c>
      <c r="J37" s="19">
        <v>0</v>
      </c>
      <c r="K37" s="8" t="s">
        <v>89</v>
      </c>
      <c r="L37" s="8" t="s">
        <v>55</v>
      </c>
      <c r="M37" s="8" t="s">
        <v>55</v>
      </c>
      <c r="N37" s="8" t="s">
        <v>55</v>
      </c>
    </row>
    <row r="38" spans="1:14" ht="12.75" customHeight="1" x14ac:dyDescent="0.2">
      <c r="A38" s="8" t="s">
        <v>56</v>
      </c>
      <c r="B38" s="18">
        <v>53612</v>
      </c>
      <c r="C38" s="19">
        <v>0</v>
      </c>
      <c r="D38" s="8" t="s">
        <v>143</v>
      </c>
      <c r="E38" s="20">
        <v>0</v>
      </c>
      <c r="F38" s="20">
        <v>1</v>
      </c>
      <c r="G38" s="8" t="s">
        <v>54</v>
      </c>
      <c r="H38" s="20">
        <v>1</v>
      </c>
      <c r="I38" s="8" t="s">
        <v>144</v>
      </c>
      <c r="J38" s="19">
        <v>0</v>
      </c>
      <c r="K38" s="8" t="s">
        <v>145</v>
      </c>
      <c r="L38" s="8" t="s">
        <v>55</v>
      </c>
      <c r="M38" s="8" t="s">
        <v>55</v>
      </c>
      <c r="N38" s="8" t="s">
        <v>55</v>
      </c>
    </row>
    <row r="39" spans="1:14" ht="12.75" customHeight="1" x14ac:dyDescent="0.2">
      <c r="A39" s="8" t="s">
        <v>56</v>
      </c>
      <c r="B39" s="18">
        <v>53613</v>
      </c>
      <c r="C39" s="19">
        <v>0</v>
      </c>
      <c r="D39" s="8" t="s">
        <v>185</v>
      </c>
      <c r="E39" s="20">
        <v>0</v>
      </c>
      <c r="F39" s="20">
        <v>1</v>
      </c>
      <c r="G39" s="8" t="s">
        <v>54</v>
      </c>
      <c r="H39" s="20">
        <v>1</v>
      </c>
      <c r="I39" s="8" t="s">
        <v>186</v>
      </c>
      <c r="J39" s="19">
        <v>0</v>
      </c>
      <c r="K39" s="8" t="s">
        <v>187</v>
      </c>
      <c r="L39" s="8" t="s">
        <v>55</v>
      </c>
      <c r="M39" s="8" t="s">
        <v>55</v>
      </c>
      <c r="N39" s="8" t="s">
        <v>55</v>
      </c>
    </row>
    <row r="40" spans="1:14" ht="12.75" customHeight="1" x14ac:dyDescent="0.2">
      <c r="A40" s="8" t="s">
        <v>56</v>
      </c>
      <c r="B40" s="18">
        <v>53614</v>
      </c>
      <c r="C40" s="19">
        <v>0</v>
      </c>
      <c r="D40" s="8" t="s">
        <v>188</v>
      </c>
      <c r="E40" s="20">
        <v>0</v>
      </c>
      <c r="F40" s="20">
        <v>1</v>
      </c>
      <c r="G40" s="8" t="s">
        <v>54</v>
      </c>
      <c r="H40" s="20">
        <v>1</v>
      </c>
      <c r="I40" s="8" t="s">
        <v>189</v>
      </c>
      <c r="J40" s="19">
        <v>0</v>
      </c>
      <c r="K40" s="8" t="s">
        <v>190</v>
      </c>
      <c r="L40" s="8" t="s">
        <v>55</v>
      </c>
      <c r="M40" s="8" t="s">
        <v>55</v>
      </c>
      <c r="N40" s="8" t="s">
        <v>55</v>
      </c>
    </row>
    <row r="41" spans="1:14" ht="12.75" customHeight="1" x14ac:dyDescent="0.2">
      <c r="A41" s="8" t="s">
        <v>56</v>
      </c>
      <c r="B41" s="18">
        <v>53615</v>
      </c>
      <c r="C41" s="19">
        <v>0</v>
      </c>
      <c r="D41" s="8" t="s">
        <v>191</v>
      </c>
      <c r="E41" s="20">
        <v>0</v>
      </c>
      <c r="F41" s="20">
        <v>2</v>
      </c>
      <c r="G41" s="8" t="s">
        <v>54</v>
      </c>
      <c r="H41" s="20">
        <v>2</v>
      </c>
      <c r="I41" s="8" t="s">
        <v>192</v>
      </c>
      <c r="J41" s="19">
        <v>0</v>
      </c>
      <c r="K41" s="8" t="s">
        <v>193</v>
      </c>
      <c r="L41" s="8" t="s">
        <v>55</v>
      </c>
      <c r="M41" s="8" t="s">
        <v>55</v>
      </c>
      <c r="N41" s="8" t="s">
        <v>55</v>
      </c>
    </row>
    <row r="42" spans="1:14" ht="12.75" customHeight="1" x14ac:dyDescent="0.2">
      <c r="A42" s="8" t="s">
        <v>56</v>
      </c>
      <c r="B42" s="18">
        <v>53616</v>
      </c>
      <c r="C42" s="19">
        <v>0</v>
      </c>
      <c r="D42" s="8" t="s">
        <v>194</v>
      </c>
      <c r="E42" s="20">
        <v>0</v>
      </c>
      <c r="F42" s="20">
        <v>5</v>
      </c>
      <c r="G42" s="8" t="s">
        <v>54</v>
      </c>
      <c r="H42" s="20">
        <v>5</v>
      </c>
      <c r="I42" s="8" t="s">
        <v>195</v>
      </c>
      <c r="J42" s="19">
        <v>0</v>
      </c>
      <c r="K42" s="8" t="s">
        <v>196</v>
      </c>
      <c r="L42" s="8" t="s">
        <v>55</v>
      </c>
      <c r="M42" s="8" t="s">
        <v>55</v>
      </c>
      <c r="N42" s="8" t="s">
        <v>55</v>
      </c>
    </row>
    <row r="43" spans="1:14" ht="12.75" customHeight="1" x14ac:dyDescent="0.2">
      <c r="A43" s="8" t="s">
        <v>56</v>
      </c>
      <c r="B43" s="18">
        <v>53617</v>
      </c>
      <c r="C43" s="19">
        <v>0</v>
      </c>
      <c r="D43" s="8" t="s">
        <v>197</v>
      </c>
      <c r="E43" s="20">
        <v>0</v>
      </c>
      <c r="F43" s="20">
        <v>5</v>
      </c>
      <c r="G43" s="8" t="s">
        <v>54</v>
      </c>
      <c r="H43" s="20">
        <v>5</v>
      </c>
      <c r="I43" s="8" t="s">
        <v>198</v>
      </c>
      <c r="J43" s="19">
        <v>0</v>
      </c>
      <c r="K43" s="8" t="s">
        <v>199</v>
      </c>
      <c r="L43" s="8" t="s">
        <v>55</v>
      </c>
      <c r="M43" s="8" t="s">
        <v>55</v>
      </c>
      <c r="N43" s="8" t="s">
        <v>55</v>
      </c>
    </row>
    <row r="44" spans="1:14" ht="12.75" customHeight="1" x14ac:dyDescent="0.2">
      <c r="A44" s="8" t="s">
        <v>70</v>
      </c>
      <c r="B44" s="18">
        <v>53618</v>
      </c>
      <c r="C44" s="19">
        <v>0</v>
      </c>
      <c r="D44" s="8" t="s">
        <v>200</v>
      </c>
      <c r="E44" s="20">
        <v>0</v>
      </c>
      <c r="F44" s="20">
        <v>8</v>
      </c>
      <c r="G44" s="8" t="s">
        <v>54</v>
      </c>
      <c r="H44" s="20">
        <v>8</v>
      </c>
      <c r="I44" s="8" t="s">
        <v>201</v>
      </c>
      <c r="J44" s="19">
        <v>0</v>
      </c>
      <c r="K44" s="8" t="s">
        <v>202</v>
      </c>
      <c r="L44" s="8" t="s">
        <v>55</v>
      </c>
      <c r="M44" s="8" t="s">
        <v>55</v>
      </c>
      <c r="N44" s="8" t="s">
        <v>55</v>
      </c>
    </row>
    <row r="45" spans="1:14" ht="12.75" customHeight="1" x14ac:dyDescent="0.2">
      <c r="A45" s="8" t="s">
        <v>70</v>
      </c>
      <c r="B45" s="18">
        <v>53619</v>
      </c>
      <c r="C45" s="19">
        <v>0</v>
      </c>
      <c r="D45" s="8" t="s">
        <v>203</v>
      </c>
      <c r="E45" s="20">
        <v>0</v>
      </c>
      <c r="F45" s="20">
        <v>3</v>
      </c>
      <c r="G45" s="8" t="s">
        <v>54</v>
      </c>
      <c r="H45" s="20">
        <v>3</v>
      </c>
      <c r="I45" s="8" t="s">
        <v>204</v>
      </c>
      <c r="J45" s="19">
        <v>0</v>
      </c>
      <c r="K45" s="8" t="s">
        <v>205</v>
      </c>
      <c r="L45" s="8" t="s">
        <v>55</v>
      </c>
      <c r="M45" s="8" t="s">
        <v>55</v>
      </c>
      <c r="N45" s="8" t="s">
        <v>55</v>
      </c>
    </row>
    <row r="46" spans="1:14" ht="12.75" customHeight="1" x14ac:dyDescent="0.2">
      <c r="A46" s="8" t="s">
        <v>70</v>
      </c>
      <c r="B46" s="18">
        <v>53620</v>
      </c>
      <c r="C46" s="19">
        <v>0</v>
      </c>
      <c r="D46" s="8" t="s">
        <v>206</v>
      </c>
      <c r="E46" s="20">
        <v>0</v>
      </c>
      <c r="F46" s="20">
        <v>6</v>
      </c>
      <c r="G46" s="8" t="s">
        <v>54</v>
      </c>
      <c r="H46" s="20">
        <v>6</v>
      </c>
      <c r="I46" s="8" t="s">
        <v>207</v>
      </c>
      <c r="J46" s="19">
        <v>0</v>
      </c>
      <c r="K46" s="8" t="s">
        <v>208</v>
      </c>
      <c r="L46" s="8" t="s">
        <v>55</v>
      </c>
      <c r="M46" s="8" t="s">
        <v>55</v>
      </c>
      <c r="N46" s="8" t="s">
        <v>55</v>
      </c>
    </row>
    <row r="47" spans="1:14" ht="12.75" customHeight="1" x14ac:dyDescent="0.2">
      <c r="A47" s="8" t="s">
        <v>53</v>
      </c>
      <c r="B47" s="18">
        <v>53621</v>
      </c>
      <c r="C47" s="19">
        <v>0</v>
      </c>
      <c r="D47" s="8" t="s">
        <v>209</v>
      </c>
      <c r="E47" s="20">
        <v>0</v>
      </c>
      <c r="F47" s="20">
        <v>0</v>
      </c>
      <c r="G47" s="8" t="s">
        <v>54</v>
      </c>
      <c r="H47" s="20">
        <v>0</v>
      </c>
      <c r="I47" s="8" t="s">
        <v>210</v>
      </c>
      <c r="J47" s="19">
        <v>0</v>
      </c>
      <c r="K47" s="8" t="s">
        <v>209</v>
      </c>
      <c r="L47" s="8" t="s">
        <v>55</v>
      </c>
      <c r="M47" s="8" t="s">
        <v>55</v>
      </c>
      <c r="N47" s="8" t="s">
        <v>55</v>
      </c>
    </row>
    <row r="48" spans="1:14" ht="12.75" customHeight="1" x14ac:dyDescent="0.2">
      <c r="A48" s="8" t="s">
        <v>70</v>
      </c>
      <c r="B48" s="18">
        <v>53622</v>
      </c>
      <c r="C48" s="19">
        <v>0</v>
      </c>
      <c r="D48" s="8" t="s">
        <v>97</v>
      </c>
      <c r="E48" s="20">
        <v>0</v>
      </c>
      <c r="F48" s="20">
        <v>4</v>
      </c>
      <c r="G48" s="8" t="s">
        <v>54</v>
      </c>
      <c r="H48" s="20">
        <v>4</v>
      </c>
      <c r="I48" s="8" t="s">
        <v>98</v>
      </c>
      <c r="J48" s="19">
        <v>0</v>
      </c>
      <c r="K48" s="8" t="s">
        <v>211</v>
      </c>
      <c r="L48" s="8" t="s">
        <v>55</v>
      </c>
      <c r="M48" s="8" t="s">
        <v>55</v>
      </c>
      <c r="N48" s="8" t="s">
        <v>55</v>
      </c>
    </row>
    <row r="49" spans="1:14" ht="12.75" customHeight="1" x14ac:dyDescent="0.2">
      <c r="A49" s="8" t="s">
        <v>70</v>
      </c>
      <c r="B49" s="18">
        <v>53623</v>
      </c>
      <c r="C49" s="19">
        <v>0</v>
      </c>
      <c r="D49" s="8" t="s">
        <v>99</v>
      </c>
      <c r="E49" s="20">
        <v>0</v>
      </c>
      <c r="F49" s="20">
        <v>8</v>
      </c>
      <c r="G49" s="8" t="s">
        <v>54</v>
      </c>
      <c r="H49" s="20">
        <v>8</v>
      </c>
      <c r="I49" s="8" t="s">
        <v>100</v>
      </c>
      <c r="J49" s="19">
        <v>0</v>
      </c>
      <c r="K49" s="8" t="s">
        <v>146</v>
      </c>
      <c r="L49" s="8" t="s">
        <v>55</v>
      </c>
      <c r="M49" s="8" t="s">
        <v>55</v>
      </c>
      <c r="N49" s="8" t="s">
        <v>55</v>
      </c>
    </row>
    <row r="50" spans="1:14" ht="12.75" customHeight="1" x14ac:dyDescent="0.2">
      <c r="A50" s="8" t="s">
        <v>70</v>
      </c>
      <c r="B50" s="18">
        <v>53624</v>
      </c>
      <c r="C50" s="19">
        <v>0</v>
      </c>
      <c r="D50" s="8" t="s">
        <v>101</v>
      </c>
      <c r="E50" s="20">
        <v>0</v>
      </c>
      <c r="F50" s="20">
        <v>18</v>
      </c>
      <c r="G50" s="8" t="s">
        <v>54</v>
      </c>
      <c r="H50" s="20">
        <v>18</v>
      </c>
      <c r="I50" s="8" t="s">
        <v>102</v>
      </c>
      <c r="J50" s="19">
        <v>0</v>
      </c>
      <c r="K50" s="8" t="s">
        <v>147</v>
      </c>
      <c r="L50" s="8" t="s">
        <v>55</v>
      </c>
      <c r="M50" s="8" t="s">
        <v>55</v>
      </c>
      <c r="N50" s="8" t="s">
        <v>55</v>
      </c>
    </row>
    <row r="51" spans="1:14" ht="12.75" customHeight="1" x14ac:dyDescent="0.2">
      <c r="A51" s="8" t="s">
        <v>70</v>
      </c>
      <c r="B51" s="18">
        <v>53625</v>
      </c>
      <c r="C51" s="19">
        <v>0</v>
      </c>
      <c r="D51" s="8" t="s">
        <v>103</v>
      </c>
      <c r="E51" s="20">
        <v>0</v>
      </c>
      <c r="F51" s="20">
        <v>6</v>
      </c>
      <c r="G51" s="8" t="s">
        <v>54</v>
      </c>
      <c r="H51" s="20">
        <v>6</v>
      </c>
      <c r="I51" s="8" t="s">
        <v>104</v>
      </c>
      <c r="J51" s="19">
        <v>0</v>
      </c>
      <c r="K51" s="8" t="s">
        <v>212</v>
      </c>
      <c r="L51" s="8" t="s">
        <v>55</v>
      </c>
      <c r="M51" s="8" t="s">
        <v>55</v>
      </c>
      <c r="N51" s="8" t="s">
        <v>55</v>
      </c>
    </row>
    <row r="52" spans="1:14" ht="12.75" customHeight="1" x14ac:dyDescent="0.2">
      <c r="A52" s="8" t="s">
        <v>70</v>
      </c>
      <c r="B52" s="18">
        <v>53626</v>
      </c>
      <c r="C52" s="19">
        <v>0</v>
      </c>
      <c r="D52" s="8" t="s">
        <v>148</v>
      </c>
      <c r="E52" s="20">
        <v>0</v>
      </c>
      <c r="F52" s="20">
        <v>36</v>
      </c>
      <c r="G52" s="8" t="s">
        <v>54</v>
      </c>
      <c r="H52" s="20">
        <v>36</v>
      </c>
      <c r="I52" s="8" t="s">
        <v>149</v>
      </c>
      <c r="J52" s="19">
        <v>0</v>
      </c>
      <c r="K52" s="8" t="s">
        <v>213</v>
      </c>
      <c r="L52" s="8" t="s">
        <v>55</v>
      </c>
      <c r="M52" s="8" t="s">
        <v>55</v>
      </c>
      <c r="N52" s="8" t="s">
        <v>55</v>
      </c>
    </row>
    <row r="53" spans="1:14" ht="12.75" customHeight="1" x14ac:dyDescent="0.2">
      <c r="A53" s="8" t="s">
        <v>53</v>
      </c>
      <c r="B53" s="18">
        <v>53627</v>
      </c>
      <c r="C53" s="19">
        <v>0</v>
      </c>
      <c r="D53" s="8" t="s">
        <v>105</v>
      </c>
      <c r="E53" s="20">
        <v>0</v>
      </c>
      <c r="F53" s="20">
        <v>0</v>
      </c>
      <c r="G53" s="8" t="s">
        <v>54</v>
      </c>
      <c r="H53" s="20">
        <v>0</v>
      </c>
      <c r="I53" s="8" t="s">
        <v>106</v>
      </c>
      <c r="J53" s="19">
        <v>0</v>
      </c>
      <c r="K53" s="8" t="s">
        <v>105</v>
      </c>
      <c r="L53" s="8" t="s">
        <v>55</v>
      </c>
      <c r="M53" s="8" t="s">
        <v>55</v>
      </c>
      <c r="N53" s="8" t="s">
        <v>55</v>
      </c>
    </row>
    <row r="54" spans="1:14" ht="12.75" customHeight="1" x14ac:dyDescent="0.2">
      <c r="A54" s="8" t="s">
        <v>70</v>
      </c>
      <c r="B54" s="18">
        <v>53628</v>
      </c>
      <c r="C54" s="19">
        <v>0</v>
      </c>
      <c r="D54" s="8" t="s">
        <v>107</v>
      </c>
      <c r="E54" s="20">
        <v>0</v>
      </c>
      <c r="F54" s="20">
        <v>5</v>
      </c>
      <c r="G54" s="8" t="s">
        <v>54</v>
      </c>
      <c r="H54" s="20">
        <v>5</v>
      </c>
      <c r="I54" s="8" t="s">
        <v>108</v>
      </c>
      <c r="J54" s="19">
        <v>0</v>
      </c>
      <c r="K54" s="8" t="s">
        <v>214</v>
      </c>
      <c r="L54" s="8" t="s">
        <v>55</v>
      </c>
      <c r="M54" s="8" t="s">
        <v>55</v>
      </c>
      <c r="N54" s="8" t="s">
        <v>55</v>
      </c>
    </row>
    <row r="55" spans="1:14" ht="12.75" customHeight="1" x14ac:dyDescent="0.2">
      <c r="A55" s="8" t="s">
        <v>70</v>
      </c>
      <c r="B55" s="18">
        <v>53629</v>
      </c>
      <c r="C55" s="19">
        <v>0</v>
      </c>
      <c r="D55" s="8" t="s">
        <v>215</v>
      </c>
      <c r="E55" s="20">
        <v>0</v>
      </c>
      <c r="F55" s="20">
        <v>12</v>
      </c>
      <c r="G55" s="8" t="s">
        <v>54</v>
      </c>
      <c r="H55" s="20">
        <v>12</v>
      </c>
      <c r="I55" s="8" t="s">
        <v>216</v>
      </c>
      <c r="J55" s="19">
        <v>0</v>
      </c>
      <c r="K55" s="8" t="s">
        <v>217</v>
      </c>
      <c r="L55" s="8" t="s">
        <v>55</v>
      </c>
      <c r="M55" s="8" t="s">
        <v>55</v>
      </c>
      <c r="N55" s="8" t="s">
        <v>55</v>
      </c>
    </row>
    <row r="56" spans="1:14" ht="12.75" customHeight="1" x14ac:dyDescent="0.2">
      <c r="A56" s="8" t="s">
        <v>70</v>
      </c>
      <c r="B56" s="18">
        <v>53630</v>
      </c>
      <c r="C56" s="19">
        <v>0</v>
      </c>
      <c r="D56" s="8" t="s">
        <v>150</v>
      </c>
      <c r="E56" s="20">
        <v>0</v>
      </c>
      <c r="F56" s="20">
        <v>20</v>
      </c>
      <c r="G56" s="8" t="s">
        <v>54</v>
      </c>
      <c r="H56" s="20">
        <v>20</v>
      </c>
      <c r="I56" s="8" t="s">
        <v>151</v>
      </c>
      <c r="J56" s="19">
        <v>0</v>
      </c>
      <c r="K56" s="8" t="s">
        <v>152</v>
      </c>
      <c r="L56" s="8" t="s">
        <v>55</v>
      </c>
      <c r="M56" s="8" t="s">
        <v>55</v>
      </c>
      <c r="N56" s="8" t="s">
        <v>55</v>
      </c>
    </row>
    <row r="57" spans="1:14" ht="12.75" customHeight="1" x14ac:dyDescent="0.2">
      <c r="A57" s="8" t="s">
        <v>109</v>
      </c>
      <c r="B57" s="18">
        <v>53631</v>
      </c>
      <c r="C57" s="19">
        <v>0</v>
      </c>
      <c r="D57" s="8" t="s">
        <v>110</v>
      </c>
      <c r="E57" s="20">
        <v>0</v>
      </c>
      <c r="F57" s="20">
        <v>3</v>
      </c>
      <c r="G57" s="8" t="s">
        <v>54</v>
      </c>
      <c r="H57" s="20">
        <v>3</v>
      </c>
      <c r="I57" s="8" t="s">
        <v>111</v>
      </c>
      <c r="J57" s="19">
        <v>0</v>
      </c>
      <c r="K57" s="8" t="s">
        <v>112</v>
      </c>
      <c r="L57" s="8" t="s">
        <v>55</v>
      </c>
      <c r="M57" s="8" t="s">
        <v>55</v>
      </c>
      <c r="N57" s="8" t="s">
        <v>55</v>
      </c>
    </row>
    <row r="58" spans="1:14" ht="12.75" customHeight="1" x14ac:dyDescent="0.2">
      <c r="A58" s="8" t="s">
        <v>70</v>
      </c>
      <c r="B58" s="18">
        <v>53632</v>
      </c>
      <c r="C58" s="19">
        <v>0</v>
      </c>
      <c r="D58" s="8" t="s">
        <v>218</v>
      </c>
      <c r="E58" s="20">
        <v>0</v>
      </c>
      <c r="F58" s="20">
        <v>48</v>
      </c>
      <c r="G58" s="8" t="s">
        <v>54</v>
      </c>
      <c r="H58" s="20">
        <v>48</v>
      </c>
      <c r="I58" s="8" t="s">
        <v>219</v>
      </c>
      <c r="J58" s="19">
        <v>0</v>
      </c>
      <c r="K58" s="8" t="s">
        <v>220</v>
      </c>
      <c r="L58" s="8" t="s">
        <v>55</v>
      </c>
      <c r="M58" s="8" t="s">
        <v>55</v>
      </c>
      <c r="N58" s="8" t="s">
        <v>55</v>
      </c>
    </row>
    <row r="59" spans="1:14" ht="12.75" customHeight="1" x14ac:dyDescent="0.2">
      <c r="A59" s="8" t="s">
        <v>70</v>
      </c>
      <c r="B59" s="18">
        <v>53633</v>
      </c>
      <c r="C59" s="19">
        <v>0</v>
      </c>
      <c r="D59" s="8" t="s">
        <v>113</v>
      </c>
      <c r="E59" s="20">
        <v>0</v>
      </c>
      <c r="F59" s="20">
        <v>32</v>
      </c>
      <c r="G59" s="8" t="s">
        <v>54</v>
      </c>
      <c r="H59" s="20">
        <v>32</v>
      </c>
      <c r="I59" s="8" t="s">
        <v>114</v>
      </c>
      <c r="J59" s="19">
        <v>0</v>
      </c>
      <c r="K59" s="8" t="s">
        <v>221</v>
      </c>
      <c r="L59" s="8" t="s">
        <v>55</v>
      </c>
      <c r="M59" s="8" t="s">
        <v>55</v>
      </c>
      <c r="N59" s="8" t="s">
        <v>55</v>
      </c>
    </row>
    <row r="60" spans="1:14" ht="12.75" customHeight="1" x14ac:dyDescent="0.2">
      <c r="A60" s="8" t="s">
        <v>70</v>
      </c>
      <c r="B60" s="18">
        <v>53634</v>
      </c>
      <c r="C60" s="19">
        <v>0</v>
      </c>
      <c r="D60" s="8" t="s">
        <v>115</v>
      </c>
      <c r="E60" s="20">
        <v>0</v>
      </c>
      <c r="F60" s="20">
        <v>8</v>
      </c>
      <c r="G60" s="8" t="s">
        <v>54</v>
      </c>
      <c r="H60" s="20">
        <v>8</v>
      </c>
      <c r="I60" s="8" t="s">
        <v>116</v>
      </c>
      <c r="J60" s="19">
        <v>0</v>
      </c>
      <c r="K60" s="8" t="s">
        <v>222</v>
      </c>
      <c r="L60" s="8" t="s">
        <v>55</v>
      </c>
      <c r="M60" s="8" t="s">
        <v>55</v>
      </c>
      <c r="N60" s="8" t="s">
        <v>55</v>
      </c>
    </row>
    <row r="61" spans="1:14" ht="12.75" customHeight="1" x14ac:dyDescent="0.2">
      <c r="A61" s="8" t="s">
        <v>70</v>
      </c>
      <c r="B61" s="18">
        <v>53635</v>
      </c>
      <c r="C61" s="19">
        <v>0</v>
      </c>
      <c r="D61" s="8" t="s">
        <v>117</v>
      </c>
      <c r="E61" s="20">
        <v>0</v>
      </c>
      <c r="F61" s="20">
        <v>30</v>
      </c>
      <c r="G61" s="8" t="s">
        <v>54</v>
      </c>
      <c r="H61" s="20">
        <v>30</v>
      </c>
      <c r="I61" s="8" t="s">
        <v>118</v>
      </c>
      <c r="J61" s="19">
        <v>0</v>
      </c>
      <c r="K61" s="8" t="s">
        <v>223</v>
      </c>
      <c r="L61" s="8" t="s">
        <v>55</v>
      </c>
      <c r="M61" s="8" t="s">
        <v>55</v>
      </c>
      <c r="N61" s="8" t="s">
        <v>55</v>
      </c>
    </row>
    <row r="62" spans="1:14" ht="12.75" customHeight="1" x14ac:dyDescent="0.2">
      <c r="A62" s="8" t="s">
        <v>70</v>
      </c>
      <c r="B62" s="18">
        <v>53636</v>
      </c>
      <c r="C62" s="19">
        <v>0</v>
      </c>
      <c r="D62" s="8" t="s">
        <v>153</v>
      </c>
      <c r="E62" s="20">
        <v>0</v>
      </c>
      <c r="F62" s="20">
        <v>5</v>
      </c>
      <c r="G62" s="8" t="s">
        <v>54</v>
      </c>
      <c r="H62" s="20">
        <v>5</v>
      </c>
      <c r="I62" s="8" t="s">
        <v>154</v>
      </c>
      <c r="J62" s="19">
        <v>0</v>
      </c>
      <c r="K62" s="8" t="s">
        <v>224</v>
      </c>
      <c r="L62" s="8" t="s">
        <v>55</v>
      </c>
      <c r="M62" s="8" t="s">
        <v>55</v>
      </c>
      <c r="N62" s="8" t="s">
        <v>55</v>
      </c>
    </row>
    <row r="63" spans="1:14" ht="12.75" customHeight="1" x14ac:dyDescent="0.2">
      <c r="A63" s="8" t="s">
        <v>60</v>
      </c>
      <c r="B63" s="18">
        <v>53637</v>
      </c>
      <c r="C63" s="19">
        <v>0</v>
      </c>
      <c r="D63" s="8" t="s">
        <v>119</v>
      </c>
      <c r="E63" s="20">
        <v>0</v>
      </c>
      <c r="F63" s="20">
        <v>1</v>
      </c>
      <c r="G63" s="8" t="s">
        <v>54</v>
      </c>
      <c r="H63" s="20">
        <v>1</v>
      </c>
      <c r="I63" s="8" t="s">
        <v>120</v>
      </c>
      <c r="J63" s="19">
        <v>0</v>
      </c>
      <c r="K63" s="8" t="s">
        <v>121</v>
      </c>
      <c r="L63" s="8" t="s">
        <v>55</v>
      </c>
      <c r="M63" s="8" t="s">
        <v>55</v>
      </c>
      <c r="N63" s="8" t="s">
        <v>55</v>
      </c>
    </row>
    <row r="64" spans="1:14" ht="12.75" customHeight="1" x14ac:dyDescent="0.2">
      <c r="A64" s="8" t="s">
        <v>70</v>
      </c>
      <c r="B64" s="18">
        <v>53638</v>
      </c>
      <c r="C64" s="19">
        <v>0</v>
      </c>
      <c r="D64" s="8" t="s">
        <v>122</v>
      </c>
      <c r="E64" s="20">
        <v>0</v>
      </c>
      <c r="F64" s="20">
        <v>1</v>
      </c>
      <c r="G64" s="8" t="s">
        <v>54</v>
      </c>
      <c r="H64" s="20">
        <v>1</v>
      </c>
      <c r="I64" s="8" t="s">
        <v>123</v>
      </c>
      <c r="J64" s="19">
        <v>0</v>
      </c>
      <c r="K64" s="8" t="s">
        <v>124</v>
      </c>
      <c r="L64" s="8" t="s">
        <v>55</v>
      </c>
      <c r="M64" s="8" t="s">
        <v>55</v>
      </c>
      <c r="N64" s="8" t="s">
        <v>55</v>
      </c>
    </row>
    <row r="65" spans="1:14" ht="12.75" customHeight="1" x14ac:dyDescent="0.2">
      <c r="A65" s="8" t="s">
        <v>53</v>
      </c>
      <c r="B65" s="18">
        <v>53639</v>
      </c>
      <c r="C65" s="19">
        <v>0</v>
      </c>
      <c r="D65" s="8" t="s">
        <v>125</v>
      </c>
      <c r="E65" s="20">
        <v>0</v>
      </c>
      <c r="F65" s="20">
        <v>0</v>
      </c>
      <c r="G65" s="8" t="s">
        <v>54</v>
      </c>
      <c r="H65" s="20">
        <v>0</v>
      </c>
      <c r="I65" s="8" t="s">
        <v>126</v>
      </c>
      <c r="J65" s="19">
        <v>0</v>
      </c>
      <c r="K65" s="8" t="s">
        <v>127</v>
      </c>
      <c r="L65" s="8" t="s">
        <v>55</v>
      </c>
      <c r="M65" s="8" t="s">
        <v>55</v>
      </c>
      <c r="N65" s="8" t="s">
        <v>55</v>
      </c>
    </row>
    <row r="66" spans="1:14" ht="12.75" customHeight="1" x14ac:dyDescent="0.2">
      <c r="A66" s="8" t="s">
        <v>53</v>
      </c>
      <c r="B66" s="18">
        <v>53640</v>
      </c>
      <c r="C66" s="19">
        <v>0</v>
      </c>
      <c r="D66" s="8" t="s">
        <v>225</v>
      </c>
      <c r="E66" s="20">
        <v>0</v>
      </c>
      <c r="F66" s="20">
        <v>0</v>
      </c>
      <c r="G66" s="8" t="s">
        <v>54</v>
      </c>
      <c r="H66" s="20">
        <v>0</v>
      </c>
      <c r="I66" s="8" t="s">
        <v>226</v>
      </c>
      <c r="J66" s="19">
        <v>0</v>
      </c>
      <c r="K66" s="8" t="s">
        <v>225</v>
      </c>
      <c r="L66" s="8" t="s">
        <v>55</v>
      </c>
      <c r="M66" s="8" t="s">
        <v>55</v>
      </c>
      <c r="N66" s="8" t="s">
        <v>55</v>
      </c>
    </row>
    <row r="67" spans="1:14" ht="12.75" customHeight="1" x14ac:dyDescent="0.2">
      <c r="A67" s="8" t="s">
        <v>53</v>
      </c>
      <c r="B67" s="18">
        <v>53641</v>
      </c>
      <c r="C67" s="19">
        <v>0</v>
      </c>
      <c r="D67" s="8" t="s">
        <v>227</v>
      </c>
      <c r="E67" s="20">
        <v>0</v>
      </c>
      <c r="F67" s="20">
        <v>0</v>
      </c>
      <c r="G67" s="8" t="s">
        <v>54</v>
      </c>
      <c r="H67" s="20">
        <v>0</v>
      </c>
      <c r="I67" s="8" t="s">
        <v>228</v>
      </c>
      <c r="J67" s="19">
        <v>0</v>
      </c>
      <c r="K67" s="8" t="s">
        <v>227</v>
      </c>
      <c r="L67" s="8" t="s">
        <v>55</v>
      </c>
      <c r="M67" s="8" t="s">
        <v>55</v>
      </c>
      <c r="N67" s="8" t="s">
        <v>55</v>
      </c>
    </row>
    <row r="68" spans="1:14" ht="12.75" customHeight="1" x14ac:dyDescent="0.2">
      <c r="A68" s="8" t="s">
        <v>109</v>
      </c>
      <c r="B68" s="18">
        <v>53642</v>
      </c>
      <c r="C68" s="19">
        <v>0</v>
      </c>
      <c r="D68" s="8" t="s">
        <v>128</v>
      </c>
      <c r="E68" s="20">
        <v>0</v>
      </c>
      <c r="F68" s="20">
        <v>2</v>
      </c>
      <c r="G68" s="8" t="s">
        <v>54</v>
      </c>
      <c r="H68" s="20">
        <v>2</v>
      </c>
      <c r="I68" s="8" t="s">
        <v>129</v>
      </c>
      <c r="J68" s="19">
        <v>0</v>
      </c>
      <c r="K68" s="8" t="s">
        <v>130</v>
      </c>
      <c r="L68" s="8" t="s">
        <v>55</v>
      </c>
      <c r="M68" s="8" t="s">
        <v>55</v>
      </c>
      <c r="N68" s="8" t="s">
        <v>55</v>
      </c>
    </row>
    <row r="69" spans="1:14" ht="12.75" customHeight="1" x14ac:dyDescent="0.2">
      <c r="A69" s="8" t="s">
        <v>60</v>
      </c>
      <c r="B69" s="18">
        <v>53643</v>
      </c>
      <c r="C69" s="19">
        <v>0</v>
      </c>
      <c r="D69" s="8" t="s">
        <v>131</v>
      </c>
      <c r="E69" s="20">
        <v>0</v>
      </c>
      <c r="F69" s="20">
        <v>12</v>
      </c>
      <c r="G69" s="8" t="s">
        <v>54</v>
      </c>
      <c r="H69" s="20">
        <v>12</v>
      </c>
      <c r="I69" s="8" t="s">
        <v>132</v>
      </c>
      <c r="J69" s="19">
        <v>0</v>
      </c>
      <c r="K69" s="8" t="s">
        <v>133</v>
      </c>
      <c r="L69" s="8" t="s">
        <v>55</v>
      </c>
      <c r="M69" s="8" t="s">
        <v>55</v>
      </c>
      <c r="N69" s="8" t="s">
        <v>55</v>
      </c>
    </row>
    <row r="70" spans="1:14" ht="12.75" customHeight="1" x14ac:dyDescent="0.2">
      <c r="A70" s="8" t="s">
        <v>53</v>
      </c>
      <c r="B70" s="18">
        <v>53644</v>
      </c>
      <c r="C70" s="19">
        <v>0</v>
      </c>
      <c r="D70" s="8" t="s">
        <v>134</v>
      </c>
      <c r="E70" s="20">
        <v>0</v>
      </c>
      <c r="F70" s="20">
        <v>0</v>
      </c>
      <c r="G70" s="8" t="s">
        <v>54</v>
      </c>
      <c r="H70" s="20">
        <v>0</v>
      </c>
      <c r="I70" s="8" t="s">
        <v>135</v>
      </c>
      <c r="J70" s="19">
        <v>0</v>
      </c>
      <c r="K70" s="8" t="s">
        <v>134</v>
      </c>
      <c r="L70" s="8" t="s">
        <v>55</v>
      </c>
      <c r="M70" s="8" t="s">
        <v>55</v>
      </c>
      <c r="N70" s="8" t="s">
        <v>55</v>
      </c>
    </row>
    <row r="71" spans="1:14" ht="12.75" customHeight="1" x14ac:dyDescent="0.2">
      <c r="A71" s="8" t="s">
        <v>53</v>
      </c>
      <c r="B71" s="18">
        <v>53645</v>
      </c>
      <c r="C71" s="19">
        <v>0</v>
      </c>
      <c r="D71" s="8" t="s">
        <v>229</v>
      </c>
      <c r="E71" s="20">
        <v>0</v>
      </c>
      <c r="F71" s="20">
        <v>0</v>
      </c>
      <c r="G71" s="8" t="s">
        <v>54</v>
      </c>
      <c r="H71" s="20">
        <v>0</v>
      </c>
      <c r="I71" s="8" t="s">
        <v>230</v>
      </c>
      <c r="J71" s="19">
        <v>0</v>
      </c>
      <c r="K71" s="8" t="s">
        <v>229</v>
      </c>
      <c r="L71" s="8" t="s">
        <v>55</v>
      </c>
      <c r="M71" s="8" t="s">
        <v>55</v>
      </c>
      <c r="N71" s="8" t="s">
        <v>55</v>
      </c>
    </row>
    <row r="72" spans="1:14" ht="12.75" customHeight="1" x14ac:dyDescent="0.2">
      <c r="A72" s="8" t="s">
        <v>109</v>
      </c>
      <c r="B72" s="18">
        <v>53646</v>
      </c>
      <c r="C72" s="19">
        <v>0</v>
      </c>
      <c r="D72" s="8" t="s">
        <v>231</v>
      </c>
      <c r="E72" s="20">
        <v>0</v>
      </c>
      <c r="F72" s="20">
        <v>2</v>
      </c>
      <c r="G72" s="8" t="s">
        <v>54</v>
      </c>
      <c r="H72" s="20">
        <v>2</v>
      </c>
      <c r="I72" s="8" t="s">
        <v>232</v>
      </c>
      <c r="J72" s="19">
        <v>0</v>
      </c>
      <c r="K72" s="8" t="s">
        <v>233</v>
      </c>
      <c r="L72" s="8" t="s">
        <v>55</v>
      </c>
      <c r="M72" s="8" t="s">
        <v>55</v>
      </c>
      <c r="N72" s="8" t="s">
        <v>55</v>
      </c>
    </row>
    <row r="73" spans="1:14" ht="12.75" customHeight="1" x14ac:dyDescent="0.2">
      <c r="A73" s="8" t="s">
        <v>53</v>
      </c>
      <c r="B73" s="18">
        <v>53647</v>
      </c>
      <c r="C73" s="19">
        <v>0</v>
      </c>
      <c r="D73" s="8" t="s">
        <v>234</v>
      </c>
      <c r="E73" s="20">
        <v>0</v>
      </c>
      <c r="F73" s="20">
        <v>0</v>
      </c>
      <c r="G73" s="8" t="s">
        <v>54</v>
      </c>
      <c r="H73" s="20">
        <v>0</v>
      </c>
      <c r="I73" s="8" t="s">
        <v>235</v>
      </c>
      <c r="J73" s="19">
        <v>0</v>
      </c>
      <c r="K73" s="8" t="s">
        <v>234</v>
      </c>
      <c r="L73" s="8" t="s">
        <v>55</v>
      </c>
      <c r="M73" s="8" t="s">
        <v>55</v>
      </c>
      <c r="N73" s="8" t="s">
        <v>55</v>
      </c>
    </row>
    <row r="74" spans="1:14" ht="12.75" customHeight="1" x14ac:dyDescent="0.2">
      <c r="A74" s="8" t="s">
        <v>53</v>
      </c>
      <c r="B74" s="18">
        <v>53648</v>
      </c>
      <c r="C74" s="19">
        <v>0</v>
      </c>
      <c r="D74" s="8" t="s">
        <v>236</v>
      </c>
      <c r="E74" s="20">
        <v>0</v>
      </c>
      <c r="F74" s="20">
        <v>0</v>
      </c>
      <c r="G74" s="8" t="s">
        <v>54</v>
      </c>
      <c r="H74" s="20">
        <v>0</v>
      </c>
      <c r="I74" s="8" t="s">
        <v>237</v>
      </c>
      <c r="J74" s="19">
        <v>0</v>
      </c>
      <c r="K74" s="8" t="s">
        <v>236</v>
      </c>
      <c r="L74" s="8" t="s">
        <v>55</v>
      </c>
      <c r="M74" s="8" t="s">
        <v>55</v>
      </c>
      <c r="N74" s="8" t="s">
        <v>55</v>
      </c>
    </row>
    <row r="75" spans="1:14" ht="12.75" customHeight="1" x14ac:dyDescent="0.2">
      <c r="A75" s="8" t="s">
        <v>60</v>
      </c>
      <c r="B75" s="18">
        <v>53649</v>
      </c>
      <c r="C75" s="19">
        <v>0</v>
      </c>
      <c r="D75" s="8" t="s">
        <v>238</v>
      </c>
      <c r="E75" s="20">
        <v>0</v>
      </c>
      <c r="F75" s="20">
        <v>3</v>
      </c>
      <c r="G75" s="8" t="s">
        <v>54</v>
      </c>
      <c r="H75" s="20">
        <v>3</v>
      </c>
      <c r="I75" s="8" t="s">
        <v>239</v>
      </c>
      <c r="J75" s="19">
        <v>0</v>
      </c>
      <c r="K75" s="8" t="s">
        <v>240</v>
      </c>
      <c r="L75" s="8" t="s">
        <v>55</v>
      </c>
      <c r="M75" s="8" t="s">
        <v>55</v>
      </c>
      <c r="N75" s="8" t="s">
        <v>55</v>
      </c>
    </row>
    <row r="76" spans="1:14" ht="12.75" customHeight="1" x14ac:dyDescent="0.2">
      <c r="A76" s="8" t="s">
        <v>53</v>
      </c>
      <c r="B76" s="18">
        <v>53650</v>
      </c>
      <c r="C76" s="19">
        <v>0</v>
      </c>
      <c r="D76" s="8" t="s">
        <v>61</v>
      </c>
      <c r="E76" s="20">
        <v>0</v>
      </c>
      <c r="F76" s="20">
        <v>0</v>
      </c>
      <c r="G76" s="8" t="s">
        <v>54</v>
      </c>
      <c r="H76" s="20">
        <v>0</v>
      </c>
      <c r="I76" s="8" t="s">
        <v>62</v>
      </c>
      <c r="J76" s="19">
        <v>0</v>
      </c>
      <c r="K76" s="8" t="s">
        <v>63</v>
      </c>
      <c r="L76" s="8" t="s">
        <v>55</v>
      </c>
      <c r="M76" s="8" t="s">
        <v>55</v>
      </c>
      <c r="N76" s="8" t="s">
        <v>55</v>
      </c>
    </row>
    <row r="77" spans="1:14" ht="12.75" customHeight="1" x14ac:dyDescent="0.2">
      <c r="A77" s="8" t="s">
        <v>64</v>
      </c>
      <c r="B77" s="18">
        <v>53651</v>
      </c>
      <c r="C77" s="19">
        <v>0</v>
      </c>
      <c r="D77" s="8" t="s">
        <v>65</v>
      </c>
      <c r="E77" s="20">
        <v>0</v>
      </c>
      <c r="F77" s="20">
        <v>5</v>
      </c>
      <c r="G77" s="8" t="s">
        <v>54</v>
      </c>
      <c r="H77" s="20">
        <v>5</v>
      </c>
      <c r="I77" s="8" t="s">
        <v>66</v>
      </c>
      <c r="J77" s="19">
        <v>0</v>
      </c>
      <c r="K77" s="8" t="s">
        <v>67</v>
      </c>
      <c r="L77" s="8" t="s">
        <v>55</v>
      </c>
      <c r="M77" s="8" t="s">
        <v>55</v>
      </c>
      <c r="N77" s="8" t="s">
        <v>55</v>
      </c>
    </row>
    <row r="78" spans="1:14" ht="12.75" customHeight="1" x14ac:dyDescent="0.2"/>
    <row r="79" spans="1:14" ht="12.75" customHeight="1" x14ac:dyDescent="0.2">
      <c r="B79" s="8" t="s">
        <v>16</v>
      </c>
      <c r="C79" s="8" t="s">
        <v>155</v>
      </c>
      <c r="E79" s="8" t="s">
        <v>19</v>
      </c>
      <c r="F79" s="8" t="s">
        <v>19</v>
      </c>
      <c r="G79" s="8" t="s">
        <v>21</v>
      </c>
      <c r="H79" s="8" t="s">
        <v>19</v>
      </c>
      <c r="J79" s="8" t="s">
        <v>19</v>
      </c>
    </row>
    <row r="80" spans="1:14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7" ht="12.75" customHeight="1" x14ac:dyDescent="0.2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38"/>
  <sheetViews>
    <sheetView view="pageBreakPreview" topLeftCell="A274" zoomScale="60" zoomScaleNormal="100" workbookViewId="0">
      <selection sqref="A1:I480"/>
    </sheetView>
  </sheetViews>
  <sheetFormatPr defaultRowHeight="18" x14ac:dyDescent="0.25"/>
  <cols>
    <col min="1" max="1" width="9.5703125" style="30" customWidth="1"/>
    <col min="2" max="2" width="8.42578125" style="30" bestFit="1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8554687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069-25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69</v>
      </c>
    </row>
    <row r="2" spans="1:9" ht="21.75" customHeight="1" x14ac:dyDescent="0.25">
      <c r="A2" s="29" t="s">
        <v>13</v>
      </c>
      <c r="B2" s="31" t="str">
        <f>'Build Plan w Hours'!C7</f>
        <v>.100</v>
      </c>
      <c r="C2" s="40" t="str">
        <f>'Build Plan w Hours'!D7</f>
        <v>Cut nozzle pipe and clean_x000D_
INCL FOR INLET MANIFOLD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A4" s="37" t="s">
        <v>68</v>
      </c>
      <c r="B4" s="38">
        <f>'Build Plan w Hours'!E7</f>
        <v>12</v>
      </c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069-25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69</v>
      </c>
    </row>
    <row r="8" spans="1:9" ht="21.75" customHeight="1" x14ac:dyDescent="0.25">
      <c r="A8" s="29" t="s">
        <v>13</v>
      </c>
      <c r="B8" s="31" t="str">
        <f>'Build Plan w Hours'!C8</f>
        <v>.105</v>
      </c>
      <c r="C8" s="40" t="str">
        <f>'Build Plan w Hours'!D8</f>
        <v>Build nozzles and weld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A10" s="37" t="s">
        <v>68</v>
      </c>
      <c r="B10" s="38">
        <f>'Build Plan w Hours'!E8</f>
        <v>6</v>
      </c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069-25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69</v>
      </c>
    </row>
    <row r="14" spans="1:9" ht="21.75" customHeight="1" x14ac:dyDescent="0.25">
      <c r="A14" s="29" t="s">
        <v>13</v>
      </c>
      <c r="B14" s="31" t="str">
        <f>'Build Plan w Hours'!C9</f>
        <v>.107</v>
      </c>
      <c r="C14" s="40" t="str">
        <f>'Build Plan w Hours'!D9</f>
        <v>Build Repads for Nozzles, drill and tap holes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A16" s="37" t="s">
        <v>68</v>
      </c>
      <c r="B16" s="38">
        <f>'Build Plan w Hours'!E9</f>
        <v>3</v>
      </c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069-25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69</v>
      </c>
    </row>
    <row r="20" spans="1:9" ht="21.75" customHeight="1" x14ac:dyDescent="0.25">
      <c r="A20" s="29" t="s">
        <v>13</v>
      </c>
      <c r="B20" s="31" t="str">
        <f>'Build Plan w Hours'!C10</f>
        <v>.110</v>
      </c>
      <c r="C20" s="40" t="str">
        <f>'Build Plan w Hours'!D10</f>
        <v>Build dip tubes and weld_x000D_
BUILD INLET MANIFOLD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A22" s="37" t="s">
        <v>68</v>
      </c>
      <c r="B22" s="38">
        <f>'Build Plan w Hours'!E10</f>
        <v>30</v>
      </c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069-25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69</v>
      </c>
    </row>
    <row r="26" spans="1:9" ht="21.75" customHeight="1" x14ac:dyDescent="0.25">
      <c r="A26" s="29" t="s">
        <v>13</v>
      </c>
      <c r="B26" s="31" t="str">
        <f>'Build Plan w Hours'!C11</f>
        <v>.155</v>
      </c>
      <c r="C26" s="40" t="str">
        <f>'Build Plan w Hours'!D11</f>
        <v>Burn and clean parts:  lugs, supports, repads, base ring, etc. (CHECK!)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A28" s="37" t="s">
        <v>68</v>
      </c>
      <c r="B28" s="38">
        <f>'Build Plan w Hours'!E11</f>
        <v>40</v>
      </c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069-25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69</v>
      </c>
    </row>
    <row r="32" spans="1:9" ht="21.75" customHeight="1" x14ac:dyDescent="0.25">
      <c r="A32" s="29" t="s">
        <v>13</v>
      </c>
      <c r="B32" s="31" t="str">
        <f>'Build Plan w Hours'!C12</f>
        <v>.156</v>
      </c>
      <c r="C32" s="40">
        <f>'Build Plan w Hours'!D12</f>
        <v>0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A34" s="37" t="s">
        <v>68</v>
      </c>
      <c r="B34" s="38">
        <f>'Build Plan w Hours'!E12</f>
        <v>20</v>
      </c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069-25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69</v>
      </c>
    </row>
    <row r="38" spans="1:9" ht="21.75" customHeight="1" x14ac:dyDescent="0.25">
      <c r="A38" s="29" t="s">
        <v>13</v>
      </c>
      <c r="B38" s="31" t="str">
        <f>'Build Plan w Hours'!C13</f>
        <v>.175</v>
      </c>
      <c r="C38" s="40" t="str">
        <f>'Build Plan w Hours'!D13</f>
        <v>Build and weld base ring - skirt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A40" s="37" t="s">
        <v>68</v>
      </c>
      <c r="B40" s="38">
        <f>'Build Plan w Hours'!E13</f>
        <v>8</v>
      </c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069-25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69</v>
      </c>
    </row>
    <row r="44" spans="1:9" ht="21.75" customHeight="1" x14ac:dyDescent="0.25">
      <c r="A44" s="29" t="s">
        <v>13</v>
      </c>
      <c r="B44" s="31" t="str">
        <f>'Build Plan w Hours'!C14</f>
        <v>.200</v>
      </c>
      <c r="C44" s="40" t="str">
        <f>'Build Plan w Hours'!D14</f>
        <v>Make lift lugs, ground lugs, etc.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A46" s="37" t="s">
        <v>68</v>
      </c>
      <c r="B46" s="38">
        <f>'Build Plan w Hours'!E14</f>
        <v>2</v>
      </c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069-25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69</v>
      </c>
    </row>
    <row r="50" spans="1:9" ht="21.75" customHeight="1" x14ac:dyDescent="0.25">
      <c r="A50" s="29" t="s">
        <v>13</v>
      </c>
      <c r="B50" s="31" t="str">
        <f>'Build Plan w Hours'!C15</f>
        <v>.255</v>
      </c>
      <c r="C50" s="40" t="str">
        <f>'Build Plan w Hours'!D15</f>
        <v>Drill/punch holes_x000D_
BURN HOLES IN MANIFOLD PIPE &amp; REDUCERS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A52" s="37" t="s">
        <v>68</v>
      </c>
      <c r="B52" s="38">
        <f>'Build Plan w Hours'!E15</f>
        <v>10</v>
      </c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069-25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69</v>
      </c>
    </row>
    <row r="56" spans="1:9" ht="21.75" customHeight="1" x14ac:dyDescent="0.25">
      <c r="A56" s="29" t="s">
        <v>13</v>
      </c>
      <c r="B56" s="31" t="str">
        <f>'Build Plan w Hours'!C16</f>
        <v>.261</v>
      </c>
      <c r="C56" s="40" t="str">
        <f>'Build Plan w Hours'!D16</f>
        <v>Miscellaneous Fabrication - Braces, Mounting Plates, Cone Outlet Necks_x000D_
MAKE INLET MANIFOLD PIPE SUPPORTS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A58" s="37" t="s">
        <v>68</v>
      </c>
      <c r="B58" s="38">
        <f>'Build Plan w Hours'!E16</f>
        <v>2</v>
      </c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069-25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69</v>
      </c>
    </row>
    <row r="62" spans="1:9" ht="21.75" customHeight="1" x14ac:dyDescent="0.25">
      <c r="A62" s="29" t="s">
        <v>13</v>
      </c>
      <c r="B62" s="31" t="str">
        <f>'Build Plan w Hours'!C17</f>
        <v>.300</v>
      </c>
      <c r="C62" s="40" t="str">
        <f>'Build Plan w Hours'!D17</f>
        <v>Wrap top and bottom heads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A64" s="37" t="s">
        <v>68</v>
      </c>
      <c r="B64" s="38">
        <f>'Build Plan w Hours'!E17</f>
        <v>2</v>
      </c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069-25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69</v>
      </c>
    </row>
    <row r="68" spans="1:9" ht="21.75" customHeight="1" x14ac:dyDescent="0.25">
      <c r="A68" s="29" t="s">
        <v>13</v>
      </c>
      <c r="B68" s="31" t="str">
        <f>'Build Plan w Hours'!C18</f>
        <v>.QC3</v>
      </c>
      <c r="C68" s="40" t="str">
        <f>'Build Plan w Hours'!D18</f>
        <v>UT Shells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A70" s="37" t="s">
        <v>68</v>
      </c>
      <c r="B70" s="38">
        <f>'Build Plan w Hours'!E18</f>
        <v>0</v>
      </c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069-25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69</v>
      </c>
    </row>
    <row r="74" spans="1:9" ht="21.75" customHeight="1" x14ac:dyDescent="0.25">
      <c r="A74" s="29" t="s">
        <v>13</v>
      </c>
      <c r="B74" s="31" t="str">
        <f>'Build Plan w Hours'!C19</f>
        <v>.305</v>
      </c>
      <c r="C74" s="40" t="str">
        <f>'Build Plan w Hours'!D19</f>
        <v>Shells: bring in plate, square, trim and clean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A76" s="37" t="s">
        <v>68</v>
      </c>
      <c r="B76" s="38">
        <f>'Build Plan w Hours'!E19</f>
        <v>9</v>
      </c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069-25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69</v>
      </c>
    </row>
    <row r="80" spans="1:9" ht="21.75" customHeight="1" x14ac:dyDescent="0.25">
      <c r="A80" s="29" t="s">
        <v>13</v>
      </c>
      <c r="B80" s="31" t="str">
        <f>'Build Plan w Hours'!C20</f>
        <v>.310</v>
      </c>
      <c r="C80" s="40" t="str">
        <f>'Build Plan w Hours'!D20</f>
        <v>Bevel shell plates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A82" s="37" t="s">
        <v>68</v>
      </c>
      <c r="B82" s="38">
        <f>'Build Plan w Hours'!E20</f>
        <v>12</v>
      </c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069-25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69</v>
      </c>
    </row>
    <row r="86" spans="1:9" ht="21.75" customHeight="1" x14ac:dyDescent="0.25">
      <c r="A86" s="29" t="s">
        <v>13</v>
      </c>
      <c r="B86" s="31" t="str">
        <f>'Build Plan w Hours'!C21</f>
        <v>.315</v>
      </c>
      <c r="C86" s="40" t="str">
        <f>'Build Plan w Hours'!D21</f>
        <v>Roll shells, tack and weld inside seams_x000D_
INCL WELD LONG SEAM W/COBOT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A88" s="37" t="s">
        <v>68</v>
      </c>
      <c r="B88" s="38">
        <f>'Build Plan w Hours'!E21</f>
        <v>18</v>
      </c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069-25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69</v>
      </c>
    </row>
    <row r="92" spans="1:9" ht="21.75" customHeight="1" x14ac:dyDescent="0.25">
      <c r="A92" s="29" t="s">
        <v>13</v>
      </c>
      <c r="B92" s="31" t="str">
        <f>'Build Plan w Hours'!C22</f>
        <v>.QC4</v>
      </c>
      <c r="C92" s="40" t="str">
        <f>'Build Plan w Hours'!D22</f>
        <v>QC Inspection - Top/Bottom/Cones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A94" s="37" t="s">
        <v>68</v>
      </c>
      <c r="B94" s="38">
        <f>'Build Plan w Hours'!E22</f>
        <v>0</v>
      </c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069-25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69</v>
      </c>
    </row>
    <row r="98" spans="1:9" ht="21.75" customHeight="1" x14ac:dyDescent="0.25">
      <c r="A98" s="29" t="s">
        <v>13</v>
      </c>
      <c r="B98" s="31" t="str">
        <f>'Build Plan w Hours'!C23</f>
        <v>.355</v>
      </c>
      <c r="C98" s="40" t="str">
        <f>'Build Plan w Hours'!D23</f>
        <v>Lay out top head, burn and clean holes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A100" s="37" t="s">
        <v>68</v>
      </c>
      <c r="B100" s="38">
        <f>'Build Plan w Hours'!E23</f>
        <v>1</v>
      </c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069-25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69</v>
      </c>
    </row>
    <row r="104" spans="1:9" ht="21.75" customHeight="1" x14ac:dyDescent="0.25">
      <c r="A104" s="29" t="s">
        <v>13</v>
      </c>
      <c r="B104" s="31" t="str">
        <f>'Build Plan w Hours'!C24</f>
        <v>.360</v>
      </c>
      <c r="C104" s="40" t="str">
        <f>'Build Plan w Hours'!D24</f>
        <v>Bevel top head_x000D_
CLEAN UP NOZZLE HOLE &amp; PREP FOR FULL PEN WELD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A106" s="37" t="s">
        <v>68</v>
      </c>
      <c r="B106" s="38">
        <f>'Build Plan w Hours'!E24</f>
        <v>1</v>
      </c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069-25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69</v>
      </c>
    </row>
    <row r="110" spans="1:9" ht="21.75" customHeight="1" x14ac:dyDescent="0.25">
      <c r="A110" s="29" t="s">
        <v>13</v>
      </c>
      <c r="B110" s="31" t="str">
        <f>'Build Plan w Hours'!C25</f>
        <v>.365</v>
      </c>
      <c r="C110" s="40" t="str">
        <f>'Build Plan w Hours'!D25</f>
        <v>Set  nozzles, lift lugs, etc. in top head - tack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A112" s="37" t="s">
        <v>68</v>
      </c>
      <c r="B112" s="38">
        <f>'Build Plan w Hours'!E25</f>
        <v>1</v>
      </c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069-25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69</v>
      </c>
    </row>
    <row r="116" spans="1:9" ht="21.75" customHeight="1" x14ac:dyDescent="0.25">
      <c r="A116" s="29" t="s">
        <v>13</v>
      </c>
      <c r="B116" s="31" t="str">
        <f>'Build Plan w Hours'!C26</f>
        <v>.366</v>
      </c>
      <c r="C116" s="40" t="str">
        <f>'Build Plan w Hours'!D26</f>
        <v>Weld out top head nozzles, etc._x000D_
INCL (2) LIFT LUGS W/REPADS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A118" s="37" t="s">
        <v>68</v>
      </c>
      <c r="B118" s="38">
        <f>'Build Plan w Hours'!E26</f>
        <v>6</v>
      </c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069-25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69</v>
      </c>
    </row>
    <row r="122" spans="1:9" ht="21.75" customHeight="1" x14ac:dyDescent="0.25">
      <c r="A122" s="29" t="s">
        <v>13</v>
      </c>
      <c r="B122" s="31" t="str">
        <f>'Build Plan w Hours'!C27</f>
        <v>.QC4</v>
      </c>
      <c r="C122" s="40" t="str">
        <f>'Build Plan w Hours'!D27</f>
        <v>QC Inspection - Top/Bottom/Cones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A124" s="37" t="s">
        <v>68</v>
      </c>
      <c r="B124" s="38">
        <f>'Build Plan w Hours'!E27</f>
        <v>0</v>
      </c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069-25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69</v>
      </c>
    </row>
    <row r="128" spans="1:9" ht="21.75" customHeight="1" x14ac:dyDescent="0.25">
      <c r="A128" s="29" t="s">
        <v>13</v>
      </c>
      <c r="B128" s="31" t="str">
        <f>'Build Plan w Hours'!C28</f>
        <v>.455</v>
      </c>
      <c r="C128" s="40" t="str">
        <f>'Build Plan w Hours'!D28</f>
        <v>Lay out bottom head, burn and clean holes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A130" s="37" t="s">
        <v>68</v>
      </c>
      <c r="B130" s="38">
        <f>'Build Plan w Hours'!E28</f>
        <v>1</v>
      </c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069-25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69</v>
      </c>
    </row>
    <row r="134" spans="1:9" ht="21.75" customHeight="1" x14ac:dyDescent="0.25">
      <c r="A134" s="29" t="s">
        <v>13</v>
      </c>
      <c r="B134" s="31" t="str">
        <f>'Build Plan w Hours'!C29</f>
        <v>.460</v>
      </c>
      <c r="C134" s="40" t="str">
        <f>'Build Plan w Hours'!D29</f>
        <v>Bevel bottom head_x000D_
CLEAN UP NOZZLE HOLE &amp; PREP FOR FULL PEN WELD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A136" s="37" t="s">
        <v>68</v>
      </c>
      <c r="B136" s="38">
        <f>'Build Plan w Hours'!E29</f>
        <v>1</v>
      </c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069-25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69</v>
      </c>
    </row>
    <row r="140" spans="1:9" ht="21.75" customHeight="1" x14ac:dyDescent="0.25">
      <c r="A140" s="29" t="s">
        <v>13</v>
      </c>
      <c r="B140" s="31" t="str">
        <f>'Build Plan w Hours'!C30</f>
        <v>.465</v>
      </c>
      <c r="C140" s="40" t="str">
        <f>'Build Plan w Hours'!D30</f>
        <v>Set  nozzles in bottom head - tack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A142" s="37" t="s">
        <v>68</v>
      </c>
      <c r="B142" s="38">
        <f>'Build Plan w Hours'!E30</f>
        <v>1</v>
      </c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069-25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69</v>
      </c>
    </row>
    <row r="146" spans="1:9" ht="21.75" customHeight="1" x14ac:dyDescent="0.25">
      <c r="A146" s="29" t="s">
        <v>13</v>
      </c>
      <c r="B146" s="31" t="str">
        <f>'Build Plan w Hours'!C31</f>
        <v>.466</v>
      </c>
      <c r="C146" s="40" t="str">
        <f>'Build Plan w Hours'!D31</f>
        <v>Weld nozzles in bottom head; weld complete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A148" s="37" t="s">
        <v>68</v>
      </c>
      <c r="B148" s="38">
        <f>'Build Plan w Hours'!E31</f>
        <v>2</v>
      </c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069-25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69</v>
      </c>
    </row>
    <row r="152" spans="1:9" ht="21.75" customHeight="1" x14ac:dyDescent="0.25">
      <c r="A152" s="29" t="s">
        <v>13</v>
      </c>
      <c r="B152" s="31" t="str">
        <f>'Build Plan w Hours'!C32</f>
        <v>.500</v>
      </c>
      <c r="C152" s="40" t="str">
        <f>'Build Plan w Hours'!D32</f>
        <v>Build skirt - fit and weld shells_x000D_
ROLL (1) SHELL; INCL WELD LONG SEAM W/COBOT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A154" s="37" t="s">
        <v>68</v>
      </c>
      <c r="B154" s="38">
        <f>'Build Plan w Hours'!E32</f>
        <v>5</v>
      </c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069-25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69</v>
      </c>
    </row>
    <row r="158" spans="1:9" ht="21.75" customHeight="1" x14ac:dyDescent="0.25">
      <c r="A158" s="29" t="s">
        <v>13</v>
      </c>
      <c r="B158" s="31" t="str">
        <f>'Build Plan w Hours'!C33</f>
        <v>.510</v>
      </c>
      <c r="C158" s="40" t="str">
        <f>'Build Plan w Hours'!D33</f>
        <v>Build skirt; fit base ring to shell and weld_x000D_
FIT &amp; TACK BASE RING TO SHELL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A160" s="37" t="s">
        <v>68</v>
      </c>
      <c r="B160" s="38">
        <f>'Build Plan w Hours'!E33</f>
        <v>5</v>
      </c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069-25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69</v>
      </c>
    </row>
    <row r="164" spans="1:9" ht="21.75" customHeight="1" x14ac:dyDescent="0.25">
      <c r="A164" s="29" t="s">
        <v>13</v>
      </c>
      <c r="B164" s="31" t="str">
        <f>'Build Plan w Hours'!C34</f>
        <v>.515</v>
      </c>
      <c r="C164" s="40" t="str">
        <f>'Build Plan w Hours'!D34</f>
        <v>Weld skirt shell seams and base ring_x000D_
WELD BASE RING TO SKIRT SHELL INSIDE &amp; OUTSIDE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A166" s="37" t="s">
        <v>68</v>
      </c>
      <c r="B166" s="38">
        <f>'Build Plan w Hours'!E34</f>
        <v>8</v>
      </c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069-25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69</v>
      </c>
    </row>
    <row r="170" spans="1:9" ht="21.75" customHeight="1" x14ac:dyDescent="0.25">
      <c r="A170" s="29" t="s">
        <v>13</v>
      </c>
      <c r="B170" s="31" t="str">
        <f>'Build Plan w Hours'!C35</f>
        <v>.530</v>
      </c>
      <c r="C170" s="40" t="str">
        <f>'Build Plan w Hours'!D35</f>
        <v>Build skirt - fit anchors / gussets_x000D_
FIT (8) GUSSETS; TACK ONLY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A172" s="37" t="s">
        <v>68</v>
      </c>
      <c r="B172" s="38">
        <f>'Build Plan w Hours'!E35</f>
        <v>3</v>
      </c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069-25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69</v>
      </c>
    </row>
    <row r="176" spans="1:9" ht="21.75" customHeight="1" x14ac:dyDescent="0.25">
      <c r="A176" s="29" t="s">
        <v>13</v>
      </c>
      <c r="B176" s="31" t="str">
        <f>'Build Plan w Hours'!C36</f>
        <v>.545</v>
      </c>
      <c r="C176" s="40" t="str">
        <f>'Build Plan w Hours'!D36</f>
        <v>Weld skirt anchors, gussets, nozzles, manways, etc._x000D_
WELD (8) GUSSETS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A178" s="37" t="s">
        <v>68</v>
      </c>
      <c r="B178" s="38">
        <f>'Build Plan w Hours'!E36</f>
        <v>6</v>
      </c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069-25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69</v>
      </c>
    </row>
    <row r="182" spans="1:9" ht="21.75" customHeight="1" x14ac:dyDescent="0.25">
      <c r="A182" s="29" t="s">
        <v>13</v>
      </c>
      <c r="B182" s="31" t="str">
        <f>'Build Plan w Hours'!C37</f>
        <v>.OI1</v>
      </c>
      <c r="C182" s="40" t="str">
        <f>'Build Plan w Hours'!D37</f>
        <v>ASME Hold Point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A184" s="37" t="s">
        <v>68</v>
      </c>
      <c r="B184" s="38">
        <f>'Build Plan w Hours'!E37</f>
        <v>0</v>
      </c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069-25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69</v>
      </c>
    </row>
    <row r="188" spans="1:9" ht="21.75" customHeight="1" x14ac:dyDescent="0.25">
      <c r="A188" s="29" t="s">
        <v>13</v>
      </c>
      <c r="B188" s="31" t="str">
        <f>'Build Plan w Hours'!C38</f>
        <v>.600</v>
      </c>
      <c r="C188" s="40" t="str">
        <f>'Build Plan w Hours'!D38</f>
        <v>Fit bottom head to shell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A190" s="37" t="s">
        <v>68</v>
      </c>
      <c r="B190" s="38">
        <f>'Build Plan w Hours'!E38</f>
        <v>4</v>
      </c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069-25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69</v>
      </c>
    </row>
    <row r="194" spans="1:9" ht="21.75" customHeight="1" x14ac:dyDescent="0.25">
      <c r="A194" s="29" t="s">
        <v>13</v>
      </c>
      <c r="B194" s="31" t="str">
        <f>'Build Plan w Hours'!C39</f>
        <v>.605</v>
      </c>
      <c r="C194" s="40" t="str">
        <f>'Build Plan w Hours'!D39</f>
        <v>Tack shell courses together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A196" s="37" t="s">
        <v>68</v>
      </c>
      <c r="B196" s="38">
        <f>'Build Plan w Hours'!E39</f>
        <v>8</v>
      </c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069-25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69</v>
      </c>
    </row>
    <row r="200" spans="1:9" ht="21.75" customHeight="1" x14ac:dyDescent="0.25">
      <c r="A200" s="29" t="s">
        <v>13</v>
      </c>
      <c r="B200" s="31" t="str">
        <f>'Build Plan w Hours'!C40</f>
        <v>.610</v>
      </c>
      <c r="C200" s="40" t="str">
        <f>'Build Plan w Hours'!D40</f>
        <v>Weld inside round seams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A202" s="37" t="s">
        <v>68</v>
      </c>
      <c r="B202" s="38">
        <f>'Build Plan w Hours'!E40</f>
        <v>18</v>
      </c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069-25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69</v>
      </c>
    </row>
    <row r="206" spans="1:9" ht="21.75" customHeight="1" x14ac:dyDescent="0.25">
      <c r="A206" s="29" t="s">
        <v>13</v>
      </c>
      <c r="B206" s="31" t="str">
        <f>'Build Plan w Hours'!C41</f>
        <v>.620</v>
      </c>
      <c r="C206" s="40" t="str">
        <f>'Build Plan w Hours'!D41</f>
        <v>Lay out shell, burn and clean holes_x000D_
PREP NOZZLE HOLES FOR FULL PEN WELDS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A208" s="37" t="s">
        <v>68</v>
      </c>
      <c r="B208" s="38">
        <f>'Build Plan w Hours'!E41</f>
        <v>6</v>
      </c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069-25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69</v>
      </c>
    </row>
    <row r="212" spans="1:9" ht="21.75" customHeight="1" x14ac:dyDescent="0.25">
      <c r="A212" s="29" t="s">
        <v>13</v>
      </c>
      <c r="B212" s="31" t="str">
        <f>'Build Plan w Hours'!C42</f>
        <v>.630</v>
      </c>
      <c r="C212" s="40" t="str">
        <f>'Build Plan w Hours'!D42</f>
        <v>Install internals - wear plates, rings, clips, etc._x000D_
INSTALL INLET MANIFOLD &amp; SUPPORTS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A214" s="37" t="s">
        <v>68</v>
      </c>
      <c r="B214" s="38">
        <f>'Build Plan w Hours'!E42</f>
        <v>36</v>
      </c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069-25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69</v>
      </c>
    </row>
    <row r="218" spans="1:9" ht="21.75" customHeight="1" x14ac:dyDescent="0.25">
      <c r="A218" s="29" t="s">
        <v>13</v>
      </c>
      <c r="B218" s="31" t="str">
        <f>'Build Plan w Hours'!C43</f>
        <v>.QC5</v>
      </c>
      <c r="C218" s="40" t="str">
        <f>'Build Plan w Hours'!D43</f>
        <v>QC Inspection - Internal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A220" s="37" t="s">
        <v>68</v>
      </c>
      <c r="B220" s="38">
        <f>'Build Plan w Hours'!E43</f>
        <v>0</v>
      </c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069-25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69</v>
      </c>
    </row>
    <row r="224" spans="1:9" ht="21.75" customHeight="1" x14ac:dyDescent="0.25">
      <c r="A224" s="29" t="s">
        <v>13</v>
      </c>
      <c r="B224" s="31" t="str">
        <f>'Build Plan w Hours'!C44</f>
        <v>.640</v>
      </c>
      <c r="C224" s="40" t="str">
        <f>'Build Plan w Hours'!D44</f>
        <v>Fit top head to shell - tack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A226" s="37" t="s">
        <v>68</v>
      </c>
      <c r="B226" s="38">
        <f>'Build Plan w Hours'!E44</f>
        <v>5</v>
      </c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069-25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69</v>
      </c>
    </row>
    <row r="230" spans="1:9" ht="21.75" customHeight="1" x14ac:dyDescent="0.25">
      <c r="A230" s="29" t="s">
        <v>13</v>
      </c>
      <c r="B230" s="31" t="str">
        <f>'Build Plan w Hours'!C45</f>
        <v>.641</v>
      </c>
      <c r="C230" s="40" t="str">
        <f>'Build Plan w Hours'!D45</f>
        <v>Weld top head to shell - inside_x000D_
INCL HOLE WATCH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A232" s="37" t="s">
        <v>68</v>
      </c>
      <c r="B232" s="38">
        <f>'Build Plan w Hours'!E45</f>
        <v>12</v>
      </c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069-25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69</v>
      </c>
    </row>
    <row r="236" spans="1:9" ht="21.75" customHeight="1" x14ac:dyDescent="0.25">
      <c r="A236" s="29" t="s">
        <v>13</v>
      </c>
      <c r="B236" s="31" t="str">
        <f>'Build Plan w Hours'!C46</f>
        <v>.645</v>
      </c>
      <c r="C236" s="40" t="str">
        <f>'Build Plan w Hours'!D46</f>
        <v>Weld all outside seams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A238" s="37" t="s">
        <v>68</v>
      </c>
      <c r="B238" s="38">
        <f>'Build Plan w Hours'!E46</f>
        <v>20</v>
      </c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069-25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69</v>
      </c>
    </row>
    <row r="242" spans="1:9" ht="21.75" customHeight="1" x14ac:dyDescent="0.25">
      <c r="A242" s="29" t="s">
        <v>13</v>
      </c>
      <c r="B242" s="31" t="str">
        <f>'Build Plan w Hours'!C47</f>
        <v>.800</v>
      </c>
      <c r="C242" s="40" t="str">
        <f>'Build Plan w Hours'!D47</f>
        <v>Move tank to detail rolls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A244" s="37" t="s">
        <v>68</v>
      </c>
      <c r="B244" s="38">
        <f>'Build Plan w Hours'!E47</f>
        <v>3</v>
      </c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069-25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69</v>
      </c>
    </row>
    <row r="248" spans="1:9" ht="21.75" customHeight="1" x14ac:dyDescent="0.25">
      <c r="A248" s="29" t="s">
        <v>13</v>
      </c>
      <c r="B248" s="31" t="str">
        <f>'Build Plan w Hours'!C48</f>
        <v>.715</v>
      </c>
      <c r="C248" s="40" t="str">
        <f>'Build Plan w Hours'!D48</f>
        <v>Install insulation/vacuum rings - tack_x000D_
INCL WELD COMPLETE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A250" s="37" t="s">
        <v>68</v>
      </c>
      <c r="B250" s="38">
        <f>'Build Plan w Hours'!E48</f>
        <v>48</v>
      </c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069-25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69</v>
      </c>
    </row>
    <row r="254" spans="1:9" ht="21.75" customHeight="1" x14ac:dyDescent="0.25">
      <c r="A254" s="29" t="s">
        <v>13</v>
      </c>
      <c r="B254" s="31" t="str">
        <f>'Build Plan w Hours'!C49</f>
        <v>.720</v>
      </c>
      <c r="C254" s="40" t="str">
        <f>'Build Plan w Hours'!D49</f>
        <v>Install supports - legs, lugs, anchors, saddles, skirt_x000D_
FIT SKIRT TO BOTTOM HEAD AND WELD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A256" s="37" t="s">
        <v>68</v>
      </c>
      <c r="B256" s="38">
        <f>'Build Plan w Hours'!E49</f>
        <v>32</v>
      </c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069-25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69</v>
      </c>
    </row>
    <row r="260" spans="1:9" ht="21.75" customHeight="1" x14ac:dyDescent="0.25">
      <c r="A260" s="29" t="s">
        <v>13</v>
      </c>
      <c r="B260" s="31" t="str">
        <f>'Build Plan w Hours'!C50</f>
        <v>.725</v>
      </c>
      <c r="C260" s="40" t="str">
        <f>'Build Plan w Hours'!D50</f>
        <v>Set nozzles in shell - tack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A262" s="37" t="s">
        <v>68</v>
      </c>
      <c r="B262" s="38">
        <f>'Build Plan w Hours'!E50</f>
        <v>8</v>
      </c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069-25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69</v>
      </c>
    </row>
    <row r="266" spans="1:9" ht="21.75" customHeight="1" x14ac:dyDescent="0.25">
      <c r="A266" s="29" t="s">
        <v>13</v>
      </c>
      <c r="B266" s="31" t="str">
        <f>'Build Plan w Hours'!C51</f>
        <v>.726</v>
      </c>
      <c r="C266" s="40" t="str">
        <f>'Build Plan w Hours'!D51</f>
        <v>Weld shell nozzles, manways, etc._x000D_
INCL HOLE WATCH &amp; NOZZLE A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A268" s="37" t="s">
        <v>68</v>
      </c>
      <c r="B268" s="38">
        <f>'Build Plan w Hours'!E51</f>
        <v>30</v>
      </c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069-25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69</v>
      </c>
    </row>
    <row r="272" spans="1:9" ht="21.75" customHeight="1" x14ac:dyDescent="0.25">
      <c r="A272" s="29" t="s">
        <v>13</v>
      </c>
      <c r="B272" s="31" t="str">
        <f>'Build Plan w Hours'!C52</f>
        <v>.730</v>
      </c>
      <c r="C272" s="40" t="str">
        <f>'Build Plan w Hours'!D52</f>
        <v>Add repads and weld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A274" s="37" t="s">
        <v>68</v>
      </c>
      <c r="B274" s="38">
        <f>'Build Plan w Hours'!E52</f>
        <v>5</v>
      </c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069-25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69</v>
      </c>
    </row>
    <row r="278" spans="1:9" ht="21.75" customHeight="1" x14ac:dyDescent="0.25">
      <c r="A278" s="29" t="s">
        <v>13</v>
      </c>
      <c r="B278" s="31" t="str">
        <f>'Build Plan w Hours'!C53</f>
        <v>.765</v>
      </c>
      <c r="C278" s="40" t="str">
        <f>'Build Plan w Hours'!D53</f>
        <v>Install name tag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A280" s="37" t="s">
        <v>68</v>
      </c>
      <c r="B280" s="38">
        <f>'Build Plan w Hours'!E53</f>
        <v>1</v>
      </c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069-25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69</v>
      </c>
    </row>
    <row r="284" spans="1:9" ht="21.75" customHeight="1" x14ac:dyDescent="0.25">
      <c r="A284" s="29" t="s">
        <v>13</v>
      </c>
      <c r="B284" s="31" t="str">
        <f>'Build Plan w Hours'!C54</f>
        <v>.770</v>
      </c>
      <c r="C284" s="40" t="str">
        <f>'Build Plan w Hours'!D54</f>
        <v>Inspect tank, make repairs, get QC inspector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A286" s="37" t="s">
        <v>68</v>
      </c>
      <c r="B286" s="38">
        <f>'Build Plan w Hours'!E54</f>
        <v>1</v>
      </c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069-25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69</v>
      </c>
    </row>
    <row r="290" spans="1:9" ht="21.75" customHeight="1" x14ac:dyDescent="0.25">
      <c r="A290" s="29" t="s">
        <v>13</v>
      </c>
      <c r="B290" s="31" t="str">
        <f>'Build Plan w Hours'!C55</f>
        <v>.QC6</v>
      </c>
      <c r="C290" s="40" t="str">
        <f>'Build Plan w Hours'!D55</f>
        <v>QC Inspection - Fabrication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A292" s="37" t="s">
        <v>68</v>
      </c>
      <c r="B292" s="38">
        <f>'Build Plan w Hours'!E55</f>
        <v>0</v>
      </c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069-25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69</v>
      </c>
    </row>
    <row r="296" spans="1:9" ht="21.75" customHeight="1" x14ac:dyDescent="0.25">
      <c r="A296" s="29" t="s">
        <v>13</v>
      </c>
      <c r="B296" s="31" t="str">
        <f>'Build Plan w Hours'!C56</f>
        <v>.OI4</v>
      </c>
      <c r="C296" s="40" t="str">
        <f>'Build Plan w Hours'!D56</f>
        <v>Customer Inspection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A298" s="37" t="s">
        <v>68</v>
      </c>
      <c r="B298" s="38">
        <f>'Build Plan w Hours'!E56</f>
        <v>0</v>
      </c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069-25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69</v>
      </c>
    </row>
    <row r="302" spans="1:9" ht="21.75" customHeight="1" x14ac:dyDescent="0.25">
      <c r="A302" s="29" t="s">
        <v>13</v>
      </c>
      <c r="B302" s="31" t="str">
        <f>'Build Plan w Hours'!C57</f>
        <v>.OI2</v>
      </c>
      <c r="C302" s="40" t="str">
        <f>'Build Plan w Hours'!D57</f>
        <v>ASME Inspection Internal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A304" s="37" t="s">
        <v>68</v>
      </c>
      <c r="B304" s="38">
        <f>'Build Plan w Hours'!E57</f>
        <v>0</v>
      </c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069-25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69</v>
      </c>
    </row>
    <row r="308" spans="1:9" ht="21.75" customHeight="1" x14ac:dyDescent="0.25">
      <c r="A308" s="29" t="s">
        <v>13</v>
      </c>
      <c r="B308" s="31" t="str">
        <f>'Build Plan w Hours'!C58</f>
        <v>.801</v>
      </c>
      <c r="C308" s="40" t="str">
        <f>'Build Plan w Hours'!D58</f>
        <v>Move to shop test area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A310" s="37" t="s">
        <v>68</v>
      </c>
      <c r="B310" s="38">
        <f>'Build Plan w Hours'!E58</f>
        <v>2</v>
      </c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069-25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69</v>
      </c>
    </row>
    <row r="314" spans="1:9" ht="21.75" customHeight="1" x14ac:dyDescent="0.25">
      <c r="A314" s="29" t="s">
        <v>13</v>
      </c>
      <c r="B314" s="31" t="str">
        <f>'Build Plan w Hours'!C59</f>
        <v>.910</v>
      </c>
      <c r="C314" s="40" t="str">
        <f>'Build Plan w Hours'!D59</f>
        <v>Test tank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A316" s="37" t="s">
        <v>68</v>
      </c>
      <c r="B316" s="38">
        <f>'Build Plan w Hours'!E59</f>
        <v>12</v>
      </c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069-25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69</v>
      </c>
    </row>
    <row r="320" spans="1:9" ht="21.75" customHeight="1" x14ac:dyDescent="0.25">
      <c r="A320" s="29" t="s">
        <v>13</v>
      </c>
      <c r="B320" s="31" t="str">
        <f>'Build Plan w Hours'!C60</f>
        <v>.QC7</v>
      </c>
      <c r="C320" s="40" t="str">
        <f>'Build Plan w Hours'!D60</f>
        <v>QC Inspection - Test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A322" s="37" t="s">
        <v>68</v>
      </c>
      <c r="B322" s="38">
        <f>'Build Plan w Hours'!E60</f>
        <v>0</v>
      </c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069-25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69</v>
      </c>
    </row>
    <row r="326" spans="1:9" ht="21.75" customHeight="1" x14ac:dyDescent="0.25">
      <c r="A326" s="29" t="s">
        <v>13</v>
      </c>
      <c r="B326" s="31" t="str">
        <f>'Build Plan w Hours'!C61</f>
        <v>.OI3</v>
      </c>
      <c r="C326" s="40" t="str">
        <f>'Build Plan w Hours'!D61</f>
        <v>ASME Inspection Test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A328" s="37" t="s">
        <v>68</v>
      </c>
      <c r="B328" s="38">
        <f>'Build Plan w Hours'!E61</f>
        <v>0</v>
      </c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069-25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69</v>
      </c>
    </row>
    <row r="332" spans="1:9" ht="21.75" customHeight="1" x14ac:dyDescent="0.25">
      <c r="A332" s="29" t="s">
        <v>13</v>
      </c>
      <c r="B332" s="31" t="str">
        <f>'Build Plan w Hours'!C62</f>
        <v>.802</v>
      </c>
      <c r="C332" s="40" t="str">
        <f>'Build Plan w Hours'!D62</f>
        <v>Move to paint area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A334" s="37" t="s">
        <v>68</v>
      </c>
      <c r="B334" s="38">
        <f>'Build Plan w Hours'!E62</f>
        <v>2</v>
      </c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069-25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69</v>
      </c>
    </row>
    <row r="338" spans="1:9" ht="21.75" customHeight="1" x14ac:dyDescent="0.25">
      <c r="A338" s="29" t="s">
        <v>13</v>
      </c>
      <c r="B338" s="31" t="str">
        <f>'Build Plan w Hours'!C63</f>
        <v>.QC9</v>
      </c>
      <c r="C338" s="40" t="str">
        <f>'Build Plan w Hours'!D63</f>
        <v>QC Inspection - Sandblast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A340" s="37" t="s">
        <v>68</v>
      </c>
      <c r="B340" s="38">
        <f>'Build Plan w Hours'!E63</f>
        <v>0</v>
      </c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069-25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69</v>
      </c>
    </row>
    <row r="344" spans="1:9" ht="21.75" customHeight="1" x14ac:dyDescent="0.25">
      <c r="A344" s="29" t="s">
        <v>13</v>
      </c>
      <c r="B344" s="31" t="str">
        <f>'Build Plan w Hours'!C64</f>
        <v>.QC90</v>
      </c>
      <c r="C344" s="40" t="str">
        <f>'Build Plan w Hours'!D64</f>
        <v>QC Inspection - Paint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A346" s="37" t="s">
        <v>68</v>
      </c>
      <c r="B346" s="38">
        <f>'Build Plan w Hours'!E64</f>
        <v>0</v>
      </c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069-25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69</v>
      </c>
    </row>
    <row r="350" spans="1:9" ht="21.75" customHeight="1" x14ac:dyDescent="0.25">
      <c r="A350" s="29" t="s">
        <v>13</v>
      </c>
      <c r="B350" s="31" t="str">
        <f>'Build Plan w Hours'!C65</f>
        <v>.940</v>
      </c>
      <c r="C350" s="40" t="str">
        <f>'Build Plan w Hours'!D65</f>
        <v>Prepare tank for shipment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A352" s="37" t="s">
        <v>68</v>
      </c>
      <c r="B352" s="38">
        <f>'Build Plan w Hours'!E65</f>
        <v>3</v>
      </c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069-25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69</v>
      </c>
    </row>
    <row r="356" spans="1:9" ht="21.75" customHeight="1" x14ac:dyDescent="0.25">
      <c r="A356" s="29" t="s">
        <v>13</v>
      </c>
      <c r="B356" s="31" t="str">
        <f>'Build Plan w Hours'!C66</f>
        <v>.QC95</v>
      </c>
      <c r="C356" s="40" t="str">
        <f>'Build Plan w Hours'!D66</f>
        <v>QC Inspection - Final &amp; Loose Items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A358" s="37" t="s">
        <v>68</v>
      </c>
      <c r="B358" s="38">
        <f>'Build Plan w Hours'!E66</f>
        <v>0</v>
      </c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" customHeight="1" x14ac:dyDescent="0.25">
      <c r="A361" s="29" t="s">
        <v>11</v>
      </c>
      <c r="B361" s="25" t="str">
        <f>'Build Plan w Hours'!B$1</f>
        <v>069-25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69</v>
      </c>
    </row>
    <row r="362" spans="1:9" ht="21" customHeight="1" x14ac:dyDescent="0.25">
      <c r="A362" s="29" t="s">
        <v>13</v>
      </c>
      <c r="B362" s="31" t="str">
        <f>'Build Plan w Hours'!C67</f>
        <v>.960</v>
      </c>
      <c r="C362" s="40" t="str">
        <f>'Build Plan w Hours'!D67</f>
        <v>Load on truck</v>
      </c>
      <c r="E362" s="32"/>
      <c r="G362" s="32"/>
      <c r="I362" s="32"/>
    </row>
    <row r="363" spans="1:9" ht="21" customHeight="1" x14ac:dyDescent="0.25">
      <c r="C363" s="41"/>
      <c r="E363" s="32"/>
      <c r="G363" s="32"/>
      <c r="I363" s="32"/>
    </row>
    <row r="364" spans="1:9" ht="21" customHeight="1" x14ac:dyDescent="0.25">
      <c r="A364" s="37" t="s">
        <v>68</v>
      </c>
      <c r="B364" s="38">
        <f>'Build Plan w Hours'!E67</f>
        <v>5</v>
      </c>
      <c r="C364" s="41"/>
      <c r="E364" s="32"/>
      <c r="G364" s="32"/>
      <c r="I364" s="32"/>
    </row>
    <row r="365" spans="1:9" ht="21" customHeight="1" x14ac:dyDescent="0.25">
      <c r="A365" s="34" t="s">
        <v>15</v>
      </c>
      <c r="E365" s="32"/>
      <c r="G365" s="32"/>
      <c r="I365" s="32"/>
    </row>
    <row r="366" spans="1:9" ht="21" customHeight="1" x14ac:dyDescent="0.25"/>
    <row r="367" spans="1:9" ht="21" customHeight="1" x14ac:dyDescent="0.25">
      <c r="A367" s="29" t="s">
        <v>11</v>
      </c>
      <c r="B367" s="25" t="str">
        <f>'Build Plan w Hours'!B$1</f>
        <v>069-25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69</v>
      </c>
    </row>
    <row r="368" spans="1:9" ht="21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" customHeight="1" x14ac:dyDescent="0.25">
      <c r="C369" s="41"/>
      <c r="E369" s="32"/>
      <c r="G369" s="32"/>
      <c r="I369" s="32"/>
    </row>
    <row r="370" spans="1:9" ht="21" customHeight="1" x14ac:dyDescent="0.25">
      <c r="A370" s="37" t="s">
        <v>68</v>
      </c>
      <c r="B370" s="38">
        <f>'Build Plan w Hours'!E68</f>
        <v>0</v>
      </c>
      <c r="C370" s="41"/>
      <c r="E370" s="32"/>
      <c r="G370" s="32"/>
      <c r="I370" s="32"/>
    </row>
    <row r="371" spans="1:9" ht="21" customHeight="1" x14ac:dyDescent="0.25">
      <c r="A371" s="34" t="s">
        <v>15</v>
      </c>
      <c r="E371" s="32"/>
      <c r="G371" s="32"/>
      <c r="I371" s="32"/>
    </row>
    <row r="372" spans="1:9" ht="21" customHeight="1" x14ac:dyDescent="0.25"/>
    <row r="373" spans="1:9" ht="21" customHeight="1" x14ac:dyDescent="0.25">
      <c r="A373" s="29" t="s">
        <v>11</v>
      </c>
      <c r="B373" s="25" t="str">
        <f>'Build Plan w Hours'!B$1</f>
        <v>069-25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69</v>
      </c>
    </row>
    <row r="374" spans="1:9" ht="21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" customHeight="1" x14ac:dyDescent="0.25">
      <c r="C375" s="41"/>
      <c r="E375" s="32"/>
      <c r="G375" s="32"/>
      <c r="I375" s="32"/>
    </row>
    <row r="376" spans="1:9" ht="21" customHeight="1" x14ac:dyDescent="0.25">
      <c r="A376" s="37" t="s">
        <v>68</v>
      </c>
      <c r="B376" s="38" t="str">
        <f>'Build Plan w Hours'!E69</f>
        <v/>
      </c>
      <c r="C376" s="41"/>
      <c r="E376" s="32"/>
      <c r="G376" s="32"/>
      <c r="I376" s="32"/>
    </row>
    <row r="377" spans="1:9" ht="21" customHeight="1" x14ac:dyDescent="0.25">
      <c r="A377" s="34" t="s">
        <v>15</v>
      </c>
      <c r="E377" s="32"/>
      <c r="G377" s="32"/>
      <c r="I377" s="32"/>
    </row>
    <row r="378" spans="1:9" ht="21" customHeight="1" x14ac:dyDescent="0.25"/>
    <row r="379" spans="1:9" ht="21" customHeight="1" x14ac:dyDescent="0.25">
      <c r="A379" s="29" t="s">
        <v>11</v>
      </c>
      <c r="B379" s="25" t="str">
        <f>'Build Plan w Hours'!B$1</f>
        <v>069-25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69</v>
      </c>
    </row>
    <row r="380" spans="1:9" ht="21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" customHeight="1" x14ac:dyDescent="0.25">
      <c r="C381" s="41"/>
      <c r="E381" s="32"/>
      <c r="G381" s="32"/>
      <c r="I381" s="32"/>
    </row>
    <row r="382" spans="1:9" ht="21" customHeight="1" x14ac:dyDescent="0.25">
      <c r="A382" s="37" t="s">
        <v>68</v>
      </c>
      <c r="B382" s="38">
        <f>'Build Plan w Hours'!E70</f>
        <v>0</v>
      </c>
      <c r="C382" s="41"/>
      <c r="E382" s="32"/>
      <c r="G382" s="32"/>
      <c r="I382" s="32"/>
    </row>
    <row r="383" spans="1:9" ht="21" customHeight="1" x14ac:dyDescent="0.25">
      <c r="A383" s="34" t="s">
        <v>15</v>
      </c>
      <c r="E383" s="32"/>
      <c r="G383" s="32"/>
      <c r="I383" s="32"/>
    </row>
    <row r="384" spans="1:9" ht="21" customHeight="1" x14ac:dyDescent="0.25"/>
    <row r="385" spans="1:9" ht="21" customHeight="1" x14ac:dyDescent="0.25">
      <c r="A385" s="29" t="s">
        <v>11</v>
      </c>
      <c r="B385" s="25" t="str">
        <f>'Build Plan w Hours'!B$1</f>
        <v>069-25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69</v>
      </c>
    </row>
    <row r="386" spans="1:9" ht="21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" customHeight="1" x14ac:dyDescent="0.25">
      <c r="C387" s="41"/>
      <c r="E387" s="32"/>
      <c r="G387" s="32"/>
      <c r="I387" s="32"/>
    </row>
    <row r="388" spans="1:9" ht="21" customHeight="1" x14ac:dyDescent="0.25">
      <c r="A388" s="37" t="s">
        <v>68</v>
      </c>
      <c r="B388" s="38">
        <f>'Build Plan w Hours'!E71</f>
        <v>0</v>
      </c>
      <c r="C388" s="41"/>
      <c r="E388" s="32"/>
      <c r="G388" s="32"/>
      <c r="I388" s="32"/>
    </row>
    <row r="389" spans="1:9" ht="21" customHeight="1" x14ac:dyDescent="0.25">
      <c r="A389" s="34" t="s">
        <v>15</v>
      </c>
      <c r="E389" s="32"/>
      <c r="G389" s="32"/>
      <c r="I389" s="32"/>
    </row>
    <row r="390" spans="1:9" ht="21" customHeight="1" x14ac:dyDescent="0.25"/>
    <row r="391" spans="1:9" ht="21" customHeight="1" x14ac:dyDescent="0.25">
      <c r="A391" s="29" t="s">
        <v>11</v>
      </c>
      <c r="B391" s="25" t="str">
        <f>'Build Plan w Hours'!B$1</f>
        <v>069-25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69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A394" s="37" t="s">
        <v>68</v>
      </c>
      <c r="B394" s="38">
        <f>'Build Plan w Hours'!E72</f>
        <v>0</v>
      </c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069-25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69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A400" s="37" t="s">
        <v>68</v>
      </c>
      <c r="B400" s="38">
        <f>'Build Plan w Hours'!E73</f>
        <v>0</v>
      </c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069-25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69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A406" s="37" t="s">
        <v>68</v>
      </c>
      <c r="B406" s="38">
        <f>'Build Plan w Hours'!E74</f>
        <v>0</v>
      </c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069-25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69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A412" s="37" t="s">
        <v>68</v>
      </c>
      <c r="B412" s="38">
        <f>'Build Plan w Hours'!E75</f>
        <v>0</v>
      </c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069-25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69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A418" s="37" t="s">
        <v>68</v>
      </c>
      <c r="B418" s="38">
        <f>'Build Plan w Hours'!E76</f>
        <v>0</v>
      </c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069-25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69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A424" s="37" t="s">
        <v>68</v>
      </c>
      <c r="B424" s="38">
        <f>'Build Plan w Hours'!E77</f>
        <v>0</v>
      </c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069-25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69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A430" s="37" t="s">
        <v>68</v>
      </c>
      <c r="B430" s="38">
        <f>'Build Plan w Hours'!E78</f>
        <v>0</v>
      </c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069-25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69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A436" s="37" t="s">
        <v>68</v>
      </c>
      <c r="B436" s="38">
        <f>'Build Plan w Hours'!E79</f>
        <v>0</v>
      </c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069-25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69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A442" s="37" t="s">
        <v>68</v>
      </c>
      <c r="B442" s="38">
        <f>'Build Plan w Hours'!E80</f>
        <v>0</v>
      </c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069-25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69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A448" s="37" t="s">
        <v>68</v>
      </c>
      <c r="B448" s="38">
        <f>'Build Plan w Hours'!E81</f>
        <v>0</v>
      </c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069-25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69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A454" s="37" t="s">
        <v>68</v>
      </c>
      <c r="B454" s="38">
        <f>'Build Plan w Hours'!E82</f>
        <v>0</v>
      </c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069-25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69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A460" s="37" t="s">
        <v>68</v>
      </c>
      <c r="B460" s="38">
        <f>'Build Plan w Hours'!E83</f>
        <v>0</v>
      </c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069-25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69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A466" s="37" t="s">
        <v>68</v>
      </c>
      <c r="B466" s="38">
        <f>'Build Plan w Hours'!E84</f>
        <v>0</v>
      </c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069-25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69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A472" s="37" t="s">
        <v>68</v>
      </c>
      <c r="B472" s="38">
        <f>'Build Plan w Hours'!E85</f>
        <v>0</v>
      </c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069-25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69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A478" s="37" t="s">
        <v>68</v>
      </c>
      <c r="B478" s="38">
        <f>'Build Plan w Hours'!E86</f>
        <v>0</v>
      </c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ht="21" customHeight="1" x14ac:dyDescent="0.25"/>
    <row r="482" ht="21" customHeight="1" x14ac:dyDescent="0.25"/>
    <row r="483" ht="21" customHeight="1" x14ac:dyDescent="0.25"/>
    <row r="484" ht="21" customHeight="1" x14ac:dyDescent="0.25"/>
    <row r="485" ht="21" customHeight="1" x14ac:dyDescent="0.25"/>
    <row r="486" ht="21" customHeight="1" x14ac:dyDescent="0.25"/>
    <row r="487" ht="21" customHeight="1" x14ac:dyDescent="0.25"/>
    <row r="488" ht="21" customHeight="1" x14ac:dyDescent="0.25"/>
    <row r="489" ht="21" customHeight="1" x14ac:dyDescent="0.25"/>
    <row r="490" ht="21" customHeight="1" x14ac:dyDescent="0.25"/>
    <row r="491" ht="21" customHeight="1" x14ac:dyDescent="0.25"/>
    <row r="492" ht="21" customHeight="1" x14ac:dyDescent="0.25"/>
    <row r="493" ht="21" customHeight="1" x14ac:dyDescent="0.25"/>
    <row r="494" ht="21" customHeight="1" x14ac:dyDescent="0.25"/>
    <row r="495" ht="21" customHeight="1" x14ac:dyDescent="0.25"/>
    <row r="496" ht="21" customHeight="1" x14ac:dyDescent="0.25"/>
    <row r="497" ht="21" customHeight="1" x14ac:dyDescent="0.25"/>
    <row r="498" ht="21" customHeight="1" x14ac:dyDescent="0.25"/>
    <row r="499" ht="21" customHeight="1" x14ac:dyDescent="0.25"/>
    <row r="500" ht="21" customHeight="1" x14ac:dyDescent="0.25"/>
    <row r="501" ht="21" customHeight="1" x14ac:dyDescent="0.25"/>
    <row r="502" ht="21" customHeight="1" x14ac:dyDescent="0.25"/>
    <row r="503" ht="21" customHeight="1" x14ac:dyDescent="0.25"/>
    <row r="504" ht="21" customHeight="1" x14ac:dyDescent="0.25"/>
    <row r="505" ht="21" customHeight="1" x14ac:dyDescent="0.25"/>
    <row r="506" ht="21" customHeight="1" x14ac:dyDescent="0.25"/>
    <row r="507" ht="21" customHeight="1" x14ac:dyDescent="0.25"/>
    <row r="508" ht="21" customHeight="1" x14ac:dyDescent="0.25"/>
    <row r="509" ht="21" customHeight="1" x14ac:dyDescent="0.25"/>
    <row r="510" ht="21" customHeight="1" x14ac:dyDescent="0.25"/>
    <row r="511" ht="21" customHeight="1" x14ac:dyDescent="0.25"/>
    <row r="512" ht="21" customHeight="1" x14ac:dyDescent="0.25"/>
    <row r="513" ht="21" customHeight="1" x14ac:dyDescent="0.25"/>
    <row r="514" ht="21" customHeight="1" x14ac:dyDescent="0.25"/>
    <row r="515" ht="21" customHeight="1" x14ac:dyDescent="0.25"/>
    <row r="516" ht="21" customHeight="1" x14ac:dyDescent="0.25"/>
    <row r="517" ht="21" customHeight="1" x14ac:dyDescent="0.25"/>
    <row r="518" ht="21" customHeight="1" x14ac:dyDescent="0.25"/>
    <row r="519" ht="21" customHeight="1" x14ac:dyDescent="0.25"/>
    <row r="520" ht="21" customHeight="1" x14ac:dyDescent="0.25"/>
    <row r="521" ht="21" customHeight="1" x14ac:dyDescent="0.25"/>
    <row r="522" ht="21" customHeight="1" x14ac:dyDescent="0.25"/>
    <row r="523" ht="21" customHeight="1" x14ac:dyDescent="0.25"/>
    <row r="524" ht="21" customHeight="1" x14ac:dyDescent="0.25"/>
    <row r="525" ht="21" customHeight="1" x14ac:dyDescent="0.25"/>
    <row r="526" ht="21" customHeight="1" x14ac:dyDescent="0.25"/>
    <row r="527" ht="21" customHeight="1" x14ac:dyDescent="0.25"/>
    <row r="528" ht="21" customHeight="1" x14ac:dyDescent="0.25"/>
    <row r="529" ht="21" customHeight="1" x14ac:dyDescent="0.25"/>
    <row r="530" ht="21" customHeight="1" x14ac:dyDescent="0.25"/>
    <row r="531" ht="21" customHeight="1" x14ac:dyDescent="0.25"/>
    <row r="532" ht="21" customHeight="1" x14ac:dyDescent="0.25"/>
    <row r="533" ht="21" customHeight="1" x14ac:dyDescent="0.25"/>
    <row r="534" ht="21" customHeight="1" x14ac:dyDescent="0.25"/>
    <row r="535" ht="21" customHeight="1" x14ac:dyDescent="0.25"/>
    <row r="536" ht="21" customHeight="1" x14ac:dyDescent="0.25"/>
    <row r="537" ht="21" customHeight="1" x14ac:dyDescent="0.25"/>
    <row r="538" ht="21" customHeight="1" x14ac:dyDescent="0.25"/>
  </sheetData>
  <mergeCells count="80">
    <mergeCell ref="C362:C364"/>
    <mergeCell ref="C368:C370"/>
    <mergeCell ref="C374:C376"/>
    <mergeCell ref="C380:C382"/>
    <mergeCell ref="C386:C388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2:C4"/>
    <mergeCell ref="C8:C10"/>
    <mergeCell ref="C272:C274"/>
    <mergeCell ref="C278:C280"/>
    <mergeCell ref="C200:C202"/>
    <mergeCell ref="C206:C208"/>
    <mergeCell ref="C212:C214"/>
    <mergeCell ref="C218:C220"/>
    <mergeCell ref="C224:C226"/>
    <mergeCell ref="C230:C232"/>
    <mergeCell ref="C164:C166"/>
    <mergeCell ref="C170:C172"/>
    <mergeCell ref="C176:C178"/>
    <mergeCell ref="C182:C184"/>
    <mergeCell ref="C188:C190"/>
    <mergeCell ref="C194:C196"/>
    <mergeCell ref="C140:C142"/>
    <mergeCell ref="C146:C148"/>
    <mergeCell ref="C284:C286"/>
    <mergeCell ref="C236:C238"/>
    <mergeCell ref="C242:C244"/>
    <mergeCell ref="C248:C250"/>
    <mergeCell ref="C254:C256"/>
    <mergeCell ref="C260:C262"/>
    <mergeCell ref="C266:C268"/>
    <mergeCell ref="C152:C154"/>
    <mergeCell ref="C158:C160"/>
    <mergeCell ref="C92:C94"/>
    <mergeCell ref="C98:C100"/>
    <mergeCell ref="C104:C106"/>
    <mergeCell ref="C110:C112"/>
    <mergeCell ref="C134:C136"/>
    <mergeCell ref="C122:C124"/>
    <mergeCell ref="C128:C130"/>
    <mergeCell ref="C116:C118"/>
    <mergeCell ref="C44:C46"/>
    <mergeCell ref="C26:C28"/>
    <mergeCell ref="C14:C16"/>
    <mergeCell ref="C20:C22"/>
    <mergeCell ref="C32:C34"/>
    <mergeCell ref="C38:C40"/>
    <mergeCell ref="C80:C82"/>
    <mergeCell ref="C86:C88"/>
    <mergeCell ref="C50:C52"/>
    <mergeCell ref="C56:C58"/>
    <mergeCell ref="C62:C64"/>
    <mergeCell ref="C68:C70"/>
    <mergeCell ref="C74:C76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  <mergeCell ref="C446:C448"/>
    <mergeCell ref="C452:C454"/>
    <mergeCell ref="C458:C460"/>
    <mergeCell ref="C464:C466"/>
    <mergeCell ref="C470:C472"/>
    <mergeCell ref="C476:C478"/>
  </mergeCells>
  <pageMargins left="0.39" right="0.34" top="0.3" bottom="1.7" header="0.17" footer="0.17"/>
  <pageSetup orientation="portrait" r:id="rId1"/>
  <rowBreaks count="3" manualBreakCount="3">
    <brk id="390" max="8" man="1"/>
    <brk id="420" max="8" man="1"/>
    <brk id="450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93"/>
  <sheetViews>
    <sheetView view="pageBreakPreview" zoomScale="60" zoomScaleNormal="100" workbookViewId="0">
      <selection activeCell="A492" sqref="A492"/>
    </sheetView>
  </sheetViews>
  <sheetFormatPr defaultRowHeight="18" x14ac:dyDescent="0.25"/>
  <cols>
    <col min="1" max="1" width="9.5703125" style="30" customWidth="1"/>
    <col min="2" max="2" width="9" style="30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14062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069-25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69</v>
      </c>
    </row>
    <row r="2" spans="1:9" ht="21.75" customHeight="1" x14ac:dyDescent="0.25">
      <c r="A2" s="29" t="s">
        <v>13</v>
      </c>
      <c r="B2" s="31" t="str">
        <f>'Build Plan w Hours'!C7</f>
        <v>.100</v>
      </c>
      <c r="C2" s="40" t="str">
        <f>'Build Plan w Hours'!D7</f>
        <v>Cut nozzle pipe and clean_x000D_
INCL FOR INLET MANIFOLD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069-25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69</v>
      </c>
    </row>
    <row r="8" spans="1:9" ht="21.75" customHeight="1" x14ac:dyDescent="0.25">
      <c r="A8" s="29" t="s">
        <v>13</v>
      </c>
      <c r="B8" s="31" t="str">
        <f>'Build Plan w Hours'!C8</f>
        <v>.105</v>
      </c>
      <c r="C8" s="40" t="str">
        <f>'Build Plan w Hours'!D8</f>
        <v>Build nozzles and weld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069-25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69</v>
      </c>
    </row>
    <row r="14" spans="1:9" ht="21.75" customHeight="1" x14ac:dyDescent="0.25">
      <c r="A14" s="29" t="s">
        <v>13</v>
      </c>
      <c r="B14" s="31" t="str">
        <f>'Build Plan w Hours'!C9</f>
        <v>.107</v>
      </c>
      <c r="C14" s="40" t="str">
        <f>'Build Plan w Hours'!D9</f>
        <v>Build Repads for Nozzles, drill and tap holes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069-25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69</v>
      </c>
    </row>
    <row r="20" spans="1:9" ht="21.75" customHeight="1" x14ac:dyDescent="0.25">
      <c r="A20" s="29" t="s">
        <v>13</v>
      </c>
      <c r="B20" s="31" t="str">
        <f>'Build Plan w Hours'!C10</f>
        <v>.110</v>
      </c>
      <c r="C20" s="40" t="str">
        <f>'Build Plan w Hours'!D10</f>
        <v>Build dip tubes and weld_x000D_
BUILD INLET MANIFOLD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069-25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69</v>
      </c>
    </row>
    <row r="26" spans="1:9" ht="21.75" customHeight="1" x14ac:dyDescent="0.25">
      <c r="A26" s="29" t="s">
        <v>13</v>
      </c>
      <c r="B26" s="31" t="str">
        <f>'Build Plan w Hours'!C11</f>
        <v>.155</v>
      </c>
      <c r="C26" s="40" t="str">
        <f>'Build Plan w Hours'!D11</f>
        <v>Burn and clean parts:  lugs, supports, repads, base ring, etc. (CHECK!)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069-25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69</v>
      </c>
    </row>
    <row r="32" spans="1:9" ht="21.75" customHeight="1" x14ac:dyDescent="0.25">
      <c r="A32" s="29" t="s">
        <v>13</v>
      </c>
      <c r="B32" s="31" t="str">
        <f>'Build Plan w Hours'!C12</f>
        <v>.156</v>
      </c>
      <c r="C32" s="40">
        <f>'Build Plan w Hours'!D12</f>
        <v>0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069-25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69</v>
      </c>
    </row>
    <row r="38" spans="1:9" ht="21.75" customHeight="1" x14ac:dyDescent="0.25">
      <c r="A38" s="29" t="s">
        <v>13</v>
      </c>
      <c r="B38" s="31" t="str">
        <f>'Build Plan w Hours'!C13</f>
        <v>.175</v>
      </c>
      <c r="C38" s="40" t="str">
        <f>'Build Plan w Hours'!D13</f>
        <v>Build and weld base ring - skirt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069-25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69</v>
      </c>
    </row>
    <row r="44" spans="1:9" ht="21.75" customHeight="1" x14ac:dyDescent="0.25">
      <c r="A44" s="29" t="s">
        <v>13</v>
      </c>
      <c r="B44" s="31" t="str">
        <f>'Build Plan w Hours'!C14</f>
        <v>.200</v>
      </c>
      <c r="C44" s="40" t="str">
        <f>'Build Plan w Hours'!D14</f>
        <v>Make lift lugs, ground lugs, etc.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069-25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69</v>
      </c>
    </row>
    <row r="50" spans="1:9" ht="21.75" customHeight="1" x14ac:dyDescent="0.25">
      <c r="A50" s="29" t="s">
        <v>13</v>
      </c>
      <c r="B50" s="31" t="str">
        <f>'Build Plan w Hours'!C15</f>
        <v>.255</v>
      </c>
      <c r="C50" s="40" t="str">
        <f>'Build Plan w Hours'!D15</f>
        <v>Drill/punch holes_x000D_
BURN HOLES IN MANIFOLD PIPE &amp; REDUCERS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069-25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69</v>
      </c>
    </row>
    <row r="56" spans="1:9" ht="21.75" customHeight="1" x14ac:dyDescent="0.25">
      <c r="A56" s="29" t="s">
        <v>13</v>
      </c>
      <c r="B56" s="31" t="str">
        <f>'Build Plan w Hours'!C16</f>
        <v>.261</v>
      </c>
      <c r="C56" s="40" t="str">
        <f>'Build Plan w Hours'!D16</f>
        <v>Miscellaneous Fabrication - Braces, Mounting Plates, Cone Outlet Necks_x000D_
MAKE INLET MANIFOLD PIPE SUPPORTS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069-25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69</v>
      </c>
    </row>
    <row r="62" spans="1:9" ht="21.75" customHeight="1" x14ac:dyDescent="0.25">
      <c r="A62" s="29" t="s">
        <v>13</v>
      </c>
      <c r="B62" s="31" t="str">
        <f>'Build Plan w Hours'!C17</f>
        <v>.300</v>
      </c>
      <c r="C62" s="40" t="str">
        <f>'Build Plan w Hours'!D17</f>
        <v>Wrap top and bottom heads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069-25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69</v>
      </c>
    </row>
    <row r="68" spans="1:9" ht="21.75" customHeight="1" x14ac:dyDescent="0.25">
      <c r="A68" s="29" t="s">
        <v>13</v>
      </c>
      <c r="B68" s="31" t="str">
        <f>'Build Plan w Hours'!C18</f>
        <v>.QC3</v>
      </c>
      <c r="C68" s="40" t="str">
        <f>'Build Plan w Hours'!D18</f>
        <v>UT Shells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069-25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69</v>
      </c>
    </row>
    <row r="74" spans="1:9" ht="21.75" customHeight="1" x14ac:dyDescent="0.25">
      <c r="A74" s="29" t="s">
        <v>13</v>
      </c>
      <c r="B74" s="31" t="str">
        <f>'Build Plan w Hours'!C19</f>
        <v>.305</v>
      </c>
      <c r="C74" s="40" t="str">
        <f>'Build Plan w Hours'!D19</f>
        <v>Shells: bring in plate, square, trim and clean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069-25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69</v>
      </c>
    </row>
    <row r="80" spans="1:9" ht="21.75" customHeight="1" x14ac:dyDescent="0.25">
      <c r="A80" s="29" t="s">
        <v>13</v>
      </c>
      <c r="B80" s="31" t="str">
        <f>'Build Plan w Hours'!C20</f>
        <v>.310</v>
      </c>
      <c r="C80" s="40" t="str">
        <f>'Build Plan w Hours'!D20</f>
        <v>Bevel shell plates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069-25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69</v>
      </c>
    </row>
    <row r="86" spans="1:9" ht="21.75" customHeight="1" x14ac:dyDescent="0.25">
      <c r="A86" s="29" t="s">
        <v>13</v>
      </c>
      <c r="B86" s="31" t="str">
        <f>'Build Plan w Hours'!C21</f>
        <v>.315</v>
      </c>
      <c r="C86" s="40" t="str">
        <f>'Build Plan w Hours'!D21</f>
        <v>Roll shells, tack and weld inside seams_x000D_
INCL WELD LONG SEAM W/COBOT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069-25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69</v>
      </c>
    </row>
    <row r="92" spans="1:9" ht="21.75" customHeight="1" x14ac:dyDescent="0.25">
      <c r="A92" s="29" t="s">
        <v>13</v>
      </c>
      <c r="B92" s="31" t="str">
        <f>'Build Plan w Hours'!C22</f>
        <v>.QC4</v>
      </c>
      <c r="C92" s="40" t="str">
        <f>'Build Plan w Hours'!D22</f>
        <v>QC Inspection - Top/Bottom/Cones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069-25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69</v>
      </c>
    </row>
    <row r="98" spans="1:9" ht="21.75" customHeight="1" x14ac:dyDescent="0.25">
      <c r="A98" s="29" t="s">
        <v>13</v>
      </c>
      <c r="B98" s="31" t="str">
        <f>'Build Plan w Hours'!C23</f>
        <v>.355</v>
      </c>
      <c r="C98" s="40" t="str">
        <f>'Build Plan w Hours'!D23</f>
        <v>Lay out top head, burn and clean holes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069-25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69</v>
      </c>
    </row>
    <row r="104" spans="1:9" ht="21.75" customHeight="1" x14ac:dyDescent="0.25">
      <c r="A104" s="29" t="s">
        <v>13</v>
      </c>
      <c r="B104" s="31" t="str">
        <f>'Build Plan w Hours'!C24</f>
        <v>.360</v>
      </c>
      <c r="C104" s="40" t="str">
        <f>'Build Plan w Hours'!D24</f>
        <v>Bevel top head_x000D_
CLEAN UP NOZZLE HOLE &amp; PREP FOR FULL PEN WELD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069-25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69</v>
      </c>
    </row>
    <row r="110" spans="1:9" ht="21.75" customHeight="1" x14ac:dyDescent="0.25">
      <c r="A110" s="29" t="s">
        <v>13</v>
      </c>
      <c r="B110" s="31" t="str">
        <f>'Build Plan w Hours'!C25</f>
        <v>.365</v>
      </c>
      <c r="C110" s="40" t="str">
        <f>'Build Plan w Hours'!D25</f>
        <v>Set  nozzles, lift lugs, etc. in top head - tack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069-25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69</v>
      </c>
    </row>
    <row r="116" spans="1:9" ht="21.75" customHeight="1" x14ac:dyDescent="0.25">
      <c r="A116" s="29" t="s">
        <v>13</v>
      </c>
      <c r="B116" s="31" t="str">
        <f>'Build Plan w Hours'!C26</f>
        <v>.366</v>
      </c>
      <c r="C116" s="40" t="str">
        <f>'Build Plan w Hours'!D26</f>
        <v>Weld out top head nozzles, etc._x000D_
INCL (2) LIFT LUGS W/REPADS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069-25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69</v>
      </c>
    </row>
    <row r="122" spans="1:9" ht="21.75" customHeight="1" x14ac:dyDescent="0.25">
      <c r="A122" s="29" t="s">
        <v>13</v>
      </c>
      <c r="B122" s="31" t="str">
        <f>'Build Plan w Hours'!C27</f>
        <v>.QC4</v>
      </c>
      <c r="C122" s="40" t="str">
        <f>'Build Plan w Hours'!D27</f>
        <v>QC Inspection - Top/Bottom/Cones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069-25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69</v>
      </c>
    </row>
    <row r="128" spans="1:9" ht="21.75" customHeight="1" x14ac:dyDescent="0.25">
      <c r="A128" s="29" t="s">
        <v>13</v>
      </c>
      <c r="B128" s="31" t="str">
        <f>'Build Plan w Hours'!C28</f>
        <v>.455</v>
      </c>
      <c r="C128" s="40" t="str">
        <f>'Build Plan w Hours'!D28</f>
        <v>Lay out bottom head, burn and clean holes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069-25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69</v>
      </c>
    </row>
    <row r="134" spans="1:9" ht="21.75" customHeight="1" x14ac:dyDescent="0.25">
      <c r="A134" s="29" t="s">
        <v>13</v>
      </c>
      <c r="B134" s="31" t="str">
        <f>'Build Plan w Hours'!C29</f>
        <v>.460</v>
      </c>
      <c r="C134" s="40" t="str">
        <f>'Build Plan w Hours'!D29</f>
        <v>Bevel bottom head_x000D_
CLEAN UP NOZZLE HOLE &amp; PREP FOR FULL PEN WELD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069-25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69</v>
      </c>
    </row>
    <row r="140" spans="1:9" ht="21.75" customHeight="1" x14ac:dyDescent="0.25">
      <c r="A140" s="29" t="s">
        <v>13</v>
      </c>
      <c r="B140" s="31" t="str">
        <f>'Build Plan w Hours'!C30</f>
        <v>.465</v>
      </c>
      <c r="C140" s="40" t="str">
        <f>'Build Plan w Hours'!D30</f>
        <v>Set  nozzles in bottom head - tack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069-25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69</v>
      </c>
    </row>
    <row r="146" spans="1:9" ht="21.75" customHeight="1" x14ac:dyDescent="0.25">
      <c r="A146" s="29" t="s">
        <v>13</v>
      </c>
      <c r="B146" s="31" t="str">
        <f>'Build Plan w Hours'!C31</f>
        <v>.466</v>
      </c>
      <c r="C146" s="40" t="str">
        <f>'Build Plan w Hours'!D31</f>
        <v>Weld nozzles in bottom head; weld complete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069-25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69</v>
      </c>
    </row>
    <row r="152" spans="1:9" ht="21.75" customHeight="1" x14ac:dyDescent="0.25">
      <c r="A152" s="29" t="s">
        <v>13</v>
      </c>
      <c r="B152" s="31" t="str">
        <f>'Build Plan w Hours'!C32</f>
        <v>.500</v>
      </c>
      <c r="C152" s="40" t="str">
        <f>'Build Plan w Hours'!D32</f>
        <v>Build skirt - fit and weld shells_x000D_
ROLL (1) SHELL; INCL WELD LONG SEAM W/COBOT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069-25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69</v>
      </c>
    </row>
    <row r="158" spans="1:9" ht="21.75" customHeight="1" x14ac:dyDescent="0.25">
      <c r="A158" s="29" t="s">
        <v>13</v>
      </c>
      <c r="B158" s="31" t="str">
        <f>'Build Plan w Hours'!C33</f>
        <v>.510</v>
      </c>
      <c r="C158" s="40" t="str">
        <f>'Build Plan w Hours'!D33</f>
        <v>Build skirt; fit base ring to shell and weld_x000D_
FIT &amp; TACK BASE RING TO SHELL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069-25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69</v>
      </c>
    </row>
    <row r="164" spans="1:9" ht="21.75" customHeight="1" x14ac:dyDescent="0.25">
      <c r="A164" s="29" t="s">
        <v>13</v>
      </c>
      <c r="B164" s="31" t="str">
        <f>'Build Plan w Hours'!C34</f>
        <v>.515</v>
      </c>
      <c r="C164" s="40" t="str">
        <f>'Build Plan w Hours'!D34</f>
        <v>Weld skirt shell seams and base ring_x000D_
WELD BASE RING TO SKIRT SHELL INSIDE &amp; OUTSIDE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069-25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69</v>
      </c>
    </row>
    <row r="170" spans="1:9" ht="21.75" customHeight="1" x14ac:dyDescent="0.25">
      <c r="A170" s="29" t="s">
        <v>13</v>
      </c>
      <c r="B170" s="31" t="str">
        <f>'Build Plan w Hours'!C35</f>
        <v>.530</v>
      </c>
      <c r="C170" s="40" t="str">
        <f>'Build Plan w Hours'!D35</f>
        <v>Build skirt - fit anchors / gussets_x000D_
FIT (8) GUSSETS; TACK ONLY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069-25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69</v>
      </c>
    </row>
    <row r="176" spans="1:9" ht="21.75" customHeight="1" x14ac:dyDescent="0.25">
      <c r="A176" s="29" t="s">
        <v>13</v>
      </c>
      <c r="B176" s="31" t="str">
        <f>'Build Plan w Hours'!C36</f>
        <v>.545</v>
      </c>
      <c r="C176" s="40" t="str">
        <f>'Build Plan w Hours'!D36</f>
        <v>Weld skirt anchors, gussets, nozzles, manways, etc._x000D_
WELD (8) GUSSETS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069-25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69</v>
      </c>
    </row>
    <row r="182" spans="1:9" ht="21.75" customHeight="1" x14ac:dyDescent="0.25">
      <c r="A182" s="29" t="s">
        <v>13</v>
      </c>
      <c r="B182" s="31" t="str">
        <f>'Build Plan w Hours'!C37</f>
        <v>.OI1</v>
      </c>
      <c r="C182" s="40" t="str">
        <f>'Build Plan w Hours'!D37</f>
        <v>ASME Hold Point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069-25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69</v>
      </c>
    </row>
    <row r="188" spans="1:9" ht="21.75" customHeight="1" x14ac:dyDescent="0.25">
      <c r="A188" s="29" t="s">
        <v>13</v>
      </c>
      <c r="B188" s="31" t="str">
        <f>'Build Plan w Hours'!C38</f>
        <v>.600</v>
      </c>
      <c r="C188" s="40" t="str">
        <f>'Build Plan w Hours'!D38</f>
        <v>Fit bottom head to shell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069-25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69</v>
      </c>
    </row>
    <row r="194" spans="1:9" ht="21.75" customHeight="1" x14ac:dyDescent="0.25">
      <c r="A194" s="29" t="s">
        <v>13</v>
      </c>
      <c r="B194" s="31" t="str">
        <f>'Build Plan w Hours'!C39</f>
        <v>.605</v>
      </c>
      <c r="C194" s="40" t="str">
        <f>'Build Plan w Hours'!D39</f>
        <v>Tack shell courses together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069-25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69</v>
      </c>
    </row>
    <row r="200" spans="1:9" ht="21.75" customHeight="1" x14ac:dyDescent="0.25">
      <c r="A200" s="29" t="s">
        <v>13</v>
      </c>
      <c r="B200" s="31" t="str">
        <f>'Build Plan w Hours'!C40</f>
        <v>.610</v>
      </c>
      <c r="C200" s="40" t="str">
        <f>'Build Plan w Hours'!D40</f>
        <v>Weld inside round seams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069-25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69</v>
      </c>
    </row>
    <row r="206" spans="1:9" ht="21.75" customHeight="1" x14ac:dyDescent="0.25">
      <c r="A206" s="29" t="s">
        <v>13</v>
      </c>
      <c r="B206" s="31" t="str">
        <f>'Build Plan w Hours'!C41</f>
        <v>.620</v>
      </c>
      <c r="C206" s="40" t="str">
        <f>'Build Plan w Hours'!D41</f>
        <v>Lay out shell, burn and clean holes_x000D_
PREP NOZZLE HOLES FOR FULL PEN WELDS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069-25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69</v>
      </c>
    </row>
    <row r="212" spans="1:9" ht="21.75" customHeight="1" x14ac:dyDescent="0.25">
      <c r="A212" s="29" t="s">
        <v>13</v>
      </c>
      <c r="B212" s="31" t="str">
        <f>'Build Plan w Hours'!C42</f>
        <v>.630</v>
      </c>
      <c r="C212" s="40" t="str">
        <f>'Build Plan w Hours'!D42</f>
        <v>Install internals - wear plates, rings, clips, etc._x000D_
INSTALL INLET MANIFOLD &amp; SUPPORTS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069-25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69</v>
      </c>
    </row>
    <row r="218" spans="1:9" ht="21.75" customHeight="1" x14ac:dyDescent="0.25">
      <c r="A218" s="29" t="s">
        <v>13</v>
      </c>
      <c r="B218" s="31" t="str">
        <f>'Build Plan w Hours'!C43</f>
        <v>.QC5</v>
      </c>
      <c r="C218" s="40" t="str">
        <f>'Build Plan w Hours'!D43</f>
        <v>QC Inspection - Internal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069-25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69</v>
      </c>
    </row>
    <row r="224" spans="1:9" ht="21.75" customHeight="1" x14ac:dyDescent="0.25">
      <c r="A224" s="29" t="s">
        <v>13</v>
      </c>
      <c r="B224" s="31" t="str">
        <f>'Build Plan w Hours'!C44</f>
        <v>.640</v>
      </c>
      <c r="C224" s="40" t="str">
        <f>'Build Plan w Hours'!D44</f>
        <v>Fit top head to shell - tack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069-25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69</v>
      </c>
    </row>
    <row r="230" spans="1:9" ht="21.75" customHeight="1" x14ac:dyDescent="0.25">
      <c r="A230" s="29" t="s">
        <v>13</v>
      </c>
      <c r="B230" s="31" t="str">
        <f>'Build Plan w Hours'!C45</f>
        <v>.641</v>
      </c>
      <c r="C230" s="40" t="str">
        <f>'Build Plan w Hours'!D45</f>
        <v>Weld top head to shell - inside_x000D_
INCL HOLE WATCH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069-25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69</v>
      </c>
    </row>
    <row r="236" spans="1:9" ht="21.75" customHeight="1" x14ac:dyDescent="0.25">
      <c r="A236" s="29" t="s">
        <v>13</v>
      </c>
      <c r="B236" s="31" t="str">
        <f>'Build Plan w Hours'!C46</f>
        <v>.645</v>
      </c>
      <c r="C236" s="40" t="str">
        <f>'Build Plan w Hours'!D46</f>
        <v>Weld all outside seams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069-25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69</v>
      </c>
    </row>
    <row r="242" spans="1:9" ht="21.75" customHeight="1" x14ac:dyDescent="0.25">
      <c r="A242" s="29" t="s">
        <v>13</v>
      </c>
      <c r="B242" s="31" t="str">
        <f>'Build Plan w Hours'!C47</f>
        <v>.800</v>
      </c>
      <c r="C242" s="40" t="str">
        <f>'Build Plan w Hours'!D47</f>
        <v>Move tank to detail rolls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069-25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69</v>
      </c>
    </row>
    <row r="248" spans="1:9" ht="21.75" customHeight="1" x14ac:dyDescent="0.25">
      <c r="A248" s="29" t="s">
        <v>13</v>
      </c>
      <c r="B248" s="31" t="str">
        <f>'Build Plan w Hours'!C48</f>
        <v>.715</v>
      </c>
      <c r="C248" s="40" t="str">
        <f>'Build Plan w Hours'!D48</f>
        <v>Install insulation/vacuum rings - tack_x000D_
INCL WELD COMPLETE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069-25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69</v>
      </c>
    </row>
    <row r="254" spans="1:9" ht="21.75" customHeight="1" x14ac:dyDescent="0.25">
      <c r="A254" s="29" t="s">
        <v>13</v>
      </c>
      <c r="B254" s="31" t="str">
        <f>'Build Plan w Hours'!C49</f>
        <v>.720</v>
      </c>
      <c r="C254" s="40" t="str">
        <f>'Build Plan w Hours'!D49</f>
        <v>Install supports - legs, lugs, anchors, saddles, skirt_x000D_
FIT SKIRT TO BOTTOM HEAD AND WELD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069-25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69</v>
      </c>
    </row>
    <row r="260" spans="1:9" ht="21.75" customHeight="1" x14ac:dyDescent="0.25">
      <c r="A260" s="29" t="s">
        <v>13</v>
      </c>
      <c r="B260" s="31" t="str">
        <f>'Build Plan w Hours'!C50</f>
        <v>.725</v>
      </c>
      <c r="C260" s="40" t="str">
        <f>'Build Plan w Hours'!D50</f>
        <v>Set nozzles in shell - tack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069-25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69</v>
      </c>
    </row>
    <row r="266" spans="1:9" ht="21.75" customHeight="1" x14ac:dyDescent="0.25">
      <c r="A266" s="29" t="s">
        <v>13</v>
      </c>
      <c r="B266" s="31" t="str">
        <f>'Build Plan w Hours'!C51</f>
        <v>.726</v>
      </c>
      <c r="C266" s="40" t="str">
        <f>'Build Plan w Hours'!D51</f>
        <v>Weld shell nozzles, manways, etc._x000D_
INCL HOLE WATCH &amp; NOZZLE A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069-25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69</v>
      </c>
    </row>
    <row r="272" spans="1:9" ht="21.75" customHeight="1" x14ac:dyDescent="0.25">
      <c r="A272" s="29" t="s">
        <v>13</v>
      </c>
      <c r="B272" s="31" t="str">
        <f>'Build Plan w Hours'!C52</f>
        <v>.730</v>
      </c>
      <c r="C272" s="40" t="str">
        <f>'Build Plan w Hours'!D52</f>
        <v>Add repads and weld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069-25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69</v>
      </c>
    </row>
    <row r="278" spans="1:9" ht="21.75" customHeight="1" x14ac:dyDescent="0.25">
      <c r="A278" s="29" t="s">
        <v>13</v>
      </c>
      <c r="B278" s="31" t="str">
        <f>'Build Plan w Hours'!C53</f>
        <v>.765</v>
      </c>
      <c r="C278" s="40" t="str">
        <f>'Build Plan w Hours'!D53</f>
        <v>Install name tag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069-25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69</v>
      </c>
    </row>
    <row r="284" spans="1:9" ht="21.75" customHeight="1" x14ac:dyDescent="0.25">
      <c r="A284" s="29" t="s">
        <v>13</v>
      </c>
      <c r="B284" s="31" t="str">
        <f>'Build Plan w Hours'!C54</f>
        <v>.770</v>
      </c>
      <c r="C284" s="40" t="str">
        <f>'Build Plan w Hours'!D54</f>
        <v>Inspect tank, make repairs, get QC inspector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069-25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69</v>
      </c>
    </row>
    <row r="290" spans="1:9" ht="21.75" customHeight="1" x14ac:dyDescent="0.25">
      <c r="A290" s="29" t="s">
        <v>13</v>
      </c>
      <c r="B290" s="31" t="str">
        <f>'Build Plan w Hours'!C55</f>
        <v>.QC6</v>
      </c>
      <c r="C290" s="40" t="str">
        <f>'Build Plan w Hours'!D55</f>
        <v>QC Inspection - Fabrication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069-25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69</v>
      </c>
    </row>
    <row r="296" spans="1:9" ht="21.75" customHeight="1" x14ac:dyDescent="0.25">
      <c r="A296" s="29" t="s">
        <v>13</v>
      </c>
      <c r="B296" s="31" t="str">
        <f>'Build Plan w Hours'!C56</f>
        <v>.OI4</v>
      </c>
      <c r="C296" s="40" t="str">
        <f>'Build Plan w Hours'!D56</f>
        <v>Customer Inspection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069-25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69</v>
      </c>
    </row>
    <row r="302" spans="1:9" ht="21.75" customHeight="1" x14ac:dyDescent="0.25">
      <c r="A302" s="29" t="s">
        <v>13</v>
      </c>
      <c r="B302" s="31" t="str">
        <f>'Build Plan w Hours'!C57</f>
        <v>.OI2</v>
      </c>
      <c r="C302" s="40" t="str">
        <f>'Build Plan w Hours'!D57</f>
        <v>ASME Inspection Internal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069-25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69</v>
      </c>
    </row>
    <row r="308" spans="1:9" ht="21.75" customHeight="1" x14ac:dyDescent="0.25">
      <c r="A308" s="29" t="s">
        <v>13</v>
      </c>
      <c r="B308" s="31" t="str">
        <f>'Build Plan w Hours'!C58</f>
        <v>.801</v>
      </c>
      <c r="C308" s="40" t="str">
        <f>'Build Plan w Hours'!D58</f>
        <v>Move to shop test area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069-25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69</v>
      </c>
    </row>
    <row r="314" spans="1:9" ht="21.75" customHeight="1" x14ac:dyDescent="0.25">
      <c r="A314" s="29" t="s">
        <v>13</v>
      </c>
      <c r="B314" s="31" t="str">
        <f>'Build Plan w Hours'!C59</f>
        <v>.910</v>
      </c>
      <c r="C314" s="40" t="str">
        <f>'Build Plan w Hours'!D59</f>
        <v>Test tank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069-25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69</v>
      </c>
    </row>
    <row r="320" spans="1:9" ht="21.75" customHeight="1" x14ac:dyDescent="0.25">
      <c r="A320" s="29" t="s">
        <v>13</v>
      </c>
      <c r="B320" s="31" t="str">
        <f>'Build Plan w Hours'!C60</f>
        <v>.QC7</v>
      </c>
      <c r="C320" s="40" t="str">
        <f>'Build Plan w Hours'!D60</f>
        <v>QC Inspection - Test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069-25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69</v>
      </c>
    </row>
    <row r="326" spans="1:9" ht="21.75" customHeight="1" x14ac:dyDescent="0.25">
      <c r="A326" s="29" t="s">
        <v>13</v>
      </c>
      <c r="B326" s="31" t="str">
        <f>'Build Plan w Hours'!C61</f>
        <v>.OI3</v>
      </c>
      <c r="C326" s="40" t="str">
        <f>'Build Plan w Hours'!D61</f>
        <v>ASME Inspection Test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069-25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69</v>
      </c>
    </row>
    <row r="332" spans="1:9" ht="21.75" customHeight="1" x14ac:dyDescent="0.25">
      <c r="A332" s="29" t="s">
        <v>13</v>
      </c>
      <c r="B332" s="31" t="str">
        <f>'Build Plan w Hours'!C62</f>
        <v>.802</v>
      </c>
      <c r="C332" s="40" t="str">
        <f>'Build Plan w Hours'!D62</f>
        <v>Move to paint area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069-25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69</v>
      </c>
    </row>
    <row r="338" spans="1:9" ht="21.75" customHeight="1" x14ac:dyDescent="0.25">
      <c r="A338" s="29" t="s">
        <v>13</v>
      </c>
      <c r="B338" s="31" t="str">
        <f>'Build Plan w Hours'!C63</f>
        <v>.QC9</v>
      </c>
      <c r="C338" s="40" t="str">
        <f>'Build Plan w Hours'!D63</f>
        <v>QC Inspection - Sandblast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069-25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69</v>
      </c>
    </row>
    <row r="344" spans="1:9" ht="21.75" customHeight="1" x14ac:dyDescent="0.25">
      <c r="A344" s="29" t="s">
        <v>13</v>
      </c>
      <c r="B344" s="31" t="str">
        <f>'Build Plan w Hours'!C64</f>
        <v>.QC90</v>
      </c>
      <c r="C344" s="40" t="str">
        <f>'Build Plan w Hours'!D64</f>
        <v>QC Inspection - Paint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069-25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69</v>
      </c>
    </row>
    <row r="350" spans="1:9" ht="21.75" customHeight="1" x14ac:dyDescent="0.25">
      <c r="A350" s="29" t="s">
        <v>13</v>
      </c>
      <c r="B350" s="31" t="str">
        <f>'Build Plan w Hours'!C65</f>
        <v>.940</v>
      </c>
      <c r="C350" s="40" t="str">
        <f>'Build Plan w Hours'!D65</f>
        <v>Prepare tank for shipment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069-25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69</v>
      </c>
    </row>
    <row r="356" spans="1:9" ht="21.75" customHeight="1" x14ac:dyDescent="0.25">
      <c r="A356" s="29" t="s">
        <v>13</v>
      </c>
      <c r="B356" s="31" t="str">
        <f>'Build Plan w Hours'!C66</f>
        <v>.QC95</v>
      </c>
      <c r="C356" s="40" t="str">
        <f>'Build Plan w Hours'!D66</f>
        <v>QC Inspection - Final &amp; Loose Items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.75" customHeight="1" x14ac:dyDescent="0.25">
      <c r="A361" s="29" t="s">
        <v>11</v>
      </c>
      <c r="B361" s="25" t="str">
        <f>'Build Plan w Hours'!B$1</f>
        <v>069-25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69</v>
      </c>
    </row>
    <row r="362" spans="1:9" ht="21.75" customHeight="1" x14ac:dyDescent="0.25">
      <c r="A362" s="29" t="s">
        <v>13</v>
      </c>
      <c r="B362" s="31" t="str">
        <f>'Build Plan w Hours'!C67</f>
        <v>.960</v>
      </c>
      <c r="C362" s="40" t="str">
        <f>'Build Plan w Hours'!D67</f>
        <v>Load on truck</v>
      </c>
      <c r="E362" s="32"/>
      <c r="G362" s="32"/>
      <c r="I362" s="32"/>
    </row>
    <row r="363" spans="1:9" ht="21.75" customHeight="1" x14ac:dyDescent="0.25">
      <c r="C363" s="41"/>
      <c r="E363" s="32"/>
      <c r="G363" s="32"/>
      <c r="I363" s="32"/>
    </row>
    <row r="364" spans="1:9" ht="21.75" customHeight="1" x14ac:dyDescent="0.25">
      <c r="C364" s="41"/>
      <c r="E364" s="32"/>
      <c r="G364" s="32"/>
      <c r="I364" s="32"/>
    </row>
    <row r="365" spans="1:9" ht="21.75" customHeight="1" x14ac:dyDescent="0.25">
      <c r="A365" s="34" t="s">
        <v>15</v>
      </c>
      <c r="E365" s="32"/>
      <c r="G365" s="32"/>
      <c r="I365" s="32"/>
    </row>
    <row r="366" spans="1:9" ht="21.75" customHeight="1" x14ac:dyDescent="0.25"/>
    <row r="367" spans="1:9" ht="21.75" customHeight="1" x14ac:dyDescent="0.25">
      <c r="A367" s="29" t="s">
        <v>11</v>
      </c>
      <c r="B367" s="25" t="str">
        <f>'Build Plan w Hours'!B$1</f>
        <v>069-25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69</v>
      </c>
    </row>
    <row r="368" spans="1:9" ht="21.75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.75" customHeight="1" x14ac:dyDescent="0.25">
      <c r="C369" s="41"/>
      <c r="E369" s="32"/>
      <c r="G369" s="32"/>
      <c r="I369" s="32"/>
    </row>
    <row r="370" spans="1:9" ht="21.75" customHeight="1" x14ac:dyDescent="0.25">
      <c r="C370" s="41"/>
      <c r="E370" s="32"/>
      <c r="G370" s="32"/>
      <c r="I370" s="32"/>
    </row>
    <row r="371" spans="1:9" ht="21.75" customHeight="1" x14ac:dyDescent="0.25">
      <c r="A371" s="34" t="s">
        <v>15</v>
      </c>
      <c r="E371" s="32"/>
      <c r="G371" s="32"/>
      <c r="I371" s="32"/>
    </row>
    <row r="372" spans="1:9" ht="21.75" customHeight="1" x14ac:dyDescent="0.25"/>
    <row r="373" spans="1:9" ht="21.75" customHeight="1" x14ac:dyDescent="0.25">
      <c r="A373" s="29" t="s">
        <v>11</v>
      </c>
      <c r="B373" s="25" t="str">
        <f>'Build Plan w Hours'!B$1</f>
        <v>069-25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69</v>
      </c>
    </row>
    <row r="374" spans="1:9" ht="21.75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.75" customHeight="1" x14ac:dyDescent="0.25">
      <c r="C375" s="41"/>
      <c r="E375" s="32"/>
      <c r="G375" s="32"/>
      <c r="I375" s="32"/>
    </row>
    <row r="376" spans="1:9" ht="21.75" customHeight="1" x14ac:dyDescent="0.25">
      <c r="C376" s="41"/>
      <c r="E376" s="32"/>
      <c r="G376" s="32"/>
      <c r="I376" s="32"/>
    </row>
    <row r="377" spans="1:9" ht="21.75" customHeight="1" x14ac:dyDescent="0.25">
      <c r="A377" s="34" t="s">
        <v>15</v>
      </c>
      <c r="E377" s="32"/>
      <c r="G377" s="32"/>
      <c r="I377" s="32"/>
    </row>
    <row r="378" spans="1:9" ht="21.75" customHeight="1" x14ac:dyDescent="0.25"/>
    <row r="379" spans="1:9" ht="21.75" customHeight="1" x14ac:dyDescent="0.25">
      <c r="A379" s="29" t="s">
        <v>11</v>
      </c>
      <c r="B379" s="25" t="str">
        <f>'Build Plan w Hours'!B$1</f>
        <v>069-25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69</v>
      </c>
    </row>
    <row r="380" spans="1:9" ht="21.75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.75" customHeight="1" x14ac:dyDescent="0.25">
      <c r="C381" s="41"/>
      <c r="E381" s="32"/>
      <c r="G381" s="32"/>
      <c r="I381" s="32"/>
    </row>
    <row r="382" spans="1:9" ht="21.75" customHeight="1" x14ac:dyDescent="0.25">
      <c r="C382" s="41"/>
      <c r="E382" s="32"/>
      <c r="G382" s="32"/>
      <c r="I382" s="32"/>
    </row>
    <row r="383" spans="1:9" ht="21.75" customHeight="1" x14ac:dyDescent="0.25">
      <c r="A383" s="34" t="s">
        <v>15</v>
      </c>
      <c r="E383" s="32"/>
      <c r="G383" s="32"/>
      <c r="I383" s="32"/>
    </row>
    <row r="384" spans="1:9" ht="21.75" customHeight="1" x14ac:dyDescent="0.25"/>
    <row r="385" spans="1:9" ht="21.75" customHeight="1" x14ac:dyDescent="0.25">
      <c r="A385" s="29" t="s">
        <v>11</v>
      </c>
      <c r="B385" s="25" t="str">
        <f>'Build Plan w Hours'!B$1</f>
        <v>069-25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69</v>
      </c>
    </row>
    <row r="386" spans="1:9" ht="21.75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.75" customHeight="1" x14ac:dyDescent="0.25">
      <c r="C387" s="41"/>
      <c r="E387" s="32"/>
      <c r="G387" s="32"/>
      <c r="I387" s="32"/>
    </row>
    <row r="388" spans="1:9" ht="21.75" customHeight="1" x14ac:dyDescent="0.25">
      <c r="C388" s="41"/>
      <c r="E388" s="32"/>
      <c r="G388" s="32"/>
      <c r="I388" s="32"/>
    </row>
    <row r="389" spans="1:9" ht="21.75" customHeight="1" x14ac:dyDescent="0.25">
      <c r="A389" s="34" t="s">
        <v>15</v>
      </c>
      <c r="E389" s="32"/>
      <c r="G389" s="32"/>
      <c r="I389" s="32"/>
    </row>
    <row r="390" spans="1:9" ht="21.75" customHeight="1" x14ac:dyDescent="0.25"/>
    <row r="391" spans="1:9" ht="21" customHeight="1" x14ac:dyDescent="0.25">
      <c r="A391" s="29" t="s">
        <v>11</v>
      </c>
      <c r="B391" s="25" t="str">
        <f>'Build Plan w Hours'!B$1</f>
        <v>069-25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69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069-25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69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069-25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69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069-25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69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069-25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69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069-25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69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069-25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69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069-25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69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069-25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69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069-25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69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069-25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69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069-25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69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069-25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69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069-25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69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069-25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69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spans="1:9" ht="21" customHeight="1" x14ac:dyDescent="0.25">
      <c r="A481" s="29" t="s">
        <v>11</v>
      </c>
      <c r="B481" s="25" t="str">
        <f>'Build Plan w Hours'!B$1</f>
        <v>069-25</v>
      </c>
      <c r="C481" s="33" t="s">
        <v>10</v>
      </c>
      <c r="E481" s="27" t="s">
        <v>12</v>
      </c>
      <c r="F481" s="26"/>
      <c r="G481" s="27" t="s">
        <v>14</v>
      </c>
      <c r="H481" s="28"/>
      <c r="I481" s="27" t="s">
        <v>69</v>
      </c>
    </row>
    <row r="482" spans="1:9" ht="21" customHeight="1" x14ac:dyDescent="0.25">
      <c r="A482" s="29" t="s">
        <v>13</v>
      </c>
      <c r="B482" s="31">
        <f>'Build Plan w Hours'!C87</f>
        <v>0</v>
      </c>
      <c r="C482" s="40">
        <f>'Build Plan w Hours'!D87</f>
        <v>0</v>
      </c>
      <c r="E482" s="32"/>
      <c r="G482" s="32"/>
      <c r="I482" s="32"/>
    </row>
    <row r="483" spans="1:9" ht="21" customHeight="1" x14ac:dyDescent="0.25">
      <c r="C483" s="41"/>
      <c r="E483" s="32"/>
      <c r="G483" s="32"/>
      <c r="I483" s="32"/>
    </row>
    <row r="484" spans="1:9" ht="21" customHeight="1" x14ac:dyDescent="0.25">
      <c r="C484" s="41"/>
      <c r="E484" s="32"/>
      <c r="G484" s="32"/>
      <c r="I484" s="32"/>
    </row>
    <row r="485" spans="1:9" ht="21" customHeight="1" x14ac:dyDescent="0.25">
      <c r="A485" s="34" t="s">
        <v>15</v>
      </c>
      <c r="E485" s="32"/>
      <c r="G485" s="32"/>
      <c r="I485" s="32"/>
    </row>
    <row r="486" spans="1:9" ht="21" customHeight="1" x14ac:dyDescent="0.25"/>
    <row r="487" spans="1:9" ht="21" customHeight="1" x14ac:dyDescent="0.25">
      <c r="A487" s="29" t="s">
        <v>11</v>
      </c>
      <c r="B487" s="25" t="str">
        <f>'Build Plan w Hours'!B$1</f>
        <v>069-25</v>
      </c>
      <c r="C487" s="33" t="s">
        <v>10</v>
      </c>
      <c r="E487" s="27" t="s">
        <v>12</v>
      </c>
      <c r="F487" s="26"/>
      <c r="G487" s="27" t="s">
        <v>14</v>
      </c>
      <c r="H487" s="28"/>
      <c r="I487" s="27" t="s">
        <v>69</v>
      </c>
    </row>
    <row r="488" spans="1:9" ht="21" customHeight="1" x14ac:dyDescent="0.25">
      <c r="A488" s="29" t="s">
        <v>13</v>
      </c>
      <c r="B488" s="31">
        <f>'Build Plan w Hours'!C88</f>
        <v>0</v>
      </c>
      <c r="C488" s="40">
        <f>'Build Plan w Hours'!D88</f>
        <v>0</v>
      </c>
      <c r="E488" s="32"/>
      <c r="G488" s="32"/>
      <c r="I488" s="32"/>
    </row>
    <row r="489" spans="1:9" ht="21" customHeight="1" x14ac:dyDescent="0.25">
      <c r="C489" s="41"/>
      <c r="E489" s="32"/>
      <c r="G489" s="32"/>
      <c r="I489" s="32"/>
    </row>
    <row r="490" spans="1:9" ht="21" customHeight="1" x14ac:dyDescent="0.25">
      <c r="C490" s="41"/>
      <c r="E490" s="32"/>
      <c r="G490" s="32"/>
      <c r="I490" s="32"/>
    </row>
    <row r="491" spans="1:9" ht="21" customHeight="1" x14ac:dyDescent="0.25">
      <c r="A491" s="34" t="s">
        <v>15</v>
      </c>
      <c r="E491" s="32"/>
      <c r="G491" s="32"/>
      <c r="I491" s="32"/>
    </row>
    <row r="492" spans="1:9" ht="21" customHeight="1" x14ac:dyDescent="0.25"/>
    <row r="493" spans="1:9" ht="21" customHeight="1" x14ac:dyDescent="0.25"/>
  </sheetData>
  <mergeCells count="82">
    <mergeCell ref="C482:C484"/>
    <mergeCell ref="C488:C490"/>
    <mergeCell ref="C362:C364"/>
    <mergeCell ref="C368:C370"/>
    <mergeCell ref="C374:C376"/>
    <mergeCell ref="C380:C382"/>
    <mergeCell ref="C386:C388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284:C286"/>
    <mergeCell ref="C218:C220"/>
    <mergeCell ref="C224:C226"/>
    <mergeCell ref="C230:C232"/>
    <mergeCell ref="C236:C238"/>
    <mergeCell ref="C242:C244"/>
    <mergeCell ref="C248:C250"/>
    <mergeCell ref="C254:C256"/>
    <mergeCell ref="C260:C262"/>
    <mergeCell ref="C266:C268"/>
    <mergeCell ref="C272:C274"/>
    <mergeCell ref="C278:C280"/>
    <mergeCell ref="C212:C214"/>
    <mergeCell ref="C146:C148"/>
    <mergeCell ref="C152:C154"/>
    <mergeCell ref="C158:C160"/>
    <mergeCell ref="C164:C166"/>
    <mergeCell ref="C170:C172"/>
    <mergeCell ref="C176:C178"/>
    <mergeCell ref="C182:C184"/>
    <mergeCell ref="C188:C190"/>
    <mergeCell ref="C194:C196"/>
    <mergeCell ref="C200:C202"/>
    <mergeCell ref="C206:C208"/>
    <mergeCell ref="C140:C142"/>
    <mergeCell ref="C74:C76"/>
    <mergeCell ref="C80:C82"/>
    <mergeCell ref="C86:C88"/>
    <mergeCell ref="C92:C94"/>
    <mergeCell ref="C98:C100"/>
    <mergeCell ref="C104:C106"/>
    <mergeCell ref="C110:C112"/>
    <mergeCell ref="C116:C118"/>
    <mergeCell ref="C122:C124"/>
    <mergeCell ref="C128:C130"/>
    <mergeCell ref="C134:C136"/>
    <mergeCell ref="C68:C70"/>
    <mergeCell ref="C2:C4"/>
    <mergeCell ref="C8:C10"/>
    <mergeCell ref="C14:C16"/>
    <mergeCell ref="C20:C22"/>
    <mergeCell ref="C26:C28"/>
    <mergeCell ref="C32:C34"/>
    <mergeCell ref="C38:C40"/>
    <mergeCell ref="C44:C46"/>
    <mergeCell ref="C50:C52"/>
    <mergeCell ref="C56:C58"/>
    <mergeCell ref="C62:C64"/>
    <mergeCell ref="C476:C478"/>
    <mergeCell ref="C446:C448"/>
    <mergeCell ref="C452:C454"/>
    <mergeCell ref="C458:C460"/>
    <mergeCell ref="C464:C466"/>
    <mergeCell ref="C470:C472"/>
  </mergeCells>
  <pageMargins left="0.39" right="0.34" top="0.3" bottom="1.7" header="0.3" footer="0.3"/>
  <pageSetup orientation="portrait" r:id="rId1"/>
  <rowBreaks count="2" manualBreakCount="2">
    <brk id="420" max="8" man="1"/>
    <brk id="450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Build Plan w Hours</vt:lpstr>
      <vt:lpstr>Build Plan - No Hours</vt:lpstr>
      <vt:lpstr>Sheet2-PASTE HERE!</vt:lpstr>
      <vt:lpstr>Tasks with Hours</vt:lpstr>
      <vt:lpstr>Tasks - No Hours</vt:lpstr>
      <vt:lpstr>'Build Plan - No Hours'!Print_Area</vt:lpstr>
      <vt:lpstr>'Build Plan w Hours'!Print_Area</vt:lpstr>
      <vt:lpstr>'Tasks - No Hours'!Print_Area</vt:lpstr>
      <vt:lpstr>'Tasks with Hours'!Print_Area</vt:lpstr>
      <vt:lpstr>'Build Plan w Hours'!Print_Titles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Traveler</dc:title>
  <dc:creator>Crystal Decisions</dc:creator>
  <dc:description>Powered by Crystal</dc:description>
  <cp:lastModifiedBy>Sherri Jones</cp:lastModifiedBy>
  <cp:lastPrinted>2025-08-01T17:52:42Z</cp:lastPrinted>
  <dcterms:created xsi:type="dcterms:W3CDTF">2016-06-28T20:53:17Z</dcterms:created>
  <dcterms:modified xsi:type="dcterms:W3CDTF">2025-08-01T17:53:07Z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01C2D35AF44DC8546069FCCFAB82437E8AE85364339A3FD7B8457322ABA5F93C1946319DEC9FEB372CA6F18F9A86D7A760E9433A14A31CA44E93C3CB76290C22F08862345014DF2CAA86CCA7EE6CB5E3DF352800A2D4FBBDB5E6ABD6AB5EAB5FF47D98B319B86EC9C5777550DB4B79CEAB2BE3B69235938CF64CF5B12DB136B</vt:lpwstr>
  </property>
  <property fmtid="{D5CDD505-2E9C-101B-9397-08002B2CF9AE}" pid="3" name="Business Objects Context Information1">
    <vt:lpwstr>AFFEEDD10184B589682B52480D7D8C2E79E6CB08A023B94D90F6CF0264DA19DF0B9242B9A7AD48B10665F83591170027413C9395EB0D86E6AA48FA6381A50A563F5937D1C184D971A6E2B3B5F63329E2C18B34585ED3299E55717354C0450D9768743EEA99EF3C1375B1116D9654D0A7612542753719ED317F3DEE4659CA8BB</vt:lpwstr>
  </property>
  <property fmtid="{D5CDD505-2E9C-101B-9397-08002B2CF9AE}" pid="4" name="Business Objects Context Information2">
    <vt:lpwstr>D373596D59344F2C67B0C799C152989E8D763AC47B419E99BFDD1232274C9927C70B27D8E5FE742A26972D9655B9642308CA3BD52F1B572504A1DB833280BEF8C72A6A6749608BA21817C5F844B900E4FF5569C343BA231F33F8D04BFF97CE460F73B53965BEBE81C6B29577AF3B8118DCFA10A33892450AF8A0E14467E5440</vt:lpwstr>
  </property>
  <property fmtid="{D5CDD505-2E9C-101B-9397-08002B2CF9AE}" pid="5" name="Business Objects Context Information3">
    <vt:lpwstr>FD3DA7A17F1F15C3594C54079646E7A0D98346F0B199371C9BA075F96B3EE330CBFD350950E69A28F20DC5DFF6860FD40628F9896E23FC7C7A9E30E7282AEB76F8802895C18A8D72825F075EF1F3EAF2D4AE61FA62A655103709FDB1F059A58244FB53F4DADB71B417D2321C4214D7A6CCFF09DD50AC21448778EAE9C23EFCF</vt:lpwstr>
  </property>
  <property fmtid="{D5CDD505-2E9C-101B-9397-08002B2CF9AE}" pid="6" name="Business Objects Context Information4">
    <vt:lpwstr>58950870172DF061253EEFA2F6F94EB531815AD340E54019403D26D16D690470B8AC4453F7B4BEE0F785E4FD175E022C326690BFCEE954D83BDE094A6C24DCB76CC4938BF25A5E1ABDE7583E7F19BB61F8ABD5DA7B3A3446BFE158BF99A933D8FD7ED1454F7A7160134AB4F8D4D872A487ACC4B8B2D9858B7D448FB2E5AC394</vt:lpwstr>
  </property>
  <property fmtid="{D5CDD505-2E9C-101B-9397-08002B2CF9AE}" pid="7" name="Business Objects Context Information5">
    <vt:lpwstr>5DA3351967656FC308124F6C8AF30E01BF3A4A3A2194912073D7A6DB19064FD7981092AFAFA17522D59B0A639D438331EA0E06C7FE5D9065E8FA683DED3A3E2F0ACC77218ABE97388DE7453ED79D8B6093D7672E2769F015AE2E2DA88C7011584D01393972CBF26487FB0F63F9CC80D8EADAE06AF147FC174BDC660505BA79B</vt:lpwstr>
  </property>
  <property fmtid="{D5CDD505-2E9C-101B-9397-08002B2CF9AE}" pid="8" name="Business Objects Context Information6">
    <vt:lpwstr>AD4C06BC5769F47A1D0CD30BACF2102B3D29F5FA90782B75CD325A7EB4A5005944EFC9709DFBC1B486EFD4A397A45A8CD92780BF</vt:lpwstr>
  </property>
</Properties>
</file>