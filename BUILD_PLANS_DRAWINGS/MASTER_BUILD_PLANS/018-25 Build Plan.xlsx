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18-25 - Kimberly Clark - 420-BT-42001\"/>
    </mc:Choice>
  </mc:AlternateContent>
  <xr:revisionPtr revIDLastSave="0" documentId="13_ncr:1_{0CCF949A-F2A8-4AF4-8761-8AD46CBAA5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0" i="2" l="1"/>
  <c r="E147" i="2"/>
  <c r="E195" i="2" l="1"/>
</calcChain>
</file>

<file path=xl/sharedStrings.xml><?xml version="1.0" encoding="utf-8"?>
<sst xmlns="http://schemas.openxmlformats.org/spreadsheetml/2006/main" count="524" uniqueCount="366">
  <si>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</si>
  <si>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</si>
  <si>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</si>
  <si>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</si>
  <si>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</si>
  <si>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</si>
  <si>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</si>
  <si>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</si>
  <si>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</si>
  <si>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</si>
  <si>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</si>
  <si>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</si>
  <si>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</si>
  <si>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</si>
  <si>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</si>
  <si>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</si>
  <si>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</si>
  <si>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</si>
  <si>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</si>
  <si>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</si>
  <si>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</si>
  <si>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</si>
  <si>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</si>
  <si>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</si>
  <si>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</si>
  <si>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</si>
  <si>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</si>
  <si>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</si>
  <si>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</si>
  <si>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</si>
  <si>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</si>
  <si>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</si>
  <si>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</si>
  <si>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</si>
  <si>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</si>
  <si>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</si>
  <si>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</si>
  <si>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</si>
  <si>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</si>
  <si>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</si>
  <si>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</si>
  <si>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</si>
  <si>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</si>
  <si>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</si>
  <si>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</si>
  <si>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</si>
  <si>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</si>
  <si>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</si>
  <si>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</si>
  <si>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</si>
  <si>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</si>
  <si>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</si>
  <si>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</si>
  <si>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</si>
  <si>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</si>
  <si>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</si>
  <si>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</si>
  <si>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</si>
  <si>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</si>
  <si>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</si>
  <si>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</si>
  <si>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</si>
  <si>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</si>
  <si>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</si>
  <si>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</si>
  <si>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</si>
  <si>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</si>
  <si>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</si>
  <si>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</si>
  <si>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</si>
  <si>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</si>
  <si>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</si>
  <si>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</si>
  <si>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</si>
  <si>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</si>
  <si>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</si>
  <si>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</si>
  <si>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</si>
  <si>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</si>
  <si>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</si>
  <si>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</si>
  <si>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</si>
  <si>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</si>
  <si>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</si>
  <si>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</si>
  <si>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</si>
  <si>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</si>
  <si>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</si>
  <si>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</si>
  <si>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</si>
  <si>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</si>
  <si>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</si>
  <si>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</si>
  <si>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</si>
  <si>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</si>
  <si>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</si>
  <si>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</si>
  <si>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</si>
  <si>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</si>
  <si>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</si>
  <si>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</si>
  <si>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</si>
  <si>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</si>
  <si>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</si>
  <si>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</si>
  <si>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</si>
  <si>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</si>
  <si>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</si>
  <si>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</si>
  <si>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</si>
  <si>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</si>
  <si>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</si>
  <si>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</si>
  <si>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</si>
  <si>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</si>
  <si>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</si>
  <si>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</si>
  <si>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</si>
  <si>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</si>
  <si>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</si>
  <si>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</si>
  <si>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</si>
  <si>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</si>
  <si>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</si>
  <si>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</si>
  <si>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</si>
  <si>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</si>
  <si>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</si>
  <si>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</si>
  <si>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</si>
  <si>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</si>
  <si>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</si>
  <si>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</si>
  <si>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</si>
  <si>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</si>
  <si>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</si>
  <si>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</si>
  <si>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</si>
  <si>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</si>
  <si>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</si>
  <si>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</si>
  <si>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</si>
  <si>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</si>
  <si>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</si>
  <si>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</si>
  <si>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</si>
  <si>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</si>
  <si>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</si>
  <si>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</si>
  <si>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</si>
  <si>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</si>
  <si>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</si>
  <si>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</si>
  <si>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</si>
  <si>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</si>
  <si>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</si>
  <si>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</si>
  <si>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</si>
  <si>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</si>
  <si>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</si>
  <si>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</si>
  <si>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</si>
  <si>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</si>
  <si>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</si>
  <si>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</si>
  <si>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</si>
  <si>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</si>
  <si>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</si>
  <si>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</si>
  <si>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</si>
  <si>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</si>
  <si>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</si>
  <si>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</si>
  <si>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</si>
  <si>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</si>
  <si>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</si>
  <si>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</si>
  <si>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</si>
  <si>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</si>
  <si>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</si>
  <si>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</si>
  <si>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</si>
  <si>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</si>
  <si>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</si>
  <si>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</si>
  <si>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</si>
  <si>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</si>
  <si>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</si>
  <si>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</si>
  <si>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</si>
  <si>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</si>
  <si>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</si>
  <si>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</si>
  <si>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</si>
  <si>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</si>
  <si>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</si>
  <si>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</si>
  <si>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</si>
  <si>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</si>
  <si>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</si>
  <si>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</si>
  <si>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</si>
  <si>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</si>
  <si>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</si>
  <si>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</si>
  <si>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</si>
  <si>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</si>
  <si>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</si>
  <si>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</si>
  <si>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</si>
  <si>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</si>
  <si>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</si>
  <si>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</si>
  <si>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</si>
  <si>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</si>
  <si>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</si>
  <si>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</si>
  <si>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</si>
  <si>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</si>
  <si>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</si>
  <si>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</si>
  <si>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</si>
  <si>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</si>
  <si>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</si>
  <si>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</si>
  <si>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</si>
  <si>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</si>
  <si>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</si>
  <si>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</si>
  <si>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</si>
  <si>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</si>
  <si>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</si>
  <si>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</si>
  <si>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</si>
  <si>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</si>
  <si>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</si>
  <si>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</si>
  <si>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</si>
  <si>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</si>
  <si>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</si>
  <si>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</si>
  <si>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</si>
  <si>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</si>
  <si>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</si>
  <si>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</si>
  <si>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</si>
  <si>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</si>
  <si>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</si>
  <si>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</si>
  <si>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</si>
  <si>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</si>
  <si>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</si>
  <si>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</si>
  <si>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</si>
  <si>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</si>
  <si>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</si>
  <si>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</si>
  <si>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</si>
  <si>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</si>
  <si>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</si>
  <si>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</si>
  <si>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</si>
  <si>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</si>
  <si>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</si>
  <si>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</si>
  <si>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</si>
  <si>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</si>
  <si>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</si>
  <si>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</si>
  <si>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</si>
  <si>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</si>
  <si>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</si>
  <si>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</si>
  <si>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</si>
  <si>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</si>
  <si>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</si>
  <si>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</si>
  <si>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</si>
  <si>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</si>
  <si>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</si>
  <si>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</si>
  <si>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</si>
  <si>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</si>
  <si>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</si>
  <si>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</si>
  <si>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</si>
  <si>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</si>
  <si>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</si>
  <si>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</si>
  <si>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</si>
  <si>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</si>
  <si>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</si>
  <si>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</si>
  <si>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</si>
  <si>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</si>
  <si>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</si>
  <si>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</si>
  <si>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</si>
  <si>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</si>
  <si>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</si>
  <si>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</si>
  <si>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</si>
  <si>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</si>
  <si>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</si>
  <si>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</si>
  <si>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</si>
  <si>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</si>
  <si>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</si>
  <si>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</si>
  <si>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</si>
  <si>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</si>
  <si>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</si>
  <si>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</si>
  <si>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</si>
  <si>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</si>
  <si>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</si>
  <si>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</si>
  <si>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</si>
  <si>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</si>
  <si>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</si>
  <si>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</si>
  <si>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</si>
  <si>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</si>
  <si>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</si>
  <si>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</si>
  <si>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</si>
  <si>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</si>
  <si>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</si>
  <si>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</si>
  <si>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</si>
  <si>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</si>
  <si>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</si>
  <si>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</si>
  <si>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</si>
  <si>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</si>
  <si>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</si>
  <si>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</si>
  <si>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</si>
  <si>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</si>
  <si>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</si>
  <si>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</si>
  <si>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</si>
  <si>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</si>
  <si>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</si>
  <si>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</si>
  <si>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</si>
  <si>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</si>
  <si>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</si>
  <si>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</si>
  <si>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</si>
  <si>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ON BURN TABLE</t>
  </si>
  <si>
    <t>PREP (2) DOUBLE SHELLS</t>
  </si>
  <si>
    <t>018-25</t>
  </si>
  <si>
    <t>FOR N1</t>
  </si>
  <si>
    <t>FOR N6</t>
  </si>
  <si>
    <t>HINGE FOR N6</t>
  </si>
  <si>
    <t>BUILD HATCH N6</t>
  </si>
  <si>
    <t>INCL. (8) PIPE SUPPORTS</t>
  </si>
  <si>
    <t>SHELL SUPPORTS FOR EXTENDED HANDRAIL</t>
  </si>
  <si>
    <t>ROLL (2) DOUBLE SHELLS; WELD L/S WITH COBOT</t>
  </si>
  <si>
    <t>CLEAN UP HOLES CUT ON BURN TABLE</t>
  </si>
  <si>
    <t>INCL. HOLE WATCH</t>
  </si>
  <si>
    <t>INCL. REPADS &amp; TAILING LUG</t>
  </si>
  <si>
    <t>INSTALL LEGS &amp; SUPPORT RING; WELD COMPLETE</t>
  </si>
  <si>
    <t>INSTALL SHELL SUPPORTS FOR EXTENDED HANDRAIL</t>
  </si>
  <si>
    <t>USE GUIDE TO SET (8) N3 NOZZLES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</si>
</sst>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352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9</v>
      </c>
      <c r="G8" s="10" t="s">
        <v>357</v>
      </c>
    </row>
    <row r="9" spans="2:8" x14ac:dyDescent="0.25">
      <c r="B9" s="1" t="s">
        <v>112</v>
      </c>
      <c r="C9" s="1" t="s">
        <v>120</v>
      </c>
      <c r="D9" t="s">
        <v>23</v>
      </c>
      <c r="E9" s="10">
        <v>16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>
        <v>6</v>
      </c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2</v>
      </c>
      <c r="G12" s="10" t="s">
        <v>354</v>
      </c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>
        <v>1</v>
      </c>
      <c r="G14" s="10" t="s">
        <v>353</v>
      </c>
    </row>
    <row r="15" spans="2:8" x14ac:dyDescent="0.25">
      <c r="B15" s="1" t="s">
        <v>112</v>
      </c>
      <c r="C15" s="1" t="s">
        <v>124</v>
      </c>
      <c r="D15" t="s">
        <v>105</v>
      </c>
      <c r="E15" s="10">
        <v>2</v>
      </c>
      <c r="G15" s="10" t="s">
        <v>353</v>
      </c>
    </row>
    <row r="16" spans="2:8" x14ac:dyDescent="0.25">
      <c r="B16" s="1" t="s">
        <v>112</v>
      </c>
      <c r="C16" s="1" t="s">
        <v>125</v>
      </c>
      <c r="D16" t="s">
        <v>106</v>
      </c>
      <c r="E16" s="10">
        <v>2</v>
      </c>
      <c r="G16" s="10" t="s">
        <v>355</v>
      </c>
    </row>
    <row r="17" spans="2:7" x14ac:dyDescent="0.25">
      <c r="B17" s="1" t="s">
        <v>112</v>
      </c>
      <c r="C17" s="1" t="s">
        <v>237</v>
      </c>
      <c r="D17" t="s">
        <v>240</v>
      </c>
      <c r="E17" s="10">
        <v>7</v>
      </c>
      <c r="G17" s="10" t="s">
        <v>356</v>
      </c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30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15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12</v>
      </c>
      <c r="G26" s="10"/>
    </row>
    <row r="27" spans="2:7" x14ac:dyDescent="0.25">
      <c r="B27" s="1" t="s">
        <v>112</v>
      </c>
      <c r="C27" s="1" t="s">
        <v>128</v>
      </c>
      <c r="D27" t="s">
        <v>47</v>
      </c>
      <c r="E27" s="10">
        <v>3</v>
      </c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>
        <v>3</v>
      </c>
      <c r="G44" s="10" t="s">
        <v>358</v>
      </c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>
        <v>5</v>
      </c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>
        <v>5</v>
      </c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>
        <v>2</v>
      </c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>
        <v>25</v>
      </c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>
        <v>1</v>
      </c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14</v>
      </c>
      <c r="G67" s="10" t="s">
        <v>351</v>
      </c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10</v>
      </c>
      <c r="G69" s="10" t="s">
        <v>359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>
        <v>10</v>
      </c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2</v>
      </c>
      <c r="G77" s="10" t="s">
        <v>350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10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20</v>
      </c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>
        <v>12</v>
      </c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/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5</v>
      </c>
      <c r="G123" s="10"/>
    </row>
    <row r="124" spans="2:7" x14ac:dyDescent="0.25">
      <c r="B124" s="1" t="s">
        <v>304</v>
      </c>
      <c r="C124" s="1" t="s">
        <v>186</v>
      </c>
      <c r="D124" t="s">
        <v>5</v>
      </c>
      <c r="E124" s="10">
        <v>4</v>
      </c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>
        <v>8</v>
      </c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/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/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1</v>
      </c>
      <c r="G128" s="10" t="s">
        <v>360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5</v>
      </c>
      <c r="G135" s="10"/>
    </row>
    <row r="136" spans="2:7" x14ac:dyDescent="0.25">
      <c r="B136" s="1" t="s">
        <v>306</v>
      </c>
      <c r="C136" s="1" t="s">
        <v>333</v>
      </c>
      <c r="D136" t="s">
        <v>335</v>
      </c>
      <c r="E136" s="10">
        <v>10</v>
      </c>
      <c r="G136" s="10" t="s">
        <v>361</v>
      </c>
    </row>
    <row r="137" spans="2:7" x14ac:dyDescent="0.25">
      <c r="B137" s="1" t="s">
        <v>306</v>
      </c>
      <c r="C137" s="1" t="s">
        <v>195</v>
      </c>
      <c r="D137" t="s">
        <v>8</v>
      </c>
      <c r="E137" s="10">
        <v>15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2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5</v>
      </c>
      <c r="G146" s="10" t="s">
        <v>362</v>
      </c>
    </row>
    <row r="147" spans="2:7" x14ac:dyDescent="0.25">
      <c r="B147" s="1" t="s">
        <v>305</v>
      </c>
      <c r="C147" s="1" t="s">
        <v>201</v>
      </c>
      <c r="D147" t="s">
        <v>341</v>
      </c>
      <c r="E147" s="10">
        <f>24+12</f>
        <v>36</v>
      </c>
      <c r="G147" s="10" t="s">
        <v>363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14</v>
      </c>
      <c r="G149" s="10" t="s">
        <v>365</v>
      </c>
    </row>
    <row r="150" spans="2:7" x14ac:dyDescent="0.25">
      <c r="B150" s="1" t="s">
        <v>306</v>
      </c>
      <c r="C150" s="1" t="s">
        <v>336</v>
      </c>
      <c r="D150" t="s">
        <v>337</v>
      </c>
      <c r="E150" s="10">
        <f>18+12</f>
        <v>30</v>
      </c>
      <c r="G150" s="10" t="s">
        <v>361</v>
      </c>
    </row>
    <row r="151" spans="2:7" x14ac:dyDescent="0.25">
      <c r="B151" s="1" t="s">
        <v>306</v>
      </c>
      <c r="C151" s="1" t="s">
        <v>203</v>
      </c>
      <c r="D151" t="s">
        <v>7</v>
      </c>
      <c r="E151" s="10">
        <v>12</v>
      </c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>
        <v>3</v>
      </c>
      <c r="G154" s="10" t="s">
        <v>364</v>
      </c>
    </row>
    <row r="155" spans="2:7" x14ac:dyDescent="0.25">
      <c r="B155" s="1" t="s">
        <v>305</v>
      </c>
      <c r="C155" s="1" t="s">
        <v>207</v>
      </c>
      <c r="D155" t="s">
        <v>65</v>
      </c>
      <c r="E155" s="10">
        <v>8</v>
      </c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12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35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2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>
        <v>2</v>
      </c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5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>
        <v>3</v>
      </c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>
        <v>3</v>
      </c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450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9" operator="greaterThan">
      <formula>25</formula>
    </cfRule>
  </conditionalFormatting>
  <conditionalFormatting sqref="F26:F88">
    <cfRule type="cellIs" dxfId="6" priority="5" operator="greaterThan">
      <formula>25</formula>
    </cfRule>
  </conditionalFormatting>
  <conditionalFormatting sqref="F91:F138">
    <cfRule type="cellIs" dxfId="5" priority="3" operator="greaterThan">
      <formula>25</formula>
    </cfRule>
  </conditionalFormatting>
  <conditionalFormatting sqref="F141:F165">
    <cfRule type="cellIs" dxfId="4" priority="2" operator="greaterThan">
      <formula>25</formula>
    </cfRule>
  </conditionalFormatting>
  <conditionalFormatting sqref="F167:F193">
    <cfRule type="cellIs" dxfId="3" priority="1" operator="greaterThan">
      <formula>25</formula>
    </cfRule>
  </conditionalFormatting>
  <conditionalFormatting sqref="F24:G25">
    <cfRule type="cellIs" dxfId="2" priority="22" operator="greaterThan">
      <formula>25</formula>
    </cfRule>
  </conditionalFormatting>
  <conditionalFormatting sqref="F166:G166">
    <cfRule type="cellIs" dxfId="1" priority="24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28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2025-10-23T18:57:36Z</cp:lastPrinted>
  <dcterms:created xsi:type="dcterms:W3CDTF">2016-06-08T20:42:28Z</dcterms:created>
  <dcterms:modified xsi:type="dcterms:W3CDTF">2025-10-24T12:58:39Z</dcterms:modified>
</cp:coreProperties>
</file>