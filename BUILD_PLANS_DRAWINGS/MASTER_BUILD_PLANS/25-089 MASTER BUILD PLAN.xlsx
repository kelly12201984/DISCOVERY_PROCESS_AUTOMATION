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89-25 - Valmet - CRU4 Smelt Dissolving Tank\"/>
    </mc:Choice>
  </mc:AlternateContent>
  <xr:revisionPtr revIDLastSave="0" documentId="13_ncr:1_{8341F5BF-5988-47CA-9E2B-9D40A675BABA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Hours'!$A$1:$H$68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<sst xmlns="http://schemas.openxmlformats.org/spreadsheetml/2006/main" count="1810" uniqueCount="247">
  <si>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</si>
  <si>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</si>
  <si>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</si>
  <si>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</si>
  <si>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</si>
  <si>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</si>
  <si>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</si>
  <si>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</si>
  <si>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</si>
  <si>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</si>
  <si>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</si>
  <si>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</si>
  <si>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</si>
  <si>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</si>
  <si>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</si>
  <si>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</si>
  <si>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</si>
  <si>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</si>
  <si>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</si>
  <si>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</si>
  <si>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</si>
  <si>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</si>
  <si>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</si>
  <si>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</si>
  <si>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</si>
  <si>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</si>
  <si>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</si>
  <si>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</si>
  <si>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</si>
  <si>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</si>
  <si>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</si>
  <si>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</si>
  <si>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</si>
  <si>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</si>
  <si>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</si>
  <si>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</si>
  <si>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</si>
  <si>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</si>
  <si>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</si>
  <si>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</si>
  <si>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</si>
  <si>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</si>
  <si>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</si>
  <si>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</si>
  <si>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</si>
  <si>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</si>
  <si>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</si>
  <si>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</si>
  <si>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</si>
  <si>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</si>
  <si>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</si>
  <si>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</si>
  <si>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</si>
  <si>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</si>
  <si>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</si>
  <si>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</si>
  <si>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</si>
  <si>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</si>
  <si>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</si>
  <si>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</si>
  <si>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FINISHING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</si>
  <si>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</si>
  <si>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</si>
  <si>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</si>
  <si>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</si>
  <si>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</si>
  <si>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</si>
  <si>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</si>
  <si>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</si>
  <si>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</si>
  <si>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</si>
  <si>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</si>
  <si>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</si>
  <si>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</si>
  <si>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</si>
  <si>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</si>
  <si>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Cut nozzle pipe and clean</t>
  </si>
  <si>
    <t>Build Nozzles-Weld</t>
  </si>
  <si>
    <t>.105</t>
  </si>
  <si>
    <t>Make Manway Parts</t>
  </si>
  <si>
    <t>.115</t>
  </si>
  <si>
    <t>Make manway parts: cut clips, form handles, etc.</t>
  </si>
  <si>
    <t>Brn MW Neck, Clean, Bevel</t>
  </si>
  <si>
    <t>.120</t>
  </si>
  <si>
    <t>Burn manway neck (CHECK BEFORE BURNING) - Clean and Bevel</t>
  </si>
  <si>
    <t>Roll Manway Neck</t>
  </si>
  <si>
    <t>.125</t>
  </si>
  <si>
    <t>Roll manway neck</t>
  </si>
  <si>
    <t>S/U Weld MW Flg, Neck Sem</t>
  </si>
  <si>
    <t>.130</t>
  </si>
  <si>
    <t>Set up and weld manway flange and neck seam</t>
  </si>
  <si>
    <t>Bld Davit Arm Aby Cover</t>
  </si>
  <si>
    <t>.135</t>
  </si>
  <si>
    <t>Build davit arm assembly and cover</t>
  </si>
  <si>
    <t>Burn and clean parts:  lugs, supports, repads, base ring, etc. (CHECK!)</t>
  </si>
  <si>
    <t>Bld Lift Lugs, Grd Lugs</t>
  </si>
  <si>
    <t>.200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</si>
  <si>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</si>
  <si>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</si>
  <si>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</si>
  <si>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</si>
  <si>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</si>
  <si>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</si>
  <si>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</si>
  <si>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</si>
  <si>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</si>
  <si>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L/O Top, B&amp;C Holes</t>
  </si>
  <si>
    <t>.355</t>
  </si>
  <si>
    <t>Fit Bottom Head to Shell</t>
  </si>
  <si>
    <t>.600</t>
  </si>
  <si>
    <t>Tack Shell Courses</t>
  </si>
  <si>
    <t>.605</t>
  </si>
  <si>
    <t>Weld Inside Round Seams</t>
  </si>
  <si>
    <t>.610</t>
  </si>
  <si>
    <t>L/O Shell, B&amp;C Holes</t>
  </si>
  <si>
    <t>.620</t>
  </si>
  <si>
    <t>QC Inspection - Internal</t>
  </si>
  <si>
    <t>.QC5</t>
  </si>
  <si>
    <t>Fit Top to Shell</t>
  </si>
  <si>
    <t>.640</t>
  </si>
  <si>
    <t>MOVE TANK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</si>
  <si>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</si>
  <si>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</si>
  <si>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</si>
  <si>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</si>
  <si>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</si>
  <si>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</si>
  <si>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</si>
  <si>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</si>
  <si>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</si>
  <si>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</si>
  <si>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</si>
  <si>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</si>
  <si>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</si>
  <si>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</si>
  <si>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</si>
  <si>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</si>
  <si>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</si>
  <si>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</si>
  <si>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QC Inspection - Test</t>
  </si>
  <si>
    <t>.QC7</t>
  </si>
  <si>
    <t>Clean Tank Complete</t>
  </si>
  <si>
    <t>.920</t>
  </si>
  <si>
    <t>Clean tank complete</t>
  </si>
  <si>
    <t>QC Inspection - Clean</t>
  </si>
  <si>
    <t>.QC8</t>
  </si>
  <si>
    <t>Fab Miscellaneous Parts</t>
  </si>
  <si>
    <t>.252</t>
  </si>
  <si>
    <t>Build Top Head/Cone</t>
  </si>
  <si>
    <t>.350</t>
  </si>
  <si>
    <t>Build Bottom Head/Cone</t>
  </si>
  <si>
    <t>.450</t>
  </si>
  <si>
    <t>Cut Parts on Burn Table</t>
  </si>
  <si>
    <t>Clean &amp; Prep Parts</t>
  </si>
  <si>
    <t>.156</t>
  </si>
  <si>
    <t>Misc Fabrication</t>
  </si>
  <si>
    <t>.261</t>
  </si>
  <si>
    <t>QC Inspection - Pre Sub C</t>
  </si>
  <si>
    <t>.QC2</t>
  </si>
  <si>
    <t>QC Inspection - Components prior to shipping to Subcontractor</t>
  </si>
  <si>
    <t>Weld inside round seams</t>
  </si>
  <si>
    <t>Install Internal Parts</t>
  </si>
  <si>
    <t>.630</t>
  </si>
  <si>
    <t>Weld all Outside Seams</t>
  </si>
  <si>
    <t>.645</t>
  </si>
  <si>
    <t>Weld all outside seams</t>
  </si>
  <si>
    <t>Add Repads-Weld</t>
  </si>
  <si>
    <t>.730</t>
  </si>
  <si>
    <t>Fit Handrail, I&amp;W Clips</t>
  </si>
  <si>
    <t>.750</t>
  </si>
  <si>
    <t>Dye Pen Test</t>
  </si>
  <si>
    <t>.900</t>
  </si>
  <si>
    <t>Dye pen test</t>
  </si>
  <si>
    <t>DISSOLVING TANK</t>
  </si>
  <si>
    <t>S30019941</t>
  </si>
  <si>
    <t>10</t>
  </si>
  <si>
    <t>Build nozzles and weld</t>
  </si>
  <si>
    <t>Build Repads for Nozzles</t>
  </si>
  <si>
    <t>.107</t>
  </si>
  <si>
    <t>Build Repads for Nozzles, drill and tap holes</t>
  </si>
  <si>
    <t>Install Cladding on Flng</t>
  </si>
  <si>
    <t>.145</t>
  </si>
  <si>
    <t>Install cladding on flange_x000D_
FOR MANWAY</t>
  </si>
  <si>
    <t>Install Clad on Blind/Cov</t>
  </si>
  <si>
    <t>.147</t>
  </si>
  <si>
    <t>Install cladding on blind/cover_x000D_
FOR MANWAY</t>
  </si>
  <si>
    <t>Make lift lugs, ground lugs, etc.</t>
  </si>
  <si>
    <t>Bld T-B Stiffeners</t>
  </si>
  <si>
    <t>.235</t>
  </si>
  <si>
    <t>Build top and bottom stiffeners_x000D_
INCL CUT NOTCHES IN BEAMS</t>
  </si>
  <si>
    <t>Fabricate miscellaneous parts_x000D_
MAKE (2) STACK CONNECTIONS (N14 A &amp; B)</t>
  </si>
  <si>
    <t>Miscellaneous Fabrication - Braces, Mounting Plates, Cone Outlet Necks_x000D_
MAKE OVERFLOW ASSEMBLY</t>
  </si>
  <si>
    <t>Shells: bring in plate, square, trim and clean_x000D_
PREP *8) SHELL SECTIONS FOR ROLLING</t>
  </si>
  <si>
    <t>Bevel Shell Plates</t>
  </si>
  <si>
    <t>.310</t>
  </si>
  <si>
    <t>Bevel shell plates</t>
  </si>
  <si>
    <t>Roll shells, tack and weld inside seams_x000D_
ROLL (8) SHELL SECTIONS</t>
  </si>
  <si>
    <t>Build top head/cone_x000D_
BUILD TOP IN (2) SECTIONS</t>
  </si>
  <si>
    <t>Lay out top head, burn and clean holes_x000D_
***DO NOT CUT COLLAR CONNECTIONS***</t>
  </si>
  <si>
    <t>Bevel Top Head</t>
  </si>
  <si>
    <t>.360</t>
  </si>
  <si>
    <t>Bevel top head</t>
  </si>
  <si>
    <t>Install Top Stiffeners</t>
  </si>
  <si>
    <t>.375</t>
  </si>
  <si>
    <t>Install top stiffeners_x000D_
INSTALL (4) STIFFENERS ON LOWER ROOF SECTION</t>
  </si>
  <si>
    <t>Build bottom head/cone_x000D_
BUILD BOTTOM IN (2) SECTIONS</t>
  </si>
  <si>
    <t>Bevel Bottom Head</t>
  </si>
  <si>
    <t>.460</t>
  </si>
  <si>
    <t>Bevel bottom head</t>
  </si>
  <si>
    <t>Fit bottom head to shell_x000D_
FIT LOWER SHELL COURSE &amp; WELD TO BOTTOM</t>
  </si>
  <si>
    <t>Tack shell courses together_x000D_
FIT UPPER SHELL COURSE TO LOWER SHELL COURSE</t>
  </si>
  <si>
    <t>Lay out shell, burn and clean holes_x000D_
BEVEL HOLES CUT ON BURN TABLE</t>
  </si>
  <si>
    <t>Install internals - wear plates, rings, clips, etc._x000D_
(3) WEAR PADS &amp; (8) SHIPPING SUPPORTS</t>
  </si>
  <si>
    <t>Fit top head to shell - tack</t>
  </si>
  <si>
    <t>Weld top to shell</t>
  </si>
  <si>
    <t>.641</t>
  </si>
  <si>
    <t>Weld top head to shell - inside</t>
  </si>
  <si>
    <t>Install Insul/Vac Rings</t>
  </si>
  <si>
    <t>.715</t>
  </si>
  <si>
    <t>Install insulation/vacuum rings - tack_x000D_
INSTALL (12) VERTICAL SHELL STIFFENERS</t>
  </si>
  <si>
    <t>Install supports - legs, lugs, anchors, saddles, skirt_x000D_
FIT &amp; WELD (14) GUSSETS</t>
  </si>
  <si>
    <t>Set nozzles in shell - tack_x000D_
FIT NOZZLES, MANWAY, AND MIXER MOUNTS</t>
  </si>
  <si>
    <t>Weld shell nozzles, manways, etc.</t>
  </si>
  <si>
    <t>Add repads and weld</t>
  </si>
  <si>
    <t>Fit handrail - install and weld clips_x000D_
SEPARATE TANK IN (2) SECTIONS</t>
  </si>
  <si>
    <t>Customer Inspection</t>
  </si>
  <si>
    <t>.OI4</t>
  </si>
  <si>
    <t>Move to Paint Area</t>
  </si>
  <si>
    <t>.802</t>
  </si>
  <si>
    <t>Move to paint area</t>
  </si>
  <si>
    <t>QC Inspection - Sandblast</t>
  </si>
  <si>
    <t>.QC9</t>
  </si>
  <si>
    <t>QC Inspection - Paint</t>
  </si>
  <si>
    <t>.QC90</t>
  </si>
  <si>
    <t>Prepare Tank for Shipment</t>
  </si>
  <si>
    <t>.940</t>
  </si>
  <si>
    <t>Prepare tank for shipment</t>
  </si>
  <si>
    <t>Check BOM, Pack Parts</t>
  </si>
  <si>
    <t>.950</t>
  </si>
  <si>
    <t>Check bill of materials and pack loose parts</t>
  </si>
  <si>
    <t>Take Parts - Machine Shop</t>
  </si>
  <si>
    <t>.971</t>
  </si>
  <si>
    <t>Take parts to machine shop</t>
  </si>
  <si>
    <t>P/U Parts - Machine Shop</t>
  </si>
  <si>
    <t>.973</t>
  </si>
  <si>
    <t>Pick up parts from machine shop</t>
  </si>
  <si>
    <t>089-25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</si>
</sst>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68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246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DISSOLVING TANK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</v>
      </c>
      <c r="E7" s="13">
        <f>'Sheet2-PASTE HERE!'!F17</f>
        <v>10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</v>
      </c>
      <c r="E8" s="13">
        <f>'Sheet2-PASTE HERE!'!F18</f>
        <v>14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.107</v>
      </c>
      <c r="D9" s="22" t="str">
        <f>'Sheet2-PASTE HERE!'!K19</f>
        <v>Build Repads for Nozzles, drill and tap holes</v>
      </c>
      <c r="E9" s="13">
        <f>'Sheet2-PASTE HERE!'!F19</f>
        <v>12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.115</v>
      </c>
      <c r="D10" s="22" t="str">
        <f>'Sheet2-PASTE HERE!'!K20</f>
        <v>Make manway parts: cut clips, form handles, etc.</v>
      </c>
      <c r="E10" s="13">
        <f>'Sheet2-PASTE HERE!'!F20</f>
        <v>6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.120</v>
      </c>
      <c r="D11" s="22" t="str">
        <f>'Sheet2-PASTE HERE!'!K21</f>
        <v>Burn manway neck (CHECK BEFORE BURNING) - Clean and Bevel</v>
      </c>
      <c r="E11" s="13">
        <f>'Sheet2-PASTE HERE!'!F21</f>
        <v>2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.125</v>
      </c>
      <c r="D12" s="22" t="str">
        <f>'Sheet2-PASTE HERE!'!K22</f>
        <v>Roll manway neck</v>
      </c>
      <c r="E12" s="13">
        <f>'Sheet2-PASTE HERE!'!F22</f>
        <v>4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.130</v>
      </c>
      <c r="D13" s="22" t="str">
        <f>'Sheet2-PASTE HERE!'!K23</f>
        <v>Set up and weld manway flange and neck seam</v>
      </c>
      <c r="E13" s="13">
        <f>'Sheet2-PASTE HERE!'!F23</f>
        <v>6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.135</v>
      </c>
      <c r="D14" s="22" t="str">
        <f>'Sheet2-PASTE HERE!'!K24</f>
        <v>Build davit arm assembly and cover</v>
      </c>
      <c r="E14" s="13">
        <f>'Sheet2-PASTE HERE!'!F24</f>
        <v>5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.145</v>
      </c>
      <c r="D15" s="22" t="str">
        <f>'Sheet2-PASTE HERE!'!K25</f>
        <v>Install cladding on flange_x000D_
FOR MANWAY</v>
      </c>
      <c r="E15" s="13">
        <f>'Sheet2-PASTE HERE!'!F25</f>
        <v>10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.147</v>
      </c>
      <c r="D16" s="22" t="str">
        <f>'Sheet2-PASTE HERE!'!K26</f>
        <v>Install cladding on blind/cover_x000D_
FOR MANWAY</v>
      </c>
      <c r="E16" s="13">
        <f>'Sheet2-PASTE HERE!'!F26</f>
        <v>20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.155</v>
      </c>
      <c r="D17" s="22" t="str">
        <f>'Sheet2-PASTE HERE!'!K27</f>
        <v>Burn and clean parts:  lugs, supports, repads, base ring, etc. (CHECK!)</v>
      </c>
      <c r="E17" s="13">
        <f>'Sheet2-PASTE HERE!'!F27</f>
        <v>70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.156</v>
      </c>
      <c r="D18" s="22">
        <f>'Sheet2-PASTE HERE!'!K28</f>
        <v>0</v>
      </c>
      <c r="E18" s="13">
        <f>'Sheet2-PASTE HERE!'!F28</f>
        <v>35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.200</v>
      </c>
      <c r="D19" s="22" t="str">
        <f>'Sheet2-PASTE HERE!'!K29</f>
        <v>Make lift lugs, ground lugs, etc.</v>
      </c>
      <c r="E19" s="13">
        <f>'Sheet2-PASTE HERE!'!F29</f>
        <v>4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.235</v>
      </c>
      <c r="D20" s="22" t="str">
        <f>'Sheet2-PASTE HERE!'!K30</f>
        <v>Build top and bottom stiffeners_x000D_
INCL CUT NOTCHES IN BEAMS</v>
      </c>
      <c r="E20" s="13">
        <f>'Sheet2-PASTE HERE!'!F30</f>
        <v>65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.252</v>
      </c>
      <c r="D21" s="22" t="str">
        <f>'Sheet2-PASTE HERE!'!K31</f>
        <v>Fabricate miscellaneous parts_x000D_
MAKE (2) STACK CONNECTIONS (N14 A &amp; B)</v>
      </c>
      <c r="E21" s="13">
        <f>'Sheet2-PASTE HERE!'!F31</f>
        <v>48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.261</v>
      </c>
      <c r="D22" s="22" t="str">
        <f>'Sheet2-PASTE HERE!'!K32</f>
        <v>Miscellaneous Fabrication - Braces, Mounting Plates, Cone Outlet Necks_x000D_
MAKE OVERFLOW ASSEMBLY</v>
      </c>
      <c r="E22" s="13">
        <f>'Sheet2-PASTE HERE!'!F32</f>
        <v>48</v>
      </c>
      <c r="F22" s="12"/>
      <c r="G22" s="12"/>
      <c r="H22" s="12"/>
      <c r="K22">
        <f t="shared" si="2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INSPECTION</v>
      </c>
      <c r="B23" s="11"/>
      <c r="C23" s="17" t="str">
        <f>'Sheet2-PASTE HERE!'!I33</f>
        <v>.QC2</v>
      </c>
      <c r="D23" s="22" t="str">
        <f>'Sheet2-PASTE HERE!'!K33</f>
        <v>QC Inspection - Components prior to shipping to Subcontractor</v>
      </c>
      <c r="E23" s="13">
        <f>'Sheet2-PASTE HERE!'!F33</f>
        <v>0</v>
      </c>
      <c r="F23" s="12"/>
      <c r="G23" s="12"/>
      <c r="H23" s="12"/>
      <c r="K23">
        <f t="shared" si="2"/>
        <v>1</v>
      </c>
      <c r="L23">
        <f t="shared" si="1"/>
        <v>0</v>
      </c>
    </row>
    <row r="24" spans="1:12" ht="26.25" customHeight="1" x14ac:dyDescent="0.2">
      <c r="A24" s="10" t="str">
        <f>'Sheet2-PASTE HERE!'!A34</f>
        <v>INSPECTION</v>
      </c>
      <c r="B24" s="11"/>
      <c r="C24" s="17" t="str">
        <f>'Sheet2-PASTE HERE!'!I34</f>
        <v>.QC3</v>
      </c>
      <c r="D24" s="22" t="str">
        <f>'Sheet2-PASTE HERE!'!K34</f>
        <v>UT Shells</v>
      </c>
      <c r="E24" s="13">
        <f>'Sheet2-PASTE HERE!'!F34</f>
        <v>0</v>
      </c>
      <c r="F24" s="12"/>
      <c r="G24" s="12"/>
      <c r="H24" s="12"/>
      <c r="K24">
        <f t="shared" si="2"/>
        <v>1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.305</v>
      </c>
      <c r="D25" s="22" t="str">
        <f>'Sheet2-PASTE HERE!'!K35</f>
        <v>Shells: bring in plate, square, trim and clean_x000D_
PREP *8) SHELL SECTIONS FOR ROLLING</v>
      </c>
      <c r="E25" s="13">
        <f>'Sheet2-PASTE HERE!'!F35</f>
        <v>24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.310</v>
      </c>
      <c r="D26" s="22" t="str">
        <f>'Sheet2-PASTE HERE!'!K36</f>
        <v>Bevel shell plates</v>
      </c>
      <c r="E26" s="13">
        <f>'Sheet2-PASTE HERE!'!F36</f>
        <v>48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.315</v>
      </c>
      <c r="D27" s="22" t="str">
        <f>'Sheet2-PASTE HERE!'!K37</f>
        <v>Roll shells, tack and weld inside seams_x000D_
ROLL (8) SHELL SECTIONS</v>
      </c>
      <c r="E27" s="13">
        <f>'Sheet2-PASTE HERE!'!F37</f>
        <v>40</v>
      </c>
      <c r="F27" s="12"/>
      <c r="G27" s="12"/>
      <c r="H27" s="12"/>
      <c r="K27">
        <f t="shared" si="2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.350</v>
      </c>
      <c r="D28" s="22" t="str">
        <f>'Sheet2-PASTE HERE!'!K38</f>
        <v>Build top head/cone_x000D_
BUILD TOP IN (2) SECTIONS</v>
      </c>
      <c r="E28" s="13">
        <f>'Sheet2-PASTE HERE!'!F38</f>
        <v>40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INSPECTION</v>
      </c>
      <c r="B29" s="11"/>
      <c r="C29" s="17" t="str">
        <f>'Sheet2-PASTE HERE!'!I39</f>
        <v>.QC4</v>
      </c>
      <c r="D29" s="22" t="str">
        <f>'Sheet2-PASTE HERE!'!K39</f>
        <v>QC Inspection - Top/Bottom/Cones</v>
      </c>
      <c r="E29" s="13">
        <f>'Sheet2-PASTE HERE!'!F39</f>
        <v>0</v>
      </c>
      <c r="F29" s="12"/>
      <c r="G29" s="12"/>
      <c r="H29" s="12"/>
      <c r="K29">
        <f t="shared" si="2"/>
        <v>1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.355</v>
      </c>
      <c r="D30" s="22" t="str">
        <f>'Sheet2-PASTE HERE!'!K40</f>
        <v>Lay out top head, burn and clean holes_x000D_
***DO NOT CUT COLLAR CONNECTIONS***</v>
      </c>
      <c r="E30" s="13">
        <f>'Sheet2-PASTE HERE!'!F40</f>
        <v>1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.360</v>
      </c>
      <c r="D31" s="22" t="str">
        <f>'Sheet2-PASTE HERE!'!K41</f>
        <v>Bevel top head</v>
      </c>
      <c r="E31" s="13">
        <f>'Sheet2-PASTE HERE!'!F41</f>
        <v>30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.375</v>
      </c>
      <c r="D32" s="22" t="str">
        <f>'Sheet2-PASTE HERE!'!K42</f>
        <v>Install top stiffeners_x000D_
INSTALL (4) STIFFENERS ON LOWER ROOF SECTION</v>
      </c>
      <c r="E32" s="13">
        <f>'Sheet2-PASTE HERE!'!F42</f>
        <v>20</v>
      </c>
      <c r="F32" s="12"/>
      <c r="G32" s="12"/>
      <c r="H32" s="12"/>
      <c r="K32">
        <f t="shared" si="2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PRE FAB</v>
      </c>
      <c r="B33" s="11"/>
      <c r="C33" s="17" t="str">
        <f>'Sheet2-PASTE HERE!'!I43</f>
        <v>.450</v>
      </c>
      <c r="D33" s="22" t="str">
        <f>'Sheet2-PASTE HERE!'!K43</f>
        <v>Build bottom head/cone_x000D_
BUILD BOTTOM IN (2) SECTIONS</v>
      </c>
      <c r="E33" s="13">
        <f>'Sheet2-PASTE HERE!'!F43</f>
        <v>20</v>
      </c>
      <c r="F33" s="12"/>
      <c r="G33" s="12"/>
      <c r="H33" s="12"/>
      <c r="K33">
        <f t="shared" si="2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INSPECTION</v>
      </c>
      <c r="B34" s="11"/>
      <c r="C34" s="17" t="str">
        <f>'Sheet2-PASTE HERE!'!I44</f>
        <v>.QC4</v>
      </c>
      <c r="D34" s="22" t="str">
        <f>'Sheet2-PASTE HERE!'!K44</f>
        <v>QC Inspection - Top/Bottom/Cones</v>
      </c>
      <c r="E34" s="13">
        <f>'Sheet2-PASTE HERE!'!F44</f>
        <v>0</v>
      </c>
      <c r="F34" s="12"/>
      <c r="G34" s="12"/>
      <c r="H34" s="12"/>
      <c r="K34">
        <f t="shared" si="2"/>
        <v>1</v>
      </c>
      <c r="L34">
        <f t="shared" si="1"/>
        <v>0</v>
      </c>
    </row>
    <row r="35" spans="1:12" ht="26.25" customHeight="1" x14ac:dyDescent="0.2">
      <c r="A35" s="10" t="str">
        <f>'Sheet2-PASTE HERE!'!A45</f>
        <v>PRE FAB</v>
      </c>
      <c r="B35" s="11"/>
      <c r="C35" s="17" t="str">
        <f>'Sheet2-PASTE HERE!'!I45</f>
        <v>.460</v>
      </c>
      <c r="D35" s="22" t="str">
        <f>'Sheet2-PASTE HERE!'!K45</f>
        <v>Bevel bottom head</v>
      </c>
      <c r="E35" s="13">
        <f>'Sheet2-PASTE HERE!'!F45</f>
        <v>30</v>
      </c>
      <c r="F35" s="12"/>
      <c r="G35" s="12"/>
      <c r="H35" s="12"/>
      <c r="K35">
        <f t="shared" si="2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FIT</v>
      </c>
      <c r="B36" s="11"/>
      <c r="C36" s="17" t="str">
        <f>'Sheet2-PASTE HERE!'!I46</f>
        <v>.600</v>
      </c>
      <c r="D36" s="22" t="str">
        <f>'Sheet2-PASTE HERE!'!K46</f>
        <v>Fit bottom head to shell_x000D_
FIT LOWER SHELL COURSE &amp; WELD TO BOTTOM</v>
      </c>
      <c r="E36" s="13">
        <f>'Sheet2-PASTE HERE!'!F46</f>
        <v>100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FIT</v>
      </c>
      <c r="B37" s="11"/>
      <c r="C37" s="17" t="str">
        <f>'Sheet2-PASTE HERE!'!I47</f>
        <v>.605</v>
      </c>
      <c r="D37" s="22" t="str">
        <f>'Sheet2-PASTE HERE!'!K47</f>
        <v>Tack shell courses together_x000D_
FIT UPPER SHELL COURSE TO LOWER SHELL COURSE</v>
      </c>
      <c r="E37" s="13">
        <f>'Sheet2-PASTE HERE!'!F47</f>
        <v>80</v>
      </c>
      <c r="F37" s="12"/>
      <c r="G37" s="12"/>
      <c r="H37" s="12"/>
      <c r="K37">
        <f t="shared" si="2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.610</v>
      </c>
      <c r="D38" s="22" t="str">
        <f>'Sheet2-PASTE HERE!'!K48</f>
        <v>Weld inside round seams</v>
      </c>
      <c r="E38" s="13">
        <f>'Sheet2-PASTE HERE!'!F48</f>
        <v>50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.620</v>
      </c>
      <c r="D39" s="22" t="str">
        <f>'Sheet2-PASTE HERE!'!K49</f>
        <v>Lay out shell, burn and clean holes_x000D_
BEVEL HOLES CUT ON BURN TABLE</v>
      </c>
      <c r="E39" s="13">
        <f>'Sheet2-PASTE HERE!'!F49</f>
        <v>40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.630</v>
      </c>
      <c r="D40" s="22" t="str">
        <f>'Sheet2-PASTE HERE!'!K50</f>
        <v>Install internals - wear plates, rings, clips, etc._x000D_
(3) WEAR PADS &amp; (8) SHIPPING SUPPORTS</v>
      </c>
      <c r="E40" s="13">
        <f>'Sheet2-PASTE HERE!'!F50</f>
        <v>60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INSPECTION</v>
      </c>
      <c r="B41" s="11"/>
      <c r="C41" s="17" t="str">
        <f>'Sheet2-PASTE HERE!'!I51</f>
        <v>.QC5</v>
      </c>
      <c r="D41" s="22" t="str">
        <f>'Sheet2-PASTE HERE!'!K51</f>
        <v>QC Inspection - Internal</v>
      </c>
      <c r="E41" s="13">
        <f>'Sheet2-PASTE HERE!'!F51</f>
        <v>0</v>
      </c>
      <c r="F41" s="12"/>
      <c r="G41" s="12"/>
      <c r="H41" s="12"/>
      <c r="K41">
        <f t="shared" si="2"/>
        <v>1</v>
      </c>
      <c r="L41">
        <f t="shared" si="1"/>
        <v>0</v>
      </c>
    </row>
    <row r="42" spans="1:12" ht="26.25" customHeight="1" x14ac:dyDescent="0.2">
      <c r="A42" s="10" t="str">
        <f>'Sheet2-PASTE HERE!'!A52</f>
        <v>FIT</v>
      </c>
      <c r="B42" s="11"/>
      <c r="C42" s="17" t="str">
        <f>'Sheet2-PASTE HERE!'!I52</f>
        <v>.640</v>
      </c>
      <c r="D42" s="22" t="str">
        <f>'Sheet2-PASTE HERE!'!K52</f>
        <v>Fit top head to shell - tack</v>
      </c>
      <c r="E42" s="13">
        <f>'Sheet2-PASTE HERE!'!F52</f>
        <v>80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FIT</v>
      </c>
      <c r="B43" s="11"/>
      <c r="C43" s="17" t="str">
        <f>'Sheet2-PASTE HERE!'!I53</f>
        <v>.641</v>
      </c>
      <c r="D43" s="22" t="str">
        <f>'Sheet2-PASTE HERE!'!K53</f>
        <v>Weld top head to shell - inside</v>
      </c>
      <c r="E43" s="13">
        <f>'Sheet2-PASTE HERE!'!F53</f>
        <v>50</v>
      </c>
      <c r="F43" s="12"/>
      <c r="G43" s="12"/>
      <c r="H43" s="12"/>
      <c r="K43">
        <f t="shared" si="2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FIT</v>
      </c>
      <c r="B44" s="11"/>
      <c r="C44" s="17" t="str">
        <f>'Sheet2-PASTE HERE!'!I54</f>
        <v>.645</v>
      </c>
      <c r="D44" s="22" t="str">
        <f>'Sheet2-PASTE HERE!'!K54</f>
        <v>Weld all outside seams</v>
      </c>
      <c r="E44" s="13">
        <f>'Sheet2-PASTE HERE!'!F54</f>
        <v>120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FIT</v>
      </c>
      <c r="B45" s="11"/>
      <c r="C45" s="17" t="str">
        <f>'Sheet2-PASTE HERE!'!I55</f>
        <v>.715</v>
      </c>
      <c r="D45" s="22" t="str">
        <f>'Sheet2-PASTE HERE!'!K55</f>
        <v>Install insulation/vacuum rings - tack_x000D_
INSTALL (12) VERTICAL SHELL STIFFENERS</v>
      </c>
      <c r="E45" s="13">
        <f>'Sheet2-PASTE HERE!'!F55</f>
        <v>60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FIT</v>
      </c>
      <c r="B46" s="11"/>
      <c r="C46" s="17" t="str">
        <f>'Sheet2-PASTE HERE!'!I56</f>
        <v>.720</v>
      </c>
      <c r="D46" s="22" t="str">
        <f>'Sheet2-PASTE HERE!'!K56</f>
        <v>Install supports - legs, lugs, anchors, saddles, skirt_x000D_
FIT &amp; WELD (14) GUSSETS</v>
      </c>
      <c r="E46" s="13">
        <f>'Sheet2-PASTE HERE!'!F56</f>
        <v>28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FIT</v>
      </c>
      <c r="B47" s="11"/>
      <c r="C47" s="17" t="str">
        <f>'Sheet2-PASTE HERE!'!I57</f>
        <v>.725</v>
      </c>
      <c r="D47" s="22" t="str">
        <f>'Sheet2-PASTE HERE!'!K57</f>
        <v>Set nozzles in shell - tack_x000D_
FIT NOZZLES, MANWAY, AND MIXER MOUNTS</v>
      </c>
      <c r="E47" s="13">
        <f>'Sheet2-PASTE HERE!'!F57</f>
        <v>56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.726</v>
      </c>
      <c r="D48" s="22" t="str">
        <f>'Sheet2-PASTE HERE!'!K58</f>
        <v>Weld shell nozzles, manways, etc.</v>
      </c>
      <c r="E48" s="13">
        <f>'Sheet2-PASTE HERE!'!F58</f>
        <v>120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.730</v>
      </c>
      <c r="D49" s="22" t="str">
        <f>'Sheet2-PASTE HERE!'!K59</f>
        <v>Add repads and weld</v>
      </c>
      <c r="E49" s="13">
        <f>'Sheet2-PASTE HERE!'!F59</f>
        <v>40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.750</v>
      </c>
      <c r="D50" s="22" t="str">
        <f>'Sheet2-PASTE HERE!'!K60</f>
        <v>Fit handrail - install and weld clips_x000D_
SEPARATE TANK IN (2) SECTIONS</v>
      </c>
      <c r="E50" s="13">
        <f>'Sheet2-PASTE HERE!'!F60</f>
        <v>60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FINISHING</v>
      </c>
      <c r="B51" s="11"/>
      <c r="C51" s="17" t="str">
        <f>'Sheet2-PASTE HERE!'!I61</f>
        <v>.765</v>
      </c>
      <c r="D51" s="22" t="str">
        <f>'Sheet2-PASTE HERE!'!K61</f>
        <v>Install name tag</v>
      </c>
      <c r="E51" s="13">
        <f>'Sheet2-PASTE HERE!'!F61</f>
        <v>1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FIT</v>
      </c>
      <c r="B52" s="11"/>
      <c r="C52" s="17" t="str">
        <f>'Sheet2-PASTE HERE!'!I62</f>
        <v>.770</v>
      </c>
      <c r="D52" s="22" t="str">
        <f>'Sheet2-PASTE HERE!'!K62</f>
        <v>Inspect tank, make repairs, get QC inspector</v>
      </c>
      <c r="E52" s="13">
        <f>'Sheet2-PASTE HERE!'!F62</f>
        <v>1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INSPECTION</v>
      </c>
      <c r="B53" s="11"/>
      <c r="C53" s="17" t="str">
        <f>'Sheet2-PASTE HERE!'!I63</f>
        <v>.QC6</v>
      </c>
      <c r="D53" s="22" t="str">
        <f>'Sheet2-PASTE HERE!'!K63</f>
        <v>QC Inspection - Fabrication</v>
      </c>
      <c r="E53" s="13">
        <f>'Sheet2-PASTE HERE!'!F63</f>
        <v>0</v>
      </c>
      <c r="F53" s="12"/>
      <c r="G53" s="12"/>
      <c r="H53" s="12"/>
      <c r="K53">
        <f t="shared" si="2"/>
        <v>1</v>
      </c>
      <c r="L53">
        <f t="shared" si="1"/>
        <v>0</v>
      </c>
    </row>
    <row r="54" spans="1:12" ht="26.25" customHeight="1" x14ac:dyDescent="0.2">
      <c r="A54" s="10" t="str">
        <f>'Sheet2-PASTE HERE!'!A64</f>
        <v>INSPECTION</v>
      </c>
      <c r="B54" s="11"/>
      <c r="C54" s="17" t="str">
        <f>'Sheet2-PASTE HERE!'!I64</f>
        <v>.OI4</v>
      </c>
      <c r="D54" s="22" t="str">
        <f>'Sheet2-PASTE HERE!'!K64</f>
        <v>Customer Inspection</v>
      </c>
      <c r="E54" s="13">
        <f>'Sheet2-PASTE HERE!'!F64</f>
        <v>0</v>
      </c>
      <c r="F54" s="12"/>
      <c r="G54" s="12"/>
      <c r="H54" s="12"/>
      <c r="K54">
        <f t="shared" si="2"/>
        <v>1</v>
      </c>
      <c r="L54">
        <f t="shared" si="1"/>
        <v>1</v>
      </c>
    </row>
    <row r="55" spans="1:12" ht="26.25" customHeight="1" x14ac:dyDescent="0.2">
      <c r="A55" s="10" t="str">
        <f>'Sheet2-PASTE HERE!'!A65</f>
        <v>MOVE TANK</v>
      </c>
      <c r="B55" s="11"/>
      <c r="C55" s="17" t="str">
        <f>'Sheet2-PASTE HERE!'!I65</f>
        <v>.801</v>
      </c>
      <c r="D55" s="22" t="str">
        <f>'Sheet2-PASTE HERE!'!K65</f>
        <v>Move to shop test area</v>
      </c>
      <c r="E55" s="13">
        <f>'Sheet2-PASTE HERE!'!F65</f>
        <v>20</v>
      </c>
      <c r="F55" s="12"/>
      <c r="G55" s="12"/>
      <c r="H55" s="12"/>
      <c r="K55">
        <f t="shared" si="2"/>
        <v>0</v>
      </c>
      <c r="L55">
        <f t="shared" si="1"/>
        <v>0</v>
      </c>
    </row>
    <row r="56" spans="1:12" ht="26.25" customHeight="1" x14ac:dyDescent="0.2">
      <c r="A56" s="10" t="str">
        <f>'Sheet2-PASTE HERE!'!A66</f>
        <v>FINISHING</v>
      </c>
      <c r="B56" s="11"/>
      <c r="C56" s="17" t="str">
        <f>'Sheet2-PASTE HERE!'!I66</f>
        <v>.900</v>
      </c>
      <c r="D56" s="22" t="str">
        <f>'Sheet2-PASTE HERE!'!K66</f>
        <v>Dye pen test</v>
      </c>
      <c r="E56" s="13">
        <f>'Sheet2-PASTE HERE!'!F66</f>
        <v>20</v>
      </c>
      <c r="F56" s="12"/>
      <c r="G56" s="12"/>
      <c r="H56" s="12"/>
      <c r="K56">
        <f t="shared" si="2"/>
        <v>0</v>
      </c>
      <c r="L56">
        <f t="shared" si="1"/>
        <v>0</v>
      </c>
    </row>
    <row r="57" spans="1:12" ht="26.25" customHeight="1" x14ac:dyDescent="0.2">
      <c r="A57" s="10" t="str">
        <f>'Sheet2-PASTE HERE!'!A67</f>
        <v>INSPECTION</v>
      </c>
      <c r="B57" s="11"/>
      <c r="C57" s="17" t="str">
        <f>'Sheet2-PASTE HERE!'!I67</f>
        <v>.QC7</v>
      </c>
      <c r="D57" s="22" t="str">
        <f>'Sheet2-PASTE HERE!'!K67</f>
        <v>QC Inspection - Test</v>
      </c>
      <c r="E57" s="13">
        <f>'Sheet2-PASTE HERE!'!F67</f>
        <v>0</v>
      </c>
      <c r="F57" s="12"/>
      <c r="G57" s="12"/>
      <c r="H57" s="12"/>
      <c r="K57">
        <f t="shared" si="2"/>
        <v>1</v>
      </c>
      <c r="L57">
        <f t="shared" si="1"/>
        <v>0</v>
      </c>
    </row>
    <row r="58" spans="1:12" ht="26.25" customHeight="1" x14ac:dyDescent="0.2">
      <c r="A58" s="10" t="str">
        <f>'Sheet2-PASTE HERE!'!A68</f>
        <v>FINISHING</v>
      </c>
      <c r="B58" s="11"/>
      <c r="C58" s="17" t="str">
        <f>'Sheet2-PASTE HERE!'!I68</f>
        <v>.920</v>
      </c>
      <c r="D58" s="22" t="str">
        <f>'Sheet2-PASTE HERE!'!K68</f>
        <v>Clean tank complete</v>
      </c>
      <c r="E58" s="13">
        <f>'Sheet2-PASTE HERE!'!F68</f>
        <v>50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INSPECTION</v>
      </c>
      <c r="B59" s="11"/>
      <c r="C59" s="17" t="str">
        <f>'Sheet2-PASTE HERE!'!I69</f>
        <v>.QC8</v>
      </c>
      <c r="D59" s="22" t="str">
        <f>'Sheet2-PASTE HERE!'!K69</f>
        <v>QC Inspection - Clean</v>
      </c>
      <c r="E59" s="13">
        <f>'Sheet2-PASTE HERE!'!F69</f>
        <v>0</v>
      </c>
      <c r="F59" s="12"/>
      <c r="G59" s="12"/>
      <c r="H59" s="12"/>
      <c r="K59">
        <f t="shared" si="2"/>
        <v>1</v>
      </c>
      <c r="L59">
        <f t="shared" si="1"/>
        <v>0</v>
      </c>
    </row>
    <row r="60" spans="1:12" ht="26.25" customHeight="1" x14ac:dyDescent="0.2">
      <c r="A60" s="10" t="str">
        <f>'Sheet2-PASTE HERE!'!A70</f>
        <v>MOVE TANK</v>
      </c>
      <c r="B60" s="11"/>
      <c r="C60" s="17" t="str">
        <f>'Sheet2-PASTE HERE!'!I70</f>
        <v>.802</v>
      </c>
      <c r="D60" s="22" t="str">
        <f>'Sheet2-PASTE HERE!'!K70</f>
        <v>Move to paint area</v>
      </c>
      <c r="E60" s="13">
        <f>'Sheet2-PASTE HERE!'!F70</f>
        <v>4</v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 t="str">
        <f>'Sheet2-PASTE HERE!'!A71</f>
        <v>INSPECTION</v>
      </c>
      <c r="B61" s="11"/>
      <c r="C61" s="17" t="str">
        <f>'Sheet2-PASTE HERE!'!I71</f>
        <v>.QC9</v>
      </c>
      <c r="D61" s="22" t="str">
        <f>'Sheet2-PASTE HERE!'!K71</f>
        <v>QC Inspection - Sandblast</v>
      </c>
      <c r="E61" s="13">
        <f>'Sheet2-PASTE HERE!'!F71</f>
        <v>0</v>
      </c>
      <c r="F61" s="12"/>
      <c r="G61" s="12"/>
      <c r="H61" s="12"/>
      <c r="K61">
        <f t="shared" si="2"/>
        <v>1</v>
      </c>
      <c r="L61">
        <f t="shared" si="1"/>
        <v>0</v>
      </c>
    </row>
    <row r="62" spans="1:12" ht="26.25" customHeight="1" x14ac:dyDescent="0.2">
      <c r="A62" s="10" t="str">
        <f>'Sheet2-PASTE HERE!'!A72</f>
        <v>INSPECTION</v>
      </c>
      <c r="B62" s="11"/>
      <c r="C62" s="17" t="str">
        <f>'Sheet2-PASTE HERE!'!I72</f>
        <v>.QC90</v>
      </c>
      <c r="D62" s="22" t="str">
        <f>'Sheet2-PASTE HERE!'!K72</f>
        <v>QC Inspection - Paint</v>
      </c>
      <c r="E62" s="13">
        <f>'Sheet2-PASTE HERE!'!F72</f>
        <v>0</v>
      </c>
      <c r="F62" s="12"/>
      <c r="G62" s="12"/>
      <c r="H62" s="12"/>
      <c r="K62">
        <f t="shared" si="2"/>
        <v>1</v>
      </c>
      <c r="L62">
        <f t="shared" si="1"/>
        <v>0</v>
      </c>
    </row>
    <row r="63" spans="1:12" ht="26.25" customHeight="1" x14ac:dyDescent="0.2">
      <c r="A63" s="10" t="str">
        <f>'Sheet2-PASTE HERE!'!A73</f>
        <v>FINISHING</v>
      </c>
      <c r="B63" s="11"/>
      <c r="C63" s="17" t="str">
        <f>'Sheet2-PASTE HERE!'!I73</f>
        <v>.940</v>
      </c>
      <c r="D63" s="22" t="str">
        <f>'Sheet2-PASTE HERE!'!K73</f>
        <v>Prepare tank for shipment</v>
      </c>
      <c r="E63" s="13">
        <f>'Sheet2-PASTE HERE!'!F73</f>
        <v>10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 t="str">
        <f>'Sheet2-PASTE HERE!'!A74</f>
        <v>FINISHING</v>
      </c>
      <c r="B64" s="11"/>
      <c r="C64" s="17" t="str">
        <f>'Sheet2-PASTE HERE!'!I74</f>
        <v>.950</v>
      </c>
      <c r="D64" s="22" t="str">
        <f>'Sheet2-PASTE HERE!'!K74</f>
        <v>Check bill of materials and pack loose parts</v>
      </c>
      <c r="E64" s="13">
        <f>'Sheet2-PASTE HERE!'!F74</f>
        <v>5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 t="str">
        <f>'Sheet2-PASTE HERE!'!A75</f>
        <v>INSPECTION</v>
      </c>
      <c r="B65" s="11"/>
      <c r="C65" s="17" t="str">
        <f>'Sheet2-PASTE HERE!'!I75</f>
        <v>.QC95</v>
      </c>
      <c r="D65" s="22" t="str">
        <f>'Sheet2-PASTE HERE!'!K75</f>
        <v>QC Inspection - Final &amp; Loose Items</v>
      </c>
      <c r="E65" s="13">
        <f>'Sheet2-PASTE HERE!'!F75</f>
        <v>0</v>
      </c>
      <c r="F65" s="12"/>
      <c r="G65" s="12"/>
      <c r="H65" s="12"/>
      <c r="K65">
        <f t="shared" si="2"/>
        <v>1</v>
      </c>
      <c r="L65">
        <f t="shared" si="1"/>
        <v>0</v>
      </c>
    </row>
    <row r="66" spans="1:12" ht="26.25" customHeight="1" x14ac:dyDescent="0.2">
      <c r="A66" s="10" t="str">
        <f>'Sheet2-PASTE HERE!'!A76</f>
        <v>SHIPPING</v>
      </c>
      <c r="B66" s="11"/>
      <c r="C66" s="17" t="str">
        <f>'Sheet2-PASTE HERE!'!I76</f>
        <v>.960</v>
      </c>
      <c r="D66" s="22" t="str">
        <f>'Sheet2-PASTE HERE!'!K76</f>
        <v>Load on truck</v>
      </c>
      <c r="E66" s="13">
        <f>'Sheet2-PASTE HERE!'!F76</f>
        <v>25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 t="str">
        <f>'Sheet2-PASTE HERE!'!A77</f>
        <v>SHIPPING</v>
      </c>
      <c r="B67" s="11"/>
      <c r="C67" s="17" t="str">
        <f>'Sheet2-PASTE HERE!'!I77</f>
        <v>.971</v>
      </c>
      <c r="D67" s="22" t="str">
        <f>'Sheet2-PASTE HERE!'!K77</f>
        <v>Take parts to machine shop</v>
      </c>
      <c r="E67" s="13">
        <f>'Sheet2-PASTE HERE!'!F77</f>
        <v>4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 t="str">
        <f>'Sheet2-PASTE HERE!'!A78</f>
        <v>SHIPPING</v>
      </c>
      <c r="B68" s="11"/>
      <c r="C68" s="17" t="str">
        <f>'Sheet2-PASTE HERE!'!I78</f>
        <v>.973</v>
      </c>
      <c r="D68" s="22" t="str">
        <f>'Sheet2-PASTE HERE!'!K78</f>
        <v>Pick up parts from machine shop</v>
      </c>
      <c r="E68" s="13">
        <f>'Sheet2-PASTE HERE!'!F78</f>
        <v>4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 t="str">
        <f>'Sheet2-PASTE HERE!'!F80</f>
        <v/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B1" sqref="B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246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DISSOLVING TANK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</v>
      </c>
      <c r="E7" s="13">
        <f>'Sheet2-PASTE HERE!'!F17</f>
        <v>10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</v>
      </c>
      <c r="E8" s="13">
        <f>'Sheet2-PASTE HERE!'!F18</f>
        <v>14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.107</v>
      </c>
      <c r="D9" s="22" t="str">
        <f>'Sheet2-PASTE HERE!'!K19</f>
        <v>Build Repads for Nozzles, drill and tap holes</v>
      </c>
      <c r="E9" s="13">
        <f>'Sheet2-PASTE HERE!'!F19</f>
        <v>12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.115</v>
      </c>
      <c r="D10" s="22" t="str">
        <f>'Sheet2-PASTE HERE!'!K20</f>
        <v>Make manway parts: cut clips, form handles, etc.</v>
      </c>
      <c r="E10" s="13">
        <f>'Sheet2-PASTE HERE!'!F20</f>
        <v>6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.120</v>
      </c>
      <c r="D11" s="22" t="str">
        <f>'Sheet2-PASTE HERE!'!K21</f>
        <v>Burn manway neck (CHECK BEFORE BURNING) - Clean and Bevel</v>
      </c>
      <c r="E11" s="13">
        <f>'Sheet2-PASTE HERE!'!F21</f>
        <v>2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.125</v>
      </c>
      <c r="D12" s="22" t="str">
        <f>'Sheet2-PASTE HERE!'!K22</f>
        <v>Roll manway neck</v>
      </c>
      <c r="E12" s="13">
        <f>'Sheet2-PASTE HERE!'!F22</f>
        <v>4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.130</v>
      </c>
      <c r="D13" s="22" t="str">
        <f>'Sheet2-PASTE HERE!'!K23</f>
        <v>Set up and weld manway flange and neck seam</v>
      </c>
      <c r="E13" s="13">
        <f>'Sheet2-PASTE HERE!'!F23</f>
        <v>6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.135</v>
      </c>
      <c r="D14" s="22" t="str">
        <f>'Sheet2-PASTE HERE!'!K24</f>
        <v>Build davit arm assembly and cover</v>
      </c>
      <c r="E14" s="13">
        <f>'Sheet2-PASTE HERE!'!F24</f>
        <v>5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.145</v>
      </c>
      <c r="D15" s="22" t="str">
        <f>'Sheet2-PASTE HERE!'!K25</f>
        <v>Install cladding on flange_x000D_
FOR MANWAY</v>
      </c>
      <c r="E15" s="13">
        <f>'Sheet2-PASTE HERE!'!F25</f>
        <v>10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.147</v>
      </c>
      <c r="D16" s="22" t="str">
        <f>'Sheet2-PASTE HERE!'!K26</f>
        <v>Install cladding on blind/cover_x000D_
FOR MANWAY</v>
      </c>
      <c r="E16" s="13">
        <f>'Sheet2-PASTE HERE!'!F26</f>
        <v>20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.155</v>
      </c>
      <c r="D17" s="22" t="str">
        <f>'Sheet2-PASTE HERE!'!K27</f>
        <v>Burn and clean parts:  lugs, supports, repads, base ring, etc. (CHECK!)</v>
      </c>
      <c r="E17" s="13">
        <f>'Sheet2-PASTE HERE!'!F27</f>
        <v>70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.156</v>
      </c>
      <c r="D18" s="22">
        <f>'Sheet2-PASTE HERE!'!K28</f>
        <v>0</v>
      </c>
      <c r="E18" s="13">
        <f>'Sheet2-PASTE HERE!'!F28</f>
        <v>35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.200</v>
      </c>
      <c r="D19" s="22" t="str">
        <f>'Sheet2-PASTE HERE!'!K29</f>
        <v>Make lift lugs, ground lugs, etc.</v>
      </c>
      <c r="E19" s="13">
        <f>'Sheet2-PASTE HERE!'!F29</f>
        <v>4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.235</v>
      </c>
      <c r="D20" s="22" t="str">
        <f>'Sheet2-PASTE HERE!'!K30</f>
        <v>Build top and bottom stiffeners_x000D_
INCL CUT NOTCHES IN BEAMS</v>
      </c>
      <c r="E20" s="13">
        <f>'Sheet2-PASTE HERE!'!F30</f>
        <v>65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.252</v>
      </c>
      <c r="D21" s="22" t="str">
        <f>'Sheet2-PASTE HERE!'!K31</f>
        <v>Fabricate miscellaneous parts_x000D_
MAKE (2) STACK CONNECTIONS (N14 A &amp; B)</v>
      </c>
      <c r="E21" s="13">
        <f>'Sheet2-PASTE HERE!'!F31</f>
        <v>48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.261</v>
      </c>
      <c r="D22" s="22" t="str">
        <f>'Sheet2-PASTE HERE!'!K32</f>
        <v>Miscellaneous Fabrication - Braces, Mounting Plates, Cone Outlet Necks_x000D_
MAKE OVERFLOW ASSEMBLY</v>
      </c>
      <c r="E22" s="13">
        <f>'Sheet2-PASTE HERE!'!F32</f>
        <v>48</v>
      </c>
      <c r="F22" s="12"/>
      <c r="G22" s="12"/>
      <c r="H22" s="12"/>
      <c r="K22">
        <f t="shared" si="0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INSPECTION</v>
      </c>
      <c r="B23" s="11"/>
      <c r="C23" s="17" t="str">
        <f>'Sheet2-PASTE HERE!'!I33</f>
        <v>.QC2</v>
      </c>
      <c r="D23" s="22" t="str">
        <f>'Sheet2-PASTE HERE!'!K33</f>
        <v>QC Inspection - Components prior to shipping to Subcontractor</v>
      </c>
      <c r="E23" s="13">
        <f>'Sheet2-PASTE HERE!'!F33</f>
        <v>0</v>
      </c>
      <c r="F23" s="12"/>
      <c r="G23" s="12"/>
      <c r="H23" s="12"/>
      <c r="K23">
        <f t="shared" si="0"/>
        <v>1</v>
      </c>
      <c r="L23">
        <f t="shared" si="1"/>
        <v>0</v>
      </c>
    </row>
    <row r="24" spans="1:12" ht="26.25" customHeight="1" x14ac:dyDescent="0.2">
      <c r="A24" s="10" t="str">
        <f>'Sheet2-PASTE HERE!'!A34</f>
        <v>INSPECTION</v>
      </c>
      <c r="B24" s="11"/>
      <c r="C24" s="17" t="str">
        <f>'Sheet2-PASTE HERE!'!I34</f>
        <v>.QC3</v>
      </c>
      <c r="D24" s="22" t="str">
        <f>'Sheet2-PASTE HERE!'!K34</f>
        <v>UT Shells</v>
      </c>
      <c r="E24" s="13">
        <f>'Sheet2-PASTE HERE!'!F34</f>
        <v>0</v>
      </c>
      <c r="F24" s="12"/>
      <c r="G24" s="12"/>
      <c r="H24" s="12"/>
      <c r="K24">
        <f t="shared" si="0"/>
        <v>1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.305</v>
      </c>
      <c r="D25" s="22" t="str">
        <f>'Sheet2-PASTE HERE!'!K35</f>
        <v>Shells: bring in plate, square, trim and clean_x000D_
PREP *8) SHELL SECTIONS FOR ROLLING</v>
      </c>
      <c r="E25" s="13">
        <f>'Sheet2-PASTE HERE!'!F35</f>
        <v>24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.310</v>
      </c>
      <c r="D26" s="22" t="str">
        <f>'Sheet2-PASTE HERE!'!K36</f>
        <v>Bevel shell plates</v>
      </c>
      <c r="E26" s="13">
        <f>'Sheet2-PASTE HERE!'!F36</f>
        <v>48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.315</v>
      </c>
      <c r="D27" s="22" t="str">
        <f>'Sheet2-PASTE HERE!'!K37</f>
        <v>Roll shells, tack and weld inside seams_x000D_
ROLL (8) SHELL SECTIONS</v>
      </c>
      <c r="E27" s="13">
        <f>'Sheet2-PASTE HERE!'!F37</f>
        <v>40</v>
      </c>
      <c r="F27" s="12"/>
      <c r="G27" s="12"/>
      <c r="H27" s="12"/>
      <c r="K27">
        <f t="shared" si="0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.350</v>
      </c>
      <c r="D28" s="22" t="str">
        <f>'Sheet2-PASTE HERE!'!K38</f>
        <v>Build top head/cone_x000D_
BUILD TOP IN (2) SECTIONS</v>
      </c>
      <c r="E28" s="13">
        <f>'Sheet2-PASTE HERE!'!F38</f>
        <v>40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INSPECTION</v>
      </c>
      <c r="B29" s="11"/>
      <c r="C29" s="17" t="str">
        <f>'Sheet2-PASTE HERE!'!I39</f>
        <v>.QC4</v>
      </c>
      <c r="D29" s="22" t="str">
        <f>'Sheet2-PASTE HERE!'!K39</f>
        <v>QC Inspection - Top/Bottom/Cones</v>
      </c>
      <c r="E29" s="13">
        <f>'Sheet2-PASTE HERE!'!F39</f>
        <v>0</v>
      </c>
      <c r="F29" s="12"/>
      <c r="G29" s="12"/>
      <c r="H29" s="12"/>
      <c r="K29">
        <f t="shared" si="0"/>
        <v>1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.355</v>
      </c>
      <c r="D30" s="22" t="str">
        <f>'Sheet2-PASTE HERE!'!K40</f>
        <v>Lay out top head, burn and clean holes_x000D_
***DO NOT CUT COLLAR CONNECTIONS***</v>
      </c>
      <c r="E30" s="13">
        <f>'Sheet2-PASTE HERE!'!F40</f>
        <v>1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.360</v>
      </c>
      <c r="D31" s="22" t="str">
        <f>'Sheet2-PASTE HERE!'!K41</f>
        <v>Bevel top head</v>
      </c>
      <c r="E31" s="13">
        <f>'Sheet2-PASTE HERE!'!F41</f>
        <v>30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.375</v>
      </c>
      <c r="D32" s="22" t="str">
        <f>'Sheet2-PASTE HERE!'!K42</f>
        <v>Install top stiffeners_x000D_
INSTALL (4) STIFFENERS ON LOWER ROOF SECTION</v>
      </c>
      <c r="E32" s="13">
        <f>'Sheet2-PASTE HERE!'!F42</f>
        <v>20</v>
      </c>
      <c r="F32" s="12"/>
      <c r="G32" s="12"/>
      <c r="H32" s="12"/>
      <c r="K32">
        <f t="shared" si="0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PRE FAB</v>
      </c>
      <c r="B33" s="11"/>
      <c r="C33" s="17" t="str">
        <f>'Sheet2-PASTE HERE!'!I43</f>
        <v>.450</v>
      </c>
      <c r="D33" s="22" t="str">
        <f>'Sheet2-PASTE HERE!'!K43</f>
        <v>Build bottom head/cone_x000D_
BUILD BOTTOM IN (2) SECTIONS</v>
      </c>
      <c r="E33" s="13">
        <f>'Sheet2-PASTE HERE!'!F43</f>
        <v>20</v>
      </c>
      <c r="F33" s="12"/>
      <c r="G33" s="12"/>
      <c r="H33" s="12"/>
      <c r="K33">
        <f t="shared" si="0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INSPECTION</v>
      </c>
      <c r="B34" s="11"/>
      <c r="C34" s="17" t="str">
        <f>'Sheet2-PASTE HERE!'!I44</f>
        <v>.QC4</v>
      </c>
      <c r="D34" s="22" t="str">
        <f>'Sheet2-PASTE HERE!'!K44</f>
        <v>QC Inspection - Top/Bottom/Cones</v>
      </c>
      <c r="E34" s="13">
        <f>'Sheet2-PASTE HERE!'!F44</f>
        <v>0</v>
      </c>
      <c r="F34" s="12"/>
      <c r="G34" s="12"/>
      <c r="H34" s="12"/>
      <c r="K34">
        <f t="shared" si="0"/>
        <v>1</v>
      </c>
      <c r="L34">
        <f t="shared" si="1"/>
        <v>0</v>
      </c>
    </row>
    <row r="35" spans="1:12" ht="26.25" customHeight="1" x14ac:dyDescent="0.2">
      <c r="A35" s="10" t="str">
        <f>'Sheet2-PASTE HERE!'!A45</f>
        <v>PRE FAB</v>
      </c>
      <c r="B35" s="11"/>
      <c r="C35" s="17" t="str">
        <f>'Sheet2-PASTE HERE!'!I45</f>
        <v>.460</v>
      </c>
      <c r="D35" s="22" t="str">
        <f>'Sheet2-PASTE HERE!'!K45</f>
        <v>Bevel bottom head</v>
      </c>
      <c r="E35" s="13">
        <f>'Sheet2-PASTE HERE!'!F45</f>
        <v>30</v>
      </c>
      <c r="F35" s="12"/>
      <c r="G35" s="12"/>
      <c r="H35" s="12"/>
      <c r="K35">
        <f t="shared" si="0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FIT</v>
      </c>
      <c r="B36" s="11"/>
      <c r="C36" s="17" t="str">
        <f>'Sheet2-PASTE HERE!'!I46</f>
        <v>.600</v>
      </c>
      <c r="D36" s="22" t="str">
        <f>'Sheet2-PASTE HERE!'!K46</f>
        <v>Fit bottom head to shell_x000D_
FIT LOWER SHELL COURSE &amp; WELD TO BOTTOM</v>
      </c>
      <c r="E36" s="13">
        <f>'Sheet2-PASTE HERE!'!F46</f>
        <v>100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FIT</v>
      </c>
      <c r="B37" s="11"/>
      <c r="C37" s="17" t="str">
        <f>'Sheet2-PASTE HERE!'!I47</f>
        <v>.605</v>
      </c>
      <c r="D37" s="22" t="str">
        <f>'Sheet2-PASTE HERE!'!K47</f>
        <v>Tack shell courses together_x000D_
FIT UPPER SHELL COURSE TO LOWER SHELL COURSE</v>
      </c>
      <c r="E37" s="13">
        <f>'Sheet2-PASTE HERE!'!F47</f>
        <v>80</v>
      </c>
      <c r="F37" s="12"/>
      <c r="G37" s="12"/>
      <c r="H37" s="12"/>
      <c r="K37">
        <f t="shared" si="0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.610</v>
      </c>
      <c r="D38" s="22" t="str">
        <f>'Sheet2-PASTE HERE!'!K48</f>
        <v>Weld inside round seams</v>
      </c>
      <c r="E38" s="13">
        <f>'Sheet2-PASTE HERE!'!F48</f>
        <v>50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.620</v>
      </c>
      <c r="D39" s="22" t="str">
        <f>'Sheet2-PASTE HERE!'!K49</f>
        <v>Lay out shell, burn and clean holes_x000D_
BEVEL HOLES CUT ON BURN TABLE</v>
      </c>
      <c r="E39" s="13">
        <f>'Sheet2-PASTE HERE!'!F49</f>
        <v>40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.630</v>
      </c>
      <c r="D40" s="22" t="str">
        <f>'Sheet2-PASTE HERE!'!K50</f>
        <v>Install internals - wear plates, rings, clips, etc._x000D_
(3) WEAR PADS &amp; (8) SHIPPING SUPPORTS</v>
      </c>
      <c r="E40" s="13">
        <f>'Sheet2-PASTE HERE!'!F50</f>
        <v>60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INSPECTION</v>
      </c>
      <c r="B41" s="11"/>
      <c r="C41" s="17" t="str">
        <f>'Sheet2-PASTE HERE!'!I51</f>
        <v>.QC5</v>
      </c>
      <c r="D41" s="22" t="str">
        <f>'Sheet2-PASTE HERE!'!K51</f>
        <v>QC Inspection - Internal</v>
      </c>
      <c r="E41" s="13">
        <f>'Sheet2-PASTE HERE!'!F51</f>
        <v>0</v>
      </c>
      <c r="F41" s="12"/>
      <c r="G41" s="12"/>
      <c r="H41" s="12"/>
      <c r="K41">
        <f t="shared" si="0"/>
        <v>1</v>
      </c>
      <c r="L41">
        <f t="shared" si="1"/>
        <v>0</v>
      </c>
    </row>
    <row r="42" spans="1:12" ht="26.25" customHeight="1" x14ac:dyDescent="0.2">
      <c r="A42" s="10" t="str">
        <f>'Sheet2-PASTE HERE!'!A52</f>
        <v>FIT</v>
      </c>
      <c r="B42" s="11"/>
      <c r="C42" s="17" t="str">
        <f>'Sheet2-PASTE HERE!'!I52</f>
        <v>.640</v>
      </c>
      <c r="D42" s="22" t="str">
        <f>'Sheet2-PASTE HERE!'!K52</f>
        <v>Fit top head to shell - tack</v>
      </c>
      <c r="E42" s="13">
        <f>'Sheet2-PASTE HERE!'!F52</f>
        <v>80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FIT</v>
      </c>
      <c r="B43" s="11"/>
      <c r="C43" s="17" t="str">
        <f>'Sheet2-PASTE HERE!'!I53</f>
        <v>.641</v>
      </c>
      <c r="D43" s="22" t="str">
        <f>'Sheet2-PASTE HERE!'!K53</f>
        <v>Weld top head to shell - inside</v>
      </c>
      <c r="E43" s="13">
        <f>'Sheet2-PASTE HERE!'!F53</f>
        <v>50</v>
      </c>
      <c r="F43" s="12"/>
      <c r="G43" s="12"/>
      <c r="H43" s="12"/>
      <c r="K43">
        <f t="shared" si="0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FIT</v>
      </c>
      <c r="B44" s="11"/>
      <c r="C44" s="17" t="str">
        <f>'Sheet2-PASTE HERE!'!I54</f>
        <v>.645</v>
      </c>
      <c r="D44" s="22" t="str">
        <f>'Sheet2-PASTE HERE!'!K54</f>
        <v>Weld all outside seams</v>
      </c>
      <c r="E44" s="13">
        <f>'Sheet2-PASTE HERE!'!F54</f>
        <v>120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FIT</v>
      </c>
      <c r="B45" s="11"/>
      <c r="C45" s="17" t="str">
        <f>'Sheet2-PASTE HERE!'!I55</f>
        <v>.715</v>
      </c>
      <c r="D45" s="22" t="str">
        <f>'Sheet2-PASTE HERE!'!K55</f>
        <v>Install insulation/vacuum rings - tack_x000D_
INSTALL (12) VERTICAL SHELL STIFFENERS</v>
      </c>
      <c r="E45" s="13">
        <f>'Sheet2-PASTE HERE!'!F55</f>
        <v>60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FIT</v>
      </c>
      <c r="B46" s="11"/>
      <c r="C46" s="17" t="str">
        <f>'Sheet2-PASTE HERE!'!I56</f>
        <v>.720</v>
      </c>
      <c r="D46" s="22" t="str">
        <f>'Sheet2-PASTE HERE!'!K56</f>
        <v>Install supports - legs, lugs, anchors, saddles, skirt_x000D_
FIT &amp; WELD (14) GUSSETS</v>
      </c>
      <c r="E46" s="13">
        <f>'Sheet2-PASTE HERE!'!F56</f>
        <v>28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FIT</v>
      </c>
      <c r="B47" s="11"/>
      <c r="C47" s="17" t="str">
        <f>'Sheet2-PASTE HERE!'!I57</f>
        <v>.725</v>
      </c>
      <c r="D47" s="22" t="str">
        <f>'Sheet2-PASTE HERE!'!K57</f>
        <v>Set nozzles in shell - tack_x000D_
FIT NOZZLES, MANWAY, AND MIXER MOUNTS</v>
      </c>
      <c r="E47" s="13">
        <f>'Sheet2-PASTE HERE!'!F57</f>
        <v>56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.726</v>
      </c>
      <c r="D48" s="22" t="str">
        <f>'Sheet2-PASTE HERE!'!K58</f>
        <v>Weld shell nozzles, manways, etc.</v>
      </c>
      <c r="E48" s="13">
        <f>'Sheet2-PASTE HERE!'!F58</f>
        <v>120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.730</v>
      </c>
      <c r="D49" s="22" t="str">
        <f>'Sheet2-PASTE HERE!'!K59</f>
        <v>Add repads and weld</v>
      </c>
      <c r="E49" s="13">
        <f>'Sheet2-PASTE HERE!'!F59</f>
        <v>40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.750</v>
      </c>
      <c r="D50" s="22" t="str">
        <f>'Sheet2-PASTE HERE!'!K60</f>
        <v>Fit handrail - install and weld clips_x000D_
SEPARATE TANK IN (2) SECTIONS</v>
      </c>
      <c r="E50" s="13">
        <f>'Sheet2-PASTE HERE!'!F60</f>
        <v>60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FINISHING</v>
      </c>
      <c r="B51" s="11"/>
      <c r="C51" s="17" t="str">
        <f>'Sheet2-PASTE HERE!'!I61</f>
        <v>.765</v>
      </c>
      <c r="D51" s="22" t="str">
        <f>'Sheet2-PASTE HERE!'!K61</f>
        <v>Install name tag</v>
      </c>
      <c r="E51" s="13">
        <f>'Sheet2-PASTE HERE!'!F61</f>
        <v>1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FIT</v>
      </c>
      <c r="B52" s="11"/>
      <c r="C52" s="17" t="str">
        <f>'Sheet2-PASTE HERE!'!I62</f>
        <v>.770</v>
      </c>
      <c r="D52" s="22" t="str">
        <f>'Sheet2-PASTE HERE!'!K62</f>
        <v>Inspect tank, make repairs, get QC inspector</v>
      </c>
      <c r="E52" s="13">
        <f>'Sheet2-PASTE HERE!'!F62</f>
        <v>1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INSPECTION</v>
      </c>
      <c r="B53" s="11"/>
      <c r="C53" s="17" t="str">
        <f>'Sheet2-PASTE HERE!'!I63</f>
        <v>.QC6</v>
      </c>
      <c r="D53" s="22" t="str">
        <f>'Sheet2-PASTE HERE!'!K63</f>
        <v>QC Inspection - Fabrication</v>
      </c>
      <c r="E53" s="13">
        <f>'Sheet2-PASTE HERE!'!F63</f>
        <v>0</v>
      </c>
      <c r="F53" s="12"/>
      <c r="G53" s="12"/>
      <c r="H53" s="12"/>
      <c r="K53">
        <f t="shared" si="0"/>
        <v>1</v>
      </c>
      <c r="L53">
        <f t="shared" si="1"/>
        <v>0</v>
      </c>
    </row>
    <row r="54" spans="1:12" ht="26.25" customHeight="1" x14ac:dyDescent="0.2">
      <c r="A54" s="10" t="str">
        <f>'Sheet2-PASTE HERE!'!A64</f>
        <v>INSPECTION</v>
      </c>
      <c r="B54" s="11"/>
      <c r="C54" s="17" t="str">
        <f>'Sheet2-PASTE HERE!'!I64</f>
        <v>.OI4</v>
      </c>
      <c r="D54" s="22" t="str">
        <f>'Sheet2-PASTE HERE!'!K64</f>
        <v>Customer Inspection</v>
      </c>
      <c r="E54" s="13">
        <f>'Sheet2-PASTE HERE!'!F64</f>
        <v>0</v>
      </c>
      <c r="F54" s="12"/>
      <c r="G54" s="12"/>
      <c r="H54" s="12"/>
      <c r="K54">
        <f t="shared" si="0"/>
        <v>1</v>
      </c>
      <c r="L54">
        <f t="shared" si="1"/>
        <v>1</v>
      </c>
    </row>
    <row r="55" spans="1:12" ht="26.25" customHeight="1" x14ac:dyDescent="0.2">
      <c r="A55" s="10" t="str">
        <f>'Sheet2-PASTE HERE!'!A65</f>
        <v>MOVE TANK</v>
      </c>
      <c r="B55" s="11"/>
      <c r="C55" s="17" t="str">
        <f>'Sheet2-PASTE HERE!'!I65</f>
        <v>.801</v>
      </c>
      <c r="D55" s="22" t="str">
        <f>'Sheet2-PASTE HERE!'!K65</f>
        <v>Move to shop test area</v>
      </c>
      <c r="E55" s="13">
        <f>'Sheet2-PASTE HERE!'!F65</f>
        <v>20</v>
      </c>
      <c r="F55" s="12"/>
      <c r="G55" s="12"/>
      <c r="H55" s="12"/>
      <c r="K55">
        <f t="shared" si="0"/>
        <v>0</v>
      </c>
      <c r="L55">
        <f t="shared" si="1"/>
        <v>0</v>
      </c>
    </row>
    <row r="56" spans="1:12" ht="26.25" customHeight="1" x14ac:dyDescent="0.2">
      <c r="A56" s="10" t="str">
        <f>'Sheet2-PASTE HERE!'!A66</f>
        <v>FINISHING</v>
      </c>
      <c r="B56" s="11"/>
      <c r="C56" s="17" t="str">
        <f>'Sheet2-PASTE HERE!'!I66</f>
        <v>.900</v>
      </c>
      <c r="D56" s="22" t="str">
        <f>'Sheet2-PASTE HERE!'!K66</f>
        <v>Dye pen test</v>
      </c>
      <c r="E56" s="13">
        <f>'Sheet2-PASTE HERE!'!F66</f>
        <v>20</v>
      </c>
      <c r="F56" s="12"/>
      <c r="G56" s="12"/>
      <c r="H56" s="12"/>
      <c r="K56">
        <f t="shared" si="0"/>
        <v>0</v>
      </c>
      <c r="L56">
        <f t="shared" si="1"/>
        <v>0</v>
      </c>
    </row>
    <row r="57" spans="1:12" ht="26.25" customHeight="1" x14ac:dyDescent="0.2">
      <c r="A57" s="10" t="str">
        <f>'Sheet2-PASTE HERE!'!A67</f>
        <v>INSPECTION</v>
      </c>
      <c r="B57" s="11"/>
      <c r="C57" s="17" t="str">
        <f>'Sheet2-PASTE HERE!'!I67</f>
        <v>.QC7</v>
      </c>
      <c r="D57" s="22" t="str">
        <f>'Sheet2-PASTE HERE!'!K67</f>
        <v>QC Inspection - Test</v>
      </c>
      <c r="E57" s="13">
        <f>'Sheet2-PASTE HERE!'!F67</f>
        <v>0</v>
      </c>
      <c r="F57" s="12"/>
      <c r="G57" s="12"/>
      <c r="H57" s="12"/>
      <c r="K57">
        <f t="shared" si="0"/>
        <v>1</v>
      </c>
      <c r="L57">
        <f t="shared" si="1"/>
        <v>0</v>
      </c>
    </row>
    <row r="58" spans="1:12" ht="26.25" customHeight="1" x14ac:dyDescent="0.2">
      <c r="A58" s="10" t="str">
        <f>'Sheet2-PASTE HERE!'!A68</f>
        <v>FINISHING</v>
      </c>
      <c r="B58" s="11"/>
      <c r="C58" s="17" t="str">
        <f>'Sheet2-PASTE HERE!'!I68</f>
        <v>.920</v>
      </c>
      <c r="D58" s="22" t="str">
        <f>'Sheet2-PASTE HERE!'!K68</f>
        <v>Clean tank complete</v>
      </c>
      <c r="E58" s="13">
        <f>'Sheet2-PASTE HERE!'!F68</f>
        <v>50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INSPECTION</v>
      </c>
      <c r="B59" s="11"/>
      <c r="C59" s="17" t="str">
        <f>'Sheet2-PASTE HERE!'!I69</f>
        <v>.QC8</v>
      </c>
      <c r="D59" s="22" t="str">
        <f>'Sheet2-PASTE HERE!'!K69</f>
        <v>QC Inspection - Clean</v>
      </c>
      <c r="E59" s="13">
        <f>'Sheet2-PASTE HERE!'!F69</f>
        <v>0</v>
      </c>
      <c r="F59" s="12"/>
      <c r="G59" s="12"/>
      <c r="H59" s="12"/>
      <c r="K59">
        <f t="shared" si="0"/>
        <v>1</v>
      </c>
      <c r="L59">
        <f t="shared" si="1"/>
        <v>0</v>
      </c>
    </row>
    <row r="60" spans="1:12" ht="26.25" customHeight="1" x14ac:dyDescent="0.2">
      <c r="A60" s="10" t="str">
        <f>'Sheet2-PASTE HERE!'!A70</f>
        <v>MOVE TANK</v>
      </c>
      <c r="B60" s="11"/>
      <c r="C60" s="17" t="str">
        <f>'Sheet2-PASTE HERE!'!I70</f>
        <v>.802</v>
      </c>
      <c r="D60" s="22" t="str">
        <f>'Sheet2-PASTE HERE!'!K70</f>
        <v>Move to paint area</v>
      </c>
      <c r="E60" s="13">
        <f>'Sheet2-PASTE HERE!'!F70</f>
        <v>4</v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 t="str">
        <f>'Sheet2-PASTE HERE!'!A71</f>
        <v>INSPECTION</v>
      </c>
      <c r="B61" s="11"/>
      <c r="C61" s="17" t="str">
        <f>'Sheet2-PASTE HERE!'!I71</f>
        <v>.QC9</v>
      </c>
      <c r="D61" s="22" t="str">
        <f>'Sheet2-PASTE HERE!'!K71</f>
        <v>QC Inspection - Sandblast</v>
      </c>
      <c r="E61" s="13">
        <f>'Sheet2-PASTE HERE!'!F71</f>
        <v>0</v>
      </c>
      <c r="F61" s="12"/>
      <c r="G61" s="12"/>
      <c r="H61" s="12"/>
      <c r="K61">
        <f t="shared" si="0"/>
        <v>1</v>
      </c>
      <c r="L61">
        <f t="shared" si="1"/>
        <v>0</v>
      </c>
    </row>
    <row r="62" spans="1:12" ht="26.25" customHeight="1" x14ac:dyDescent="0.2">
      <c r="A62" s="10" t="str">
        <f>'Sheet2-PASTE HERE!'!A72</f>
        <v>INSPECTION</v>
      </c>
      <c r="B62" s="11"/>
      <c r="C62" s="17" t="str">
        <f>'Sheet2-PASTE HERE!'!I72</f>
        <v>.QC90</v>
      </c>
      <c r="D62" s="22" t="str">
        <f>'Sheet2-PASTE HERE!'!K72</f>
        <v>QC Inspection - Paint</v>
      </c>
      <c r="E62" s="13">
        <f>'Sheet2-PASTE HERE!'!F72</f>
        <v>0</v>
      </c>
      <c r="F62" s="12"/>
      <c r="G62" s="12"/>
      <c r="H62" s="12"/>
      <c r="K62">
        <f t="shared" si="0"/>
        <v>1</v>
      </c>
      <c r="L62">
        <f t="shared" si="1"/>
        <v>0</v>
      </c>
    </row>
    <row r="63" spans="1:12" ht="26.25" customHeight="1" x14ac:dyDescent="0.2">
      <c r="A63" s="10" t="str">
        <f>'Sheet2-PASTE HERE!'!A73</f>
        <v>FINISHING</v>
      </c>
      <c r="B63" s="11"/>
      <c r="C63" s="17" t="str">
        <f>'Sheet2-PASTE HERE!'!I73</f>
        <v>.940</v>
      </c>
      <c r="D63" s="22" t="str">
        <f>'Sheet2-PASTE HERE!'!K73</f>
        <v>Prepare tank for shipment</v>
      </c>
      <c r="E63" s="13">
        <f>'Sheet2-PASTE HERE!'!F73</f>
        <v>10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 t="str">
        <f>'Sheet2-PASTE HERE!'!A74</f>
        <v>FINISHING</v>
      </c>
      <c r="B64" s="11"/>
      <c r="C64" s="17" t="str">
        <f>'Sheet2-PASTE HERE!'!I74</f>
        <v>.950</v>
      </c>
      <c r="D64" s="22" t="str">
        <f>'Sheet2-PASTE HERE!'!K74</f>
        <v>Check bill of materials and pack loose parts</v>
      </c>
      <c r="E64" s="13">
        <f>'Sheet2-PASTE HERE!'!F74</f>
        <v>5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 t="str">
        <f>'Sheet2-PASTE HERE!'!A75</f>
        <v>INSPECTION</v>
      </c>
      <c r="B65" s="11"/>
      <c r="C65" s="17" t="str">
        <f>'Sheet2-PASTE HERE!'!I75</f>
        <v>.QC95</v>
      </c>
      <c r="D65" s="22" t="str">
        <f>'Sheet2-PASTE HERE!'!K75</f>
        <v>QC Inspection - Final &amp; Loose Items</v>
      </c>
      <c r="E65" s="13">
        <f>'Sheet2-PASTE HERE!'!F75</f>
        <v>0</v>
      </c>
      <c r="F65" s="12"/>
      <c r="G65" s="12"/>
      <c r="H65" s="12"/>
      <c r="K65">
        <f t="shared" si="0"/>
        <v>1</v>
      </c>
      <c r="L65">
        <f t="shared" si="1"/>
        <v>0</v>
      </c>
    </row>
    <row r="66" spans="1:12" ht="26.25" customHeight="1" x14ac:dyDescent="0.2">
      <c r="A66" s="10" t="str">
        <f>'Sheet2-PASTE HERE!'!A76</f>
        <v>SHIPPING</v>
      </c>
      <c r="B66" s="11"/>
      <c r="C66" s="17" t="str">
        <f>'Sheet2-PASTE HERE!'!I76</f>
        <v>.960</v>
      </c>
      <c r="D66" s="22" t="str">
        <f>'Sheet2-PASTE HERE!'!K76</f>
        <v>Load on truck</v>
      </c>
      <c r="E66" s="13">
        <f>'Sheet2-PASTE HERE!'!F76</f>
        <v>25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 t="str">
        <f>'Sheet2-PASTE HERE!'!A77</f>
        <v>SHIPPING</v>
      </c>
      <c r="B67" s="11"/>
      <c r="C67" s="17" t="str">
        <f>'Sheet2-PASTE HERE!'!I77</f>
        <v>.971</v>
      </c>
      <c r="D67" s="22" t="str">
        <f>'Sheet2-PASTE HERE!'!K77</f>
        <v>Take parts to machine shop</v>
      </c>
      <c r="E67" s="13">
        <f>'Sheet2-PASTE HERE!'!F77</f>
        <v>4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 t="str">
        <f>'Sheet2-PASTE HERE!'!A78</f>
        <v>SHIPPING</v>
      </c>
      <c r="B68" s="11"/>
      <c r="C68" s="17" t="str">
        <f>'Sheet2-PASTE HERE!'!I78</f>
        <v>.973</v>
      </c>
      <c r="D68" s="22" t="str">
        <f>'Sheet2-PASTE HERE!'!K78</f>
        <v>Pick up parts from machine shop</v>
      </c>
      <c r="E68" s="13">
        <f>'Sheet2-PASTE HERE!'!F78</f>
        <v>4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 t="str">
        <f>'Sheet2-PASTE HERE!'!F80</f>
        <v/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173</v>
      </c>
      <c r="C1" s="8" t="s">
        <v>17</v>
      </c>
      <c r="D1" s="8" t="s">
        <v>174</v>
      </c>
      <c r="E1" s="8" t="s">
        <v>18</v>
      </c>
      <c r="F1" s="8" t="s">
        <v>173</v>
      </c>
      <c r="G1" s="8" t="s">
        <v>173</v>
      </c>
      <c r="H1" s="8" t="s">
        <v>20</v>
      </c>
      <c r="I1" s="8" t="s">
        <v>175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45894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1700</v>
      </c>
    </row>
    <row r="2" spans="1:30" ht="12.75" customHeight="1" x14ac:dyDescent="0.2"/>
    <row r="3" spans="1:30" ht="12.75" customHeight="1" x14ac:dyDescent="0.2">
      <c r="A3" s="8" t="s">
        <v>29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/>
    <row r="10" spans="1:30" ht="12.75" customHeight="1" x14ac:dyDescent="0.2"/>
    <row r="11" spans="1:30" ht="12.75" customHeight="1" x14ac:dyDescent="0.2">
      <c r="B11" s="8" t="s">
        <v>38</v>
      </c>
      <c r="C11" s="8" t="s">
        <v>39</v>
      </c>
      <c r="D11" s="8" t="s">
        <v>40</v>
      </c>
      <c r="E11" s="8" t="s">
        <v>41</v>
      </c>
      <c r="F11" s="8" t="s">
        <v>42</v>
      </c>
    </row>
    <row r="12" spans="1:30" ht="12.75" customHeight="1" x14ac:dyDescent="0.2"/>
    <row r="13" spans="1:30" ht="12.75" customHeight="1" x14ac:dyDescent="0.2"/>
    <row r="14" spans="1:30" ht="12.75" customHeight="1" x14ac:dyDescent="0.2">
      <c r="B14" s="8" t="s">
        <v>43</v>
      </c>
      <c r="C14" s="8" t="s">
        <v>42</v>
      </c>
      <c r="D14" s="8" t="s">
        <v>44</v>
      </c>
      <c r="E14" s="8" t="s">
        <v>45</v>
      </c>
      <c r="F14" s="8" t="s">
        <v>46</v>
      </c>
      <c r="G14" s="8" t="s">
        <v>47</v>
      </c>
      <c r="H14" s="8" t="s">
        <v>48</v>
      </c>
      <c r="I14" s="8" t="s">
        <v>10</v>
      </c>
      <c r="J14" s="8" t="s">
        <v>49</v>
      </c>
      <c r="K14" s="8" t="s">
        <v>50</v>
      </c>
      <c r="L14" s="8" t="s">
        <v>51</v>
      </c>
      <c r="M14" s="8" t="s">
        <v>0</v>
      </c>
      <c r="N14" s="8" t="s">
        <v>1</v>
      </c>
      <c r="O14" s="8" t="s">
        <v>52</v>
      </c>
    </row>
    <row r="15" spans="1:30" ht="12.75" customHeight="1" x14ac:dyDescent="0.2">
      <c r="A15" s="8" t="s">
        <v>56</v>
      </c>
      <c r="B15" s="18">
        <v>55385</v>
      </c>
      <c r="C15" s="19">
        <v>0</v>
      </c>
      <c r="D15" s="8" t="s">
        <v>71</v>
      </c>
      <c r="E15" s="20">
        <v>0</v>
      </c>
      <c r="F15" s="20">
        <v>0</v>
      </c>
      <c r="G15" s="8" t="s">
        <v>54</v>
      </c>
      <c r="H15" s="20">
        <v>0</v>
      </c>
      <c r="I15" s="8" t="s">
        <v>72</v>
      </c>
      <c r="J15" s="19">
        <v>0</v>
      </c>
      <c r="K15" s="8" t="s">
        <v>71</v>
      </c>
      <c r="L15" s="8" t="s">
        <v>55</v>
      </c>
      <c r="M15" s="8" t="s">
        <v>55</v>
      </c>
      <c r="N15" s="8" t="s">
        <v>55</v>
      </c>
    </row>
    <row r="16" spans="1:30" ht="12.75" customHeight="1" x14ac:dyDescent="0.2">
      <c r="A16" s="8" t="s">
        <v>53</v>
      </c>
      <c r="B16" s="18">
        <v>55386</v>
      </c>
      <c r="C16" s="19">
        <v>0</v>
      </c>
      <c r="D16" s="8" t="s">
        <v>73</v>
      </c>
      <c r="E16" s="20">
        <v>0</v>
      </c>
      <c r="F16" s="20">
        <v>0</v>
      </c>
      <c r="G16" s="8" t="s">
        <v>54</v>
      </c>
      <c r="H16" s="20">
        <v>0</v>
      </c>
      <c r="I16" s="8" t="s">
        <v>74</v>
      </c>
      <c r="J16" s="19">
        <v>0</v>
      </c>
      <c r="K16" s="8" t="s">
        <v>75</v>
      </c>
      <c r="L16" s="8" t="s">
        <v>55</v>
      </c>
      <c r="M16" s="8" t="s">
        <v>55</v>
      </c>
      <c r="N16" s="8" t="s">
        <v>55</v>
      </c>
    </row>
    <row r="17" spans="1:14" ht="12.75" customHeight="1" x14ac:dyDescent="0.2">
      <c r="A17" s="8" t="s">
        <v>56</v>
      </c>
      <c r="B17" s="18">
        <v>55387</v>
      </c>
      <c r="C17" s="19">
        <v>0</v>
      </c>
      <c r="D17" s="8" t="s">
        <v>57</v>
      </c>
      <c r="E17" s="20">
        <v>0</v>
      </c>
      <c r="F17" s="20">
        <v>10</v>
      </c>
      <c r="G17" s="8" t="s">
        <v>54</v>
      </c>
      <c r="H17" s="20">
        <v>10</v>
      </c>
      <c r="I17" s="8" t="s">
        <v>58</v>
      </c>
      <c r="J17" s="19">
        <v>0</v>
      </c>
      <c r="K17" s="8" t="s">
        <v>76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56</v>
      </c>
      <c r="B18" s="18">
        <v>55388</v>
      </c>
      <c r="C18" s="19">
        <v>0</v>
      </c>
      <c r="D18" s="8" t="s">
        <v>77</v>
      </c>
      <c r="E18" s="20">
        <v>0</v>
      </c>
      <c r="F18" s="20">
        <v>14</v>
      </c>
      <c r="G18" s="8" t="s">
        <v>54</v>
      </c>
      <c r="H18" s="20">
        <v>14</v>
      </c>
      <c r="I18" s="8" t="s">
        <v>78</v>
      </c>
      <c r="J18" s="19">
        <v>0</v>
      </c>
      <c r="K18" s="8" t="s">
        <v>176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55389</v>
      </c>
      <c r="C19" s="19">
        <v>0</v>
      </c>
      <c r="D19" s="8" t="s">
        <v>177</v>
      </c>
      <c r="E19" s="20">
        <v>0</v>
      </c>
      <c r="F19" s="20">
        <v>12</v>
      </c>
      <c r="G19" s="8" t="s">
        <v>54</v>
      </c>
      <c r="H19" s="20">
        <v>12</v>
      </c>
      <c r="I19" s="8" t="s">
        <v>178</v>
      </c>
      <c r="J19" s="19">
        <v>0</v>
      </c>
      <c r="K19" s="8" t="s">
        <v>179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55390</v>
      </c>
      <c r="C20" s="19">
        <v>0</v>
      </c>
      <c r="D20" s="8" t="s">
        <v>79</v>
      </c>
      <c r="E20" s="20">
        <v>0</v>
      </c>
      <c r="F20" s="20">
        <v>6</v>
      </c>
      <c r="G20" s="8" t="s">
        <v>54</v>
      </c>
      <c r="H20" s="20">
        <v>6</v>
      </c>
      <c r="I20" s="8" t="s">
        <v>80</v>
      </c>
      <c r="J20" s="19">
        <v>0</v>
      </c>
      <c r="K20" s="8" t="s">
        <v>81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55391</v>
      </c>
      <c r="C21" s="19">
        <v>0</v>
      </c>
      <c r="D21" s="8" t="s">
        <v>82</v>
      </c>
      <c r="E21" s="20">
        <v>0</v>
      </c>
      <c r="F21" s="20">
        <v>2</v>
      </c>
      <c r="G21" s="8" t="s">
        <v>54</v>
      </c>
      <c r="H21" s="20">
        <v>2</v>
      </c>
      <c r="I21" s="8" t="s">
        <v>83</v>
      </c>
      <c r="J21" s="19">
        <v>0</v>
      </c>
      <c r="K21" s="8" t="s">
        <v>84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55392</v>
      </c>
      <c r="C22" s="19">
        <v>0</v>
      </c>
      <c r="D22" s="8" t="s">
        <v>85</v>
      </c>
      <c r="E22" s="20">
        <v>0</v>
      </c>
      <c r="F22" s="20">
        <v>4</v>
      </c>
      <c r="G22" s="8" t="s">
        <v>54</v>
      </c>
      <c r="H22" s="20">
        <v>4</v>
      </c>
      <c r="I22" s="8" t="s">
        <v>86</v>
      </c>
      <c r="J22" s="19">
        <v>0</v>
      </c>
      <c r="K22" s="8" t="s">
        <v>87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55393</v>
      </c>
      <c r="C23" s="19">
        <v>0</v>
      </c>
      <c r="D23" s="8" t="s">
        <v>88</v>
      </c>
      <c r="E23" s="20">
        <v>0</v>
      </c>
      <c r="F23" s="20">
        <v>6</v>
      </c>
      <c r="G23" s="8" t="s">
        <v>54</v>
      </c>
      <c r="H23" s="20">
        <v>6</v>
      </c>
      <c r="I23" s="8" t="s">
        <v>89</v>
      </c>
      <c r="J23" s="19">
        <v>0</v>
      </c>
      <c r="K23" s="8" t="s">
        <v>90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55394</v>
      </c>
      <c r="C24" s="19">
        <v>0</v>
      </c>
      <c r="D24" s="8" t="s">
        <v>91</v>
      </c>
      <c r="E24" s="20">
        <v>0</v>
      </c>
      <c r="F24" s="20">
        <v>5</v>
      </c>
      <c r="G24" s="8" t="s">
        <v>54</v>
      </c>
      <c r="H24" s="20">
        <v>5</v>
      </c>
      <c r="I24" s="8" t="s">
        <v>92</v>
      </c>
      <c r="J24" s="19">
        <v>0</v>
      </c>
      <c r="K24" s="8" t="s">
        <v>93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55395</v>
      </c>
      <c r="C25" s="19">
        <v>0</v>
      </c>
      <c r="D25" s="8" t="s">
        <v>180</v>
      </c>
      <c r="E25" s="20">
        <v>0</v>
      </c>
      <c r="F25" s="20">
        <v>10</v>
      </c>
      <c r="G25" s="8" t="s">
        <v>54</v>
      </c>
      <c r="H25" s="20">
        <v>10</v>
      </c>
      <c r="I25" s="8" t="s">
        <v>181</v>
      </c>
      <c r="J25" s="19">
        <v>0</v>
      </c>
      <c r="K25" s="8" t="s">
        <v>182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55396</v>
      </c>
      <c r="C26" s="19">
        <v>0</v>
      </c>
      <c r="D26" s="8" t="s">
        <v>183</v>
      </c>
      <c r="E26" s="20">
        <v>0</v>
      </c>
      <c r="F26" s="20">
        <v>20</v>
      </c>
      <c r="G26" s="8" t="s">
        <v>54</v>
      </c>
      <c r="H26" s="20">
        <v>20</v>
      </c>
      <c r="I26" s="8" t="s">
        <v>184</v>
      </c>
      <c r="J26" s="19">
        <v>0</v>
      </c>
      <c r="K26" s="8" t="s">
        <v>185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56</v>
      </c>
      <c r="B27" s="18">
        <v>55397</v>
      </c>
      <c r="C27" s="19">
        <v>0</v>
      </c>
      <c r="D27" s="8" t="s">
        <v>152</v>
      </c>
      <c r="E27" s="20">
        <v>0</v>
      </c>
      <c r="F27" s="20">
        <v>70</v>
      </c>
      <c r="G27" s="8" t="s">
        <v>54</v>
      </c>
      <c r="H27" s="20">
        <v>70</v>
      </c>
      <c r="I27" s="8" t="s">
        <v>59</v>
      </c>
      <c r="J27" s="19">
        <v>0</v>
      </c>
      <c r="K27" s="8" t="s">
        <v>94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56</v>
      </c>
      <c r="B28" s="18">
        <v>55398</v>
      </c>
      <c r="C28" s="19">
        <v>0</v>
      </c>
      <c r="D28" s="8" t="s">
        <v>153</v>
      </c>
      <c r="E28" s="20">
        <v>0</v>
      </c>
      <c r="F28" s="20">
        <v>35</v>
      </c>
      <c r="G28" s="8" t="s">
        <v>54</v>
      </c>
      <c r="H28" s="20">
        <v>35</v>
      </c>
      <c r="I28" s="8" t="s">
        <v>154</v>
      </c>
      <c r="J28" s="19">
        <v>0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56</v>
      </c>
      <c r="B29" s="18">
        <v>55399</v>
      </c>
      <c r="C29" s="19">
        <v>0</v>
      </c>
      <c r="D29" s="8" t="s">
        <v>95</v>
      </c>
      <c r="E29" s="20">
        <v>0</v>
      </c>
      <c r="F29" s="20">
        <v>4</v>
      </c>
      <c r="G29" s="8" t="s">
        <v>54</v>
      </c>
      <c r="H29" s="20">
        <v>4</v>
      </c>
      <c r="I29" s="8" t="s">
        <v>96</v>
      </c>
      <c r="J29" s="19">
        <v>0</v>
      </c>
      <c r="K29" s="8" t="s">
        <v>186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56</v>
      </c>
      <c r="B30" s="18">
        <v>55400</v>
      </c>
      <c r="C30" s="19">
        <v>0</v>
      </c>
      <c r="D30" s="8" t="s">
        <v>187</v>
      </c>
      <c r="E30" s="20">
        <v>0</v>
      </c>
      <c r="F30" s="20">
        <v>65</v>
      </c>
      <c r="G30" s="8" t="s">
        <v>54</v>
      </c>
      <c r="H30" s="20">
        <v>65</v>
      </c>
      <c r="I30" s="8" t="s">
        <v>188</v>
      </c>
      <c r="J30" s="19">
        <v>0</v>
      </c>
      <c r="K30" s="8" t="s">
        <v>189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56</v>
      </c>
      <c r="B31" s="18">
        <v>55401</v>
      </c>
      <c r="C31" s="19">
        <v>0</v>
      </c>
      <c r="D31" s="8" t="s">
        <v>146</v>
      </c>
      <c r="E31" s="20">
        <v>0</v>
      </c>
      <c r="F31" s="20">
        <v>48</v>
      </c>
      <c r="G31" s="8" t="s">
        <v>54</v>
      </c>
      <c r="H31" s="20">
        <v>48</v>
      </c>
      <c r="I31" s="8" t="s">
        <v>147</v>
      </c>
      <c r="J31" s="19">
        <v>0</v>
      </c>
      <c r="K31" s="8" t="s">
        <v>190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56</v>
      </c>
      <c r="B32" s="18">
        <v>55402</v>
      </c>
      <c r="C32" s="19">
        <v>0</v>
      </c>
      <c r="D32" s="8" t="s">
        <v>155</v>
      </c>
      <c r="E32" s="20">
        <v>0</v>
      </c>
      <c r="F32" s="20">
        <v>48</v>
      </c>
      <c r="G32" s="8" t="s">
        <v>54</v>
      </c>
      <c r="H32" s="20">
        <v>48</v>
      </c>
      <c r="I32" s="8" t="s">
        <v>156</v>
      </c>
      <c r="J32" s="19">
        <v>0</v>
      </c>
      <c r="K32" s="8" t="s">
        <v>191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53</v>
      </c>
      <c r="B33" s="18">
        <v>55403</v>
      </c>
      <c r="C33" s="19">
        <v>0</v>
      </c>
      <c r="D33" s="8" t="s">
        <v>157</v>
      </c>
      <c r="E33" s="20">
        <v>0</v>
      </c>
      <c r="F33" s="20">
        <v>0</v>
      </c>
      <c r="G33" s="8" t="s">
        <v>54</v>
      </c>
      <c r="H33" s="20">
        <v>0</v>
      </c>
      <c r="I33" s="8" t="s">
        <v>158</v>
      </c>
      <c r="J33" s="19">
        <v>0</v>
      </c>
      <c r="K33" s="8" t="s">
        <v>159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53</v>
      </c>
      <c r="B34" s="18">
        <v>55404</v>
      </c>
      <c r="C34" s="19">
        <v>0</v>
      </c>
      <c r="D34" s="8" t="s">
        <v>97</v>
      </c>
      <c r="E34" s="20">
        <v>0</v>
      </c>
      <c r="F34" s="20">
        <v>0</v>
      </c>
      <c r="G34" s="8" t="s">
        <v>54</v>
      </c>
      <c r="H34" s="20">
        <v>0</v>
      </c>
      <c r="I34" s="8" t="s">
        <v>98</v>
      </c>
      <c r="J34" s="19">
        <v>0</v>
      </c>
      <c r="K34" s="8" t="s">
        <v>97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56</v>
      </c>
      <c r="B35" s="18">
        <v>55405</v>
      </c>
      <c r="C35" s="19">
        <v>0</v>
      </c>
      <c r="D35" s="8" t="s">
        <v>99</v>
      </c>
      <c r="E35" s="20">
        <v>0</v>
      </c>
      <c r="F35" s="20">
        <v>24</v>
      </c>
      <c r="G35" s="8" t="s">
        <v>54</v>
      </c>
      <c r="H35" s="20">
        <v>24</v>
      </c>
      <c r="I35" s="8" t="s">
        <v>100</v>
      </c>
      <c r="J35" s="19">
        <v>0</v>
      </c>
      <c r="K35" s="8" t="s">
        <v>192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56</v>
      </c>
      <c r="B36" s="18">
        <v>55406</v>
      </c>
      <c r="C36" s="19">
        <v>0</v>
      </c>
      <c r="D36" s="8" t="s">
        <v>193</v>
      </c>
      <c r="E36" s="20">
        <v>0</v>
      </c>
      <c r="F36" s="20">
        <v>48</v>
      </c>
      <c r="G36" s="8" t="s">
        <v>54</v>
      </c>
      <c r="H36" s="20">
        <v>48</v>
      </c>
      <c r="I36" s="8" t="s">
        <v>194</v>
      </c>
      <c r="J36" s="19">
        <v>0</v>
      </c>
      <c r="K36" s="8" t="s">
        <v>195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56</v>
      </c>
      <c r="B37" s="18">
        <v>55407</v>
      </c>
      <c r="C37" s="19">
        <v>0</v>
      </c>
      <c r="D37" s="8" t="s">
        <v>101</v>
      </c>
      <c r="E37" s="20">
        <v>0</v>
      </c>
      <c r="F37" s="20">
        <v>40</v>
      </c>
      <c r="G37" s="8" t="s">
        <v>54</v>
      </c>
      <c r="H37" s="20">
        <v>40</v>
      </c>
      <c r="I37" s="8" t="s">
        <v>102</v>
      </c>
      <c r="J37" s="19">
        <v>0</v>
      </c>
      <c r="K37" s="8" t="s">
        <v>196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56</v>
      </c>
      <c r="B38" s="18">
        <v>55408</v>
      </c>
      <c r="C38" s="19">
        <v>0</v>
      </c>
      <c r="D38" s="8" t="s">
        <v>148</v>
      </c>
      <c r="E38" s="20">
        <v>0</v>
      </c>
      <c r="F38" s="20">
        <v>40</v>
      </c>
      <c r="G38" s="8" t="s">
        <v>54</v>
      </c>
      <c r="H38" s="20">
        <v>40</v>
      </c>
      <c r="I38" s="8" t="s">
        <v>149</v>
      </c>
      <c r="J38" s="19">
        <v>0</v>
      </c>
      <c r="K38" s="8" t="s">
        <v>197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53</v>
      </c>
      <c r="B39" s="18">
        <v>55409</v>
      </c>
      <c r="C39" s="19">
        <v>0</v>
      </c>
      <c r="D39" s="8" t="s">
        <v>103</v>
      </c>
      <c r="E39" s="20">
        <v>0</v>
      </c>
      <c r="F39" s="20">
        <v>0</v>
      </c>
      <c r="G39" s="8" t="s">
        <v>54</v>
      </c>
      <c r="H39" s="20">
        <v>0</v>
      </c>
      <c r="I39" s="8" t="s">
        <v>104</v>
      </c>
      <c r="J39" s="19">
        <v>0</v>
      </c>
      <c r="K39" s="8" t="s">
        <v>105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56</v>
      </c>
      <c r="B40" s="18">
        <v>55410</v>
      </c>
      <c r="C40" s="19">
        <v>0</v>
      </c>
      <c r="D40" s="8" t="s">
        <v>106</v>
      </c>
      <c r="E40" s="20">
        <v>0</v>
      </c>
      <c r="F40" s="20">
        <v>1</v>
      </c>
      <c r="G40" s="8" t="s">
        <v>54</v>
      </c>
      <c r="H40" s="20">
        <v>1</v>
      </c>
      <c r="I40" s="8" t="s">
        <v>107</v>
      </c>
      <c r="J40" s="19">
        <v>0</v>
      </c>
      <c r="K40" s="8" t="s">
        <v>198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56</v>
      </c>
      <c r="B41" s="18">
        <v>55411</v>
      </c>
      <c r="C41" s="19">
        <v>0</v>
      </c>
      <c r="D41" s="8" t="s">
        <v>199</v>
      </c>
      <c r="E41" s="20">
        <v>0</v>
      </c>
      <c r="F41" s="20">
        <v>30</v>
      </c>
      <c r="G41" s="8" t="s">
        <v>54</v>
      </c>
      <c r="H41" s="20">
        <v>30</v>
      </c>
      <c r="I41" s="8" t="s">
        <v>200</v>
      </c>
      <c r="J41" s="19">
        <v>0</v>
      </c>
      <c r="K41" s="8" t="s">
        <v>201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56</v>
      </c>
      <c r="B42" s="18">
        <v>55412</v>
      </c>
      <c r="C42" s="19">
        <v>0</v>
      </c>
      <c r="D42" s="8" t="s">
        <v>202</v>
      </c>
      <c r="E42" s="20">
        <v>0</v>
      </c>
      <c r="F42" s="20">
        <v>20</v>
      </c>
      <c r="G42" s="8" t="s">
        <v>54</v>
      </c>
      <c r="H42" s="20">
        <v>20</v>
      </c>
      <c r="I42" s="8" t="s">
        <v>203</v>
      </c>
      <c r="J42" s="19">
        <v>0</v>
      </c>
      <c r="K42" s="8" t="s">
        <v>204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56</v>
      </c>
      <c r="B43" s="18">
        <v>55413</v>
      </c>
      <c r="C43" s="19">
        <v>0</v>
      </c>
      <c r="D43" s="8" t="s">
        <v>150</v>
      </c>
      <c r="E43" s="20">
        <v>0</v>
      </c>
      <c r="F43" s="20">
        <v>20</v>
      </c>
      <c r="G43" s="8" t="s">
        <v>54</v>
      </c>
      <c r="H43" s="20">
        <v>20</v>
      </c>
      <c r="I43" s="8" t="s">
        <v>151</v>
      </c>
      <c r="J43" s="19">
        <v>0</v>
      </c>
      <c r="K43" s="8" t="s">
        <v>205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53</v>
      </c>
      <c r="B44" s="18">
        <v>55414</v>
      </c>
      <c r="C44" s="19">
        <v>0</v>
      </c>
      <c r="D44" s="8" t="s">
        <v>103</v>
      </c>
      <c r="E44" s="20">
        <v>0</v>
      </c>
      <c r="F44" s="20">
        <v>0</v>
      </c>
      <c r="G44" s="8" t="s">
        <v>54</v>
      </c>
      <c r="H44" s="20">
        <v>0</v>
      </c>
      <c r="I44" s="8" t="s">
        <v>104</v>
      </c>
      <c r="J44" s="19">
        <v>0</v>
      </c>
      <c r="K44" s="8" t="s">
        <v>105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56</v>
      </c>
      <c r="B45" s="18">
        <v>55415</v>
      </c>
      <c r="C45" s="19">
        <v>0</v>
      </c>
      <c r="D45" s="8" t="s">
        <v>206</v>
      </c>
      <c r="E45" s="20">
        <v>0</v>
      </c>
      <c r="F45" s="20">
        <v>30</v>
      </c>
      <c r="G45" s="8" t="s">
        <v>54</v>
      </c>
      <c r="H45" s="20">
        <v>30</v>
      </c>
      <c r="I45" s="8" t="s">
        <v>207</v>
      </c>
      <c r="J45" s="19">
        <v>0</v>
      </c>
      <c r="K45" s="8" t="s">
        <v>208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70</v>
      </c>
      <c r="B46" s="18">
        <v>55416</v>
      </c>
      <c r="C46" s="19">
        <v>0</v>
      </c>
      <c r="D46" s="8" t="s">
        <v>108</v>
      </c>
      <c r="E46" s="20">
        <v>0</v>
      </c>
      <c r="F46" s="20">
        <v>100</v>
      </c>
      <c r="G46" s="8" t="s">
        <v>54</v>
      </c>
      <c r="H46" s="20">
        <v>100</v>
      </c>
      <c r="I46" s="8" t="s">
        <v>109</v>
      </c>
      <c r="J46" s="19">
        <v>0</v>
      </c>
      <c r="K46" s="8" t="s">
        <v>209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70</v>
      </c>
      <c r="B47" s="18">
        <v>55417</v>
      </c>
      <c r="C47" s="19">
        <v>0</v>
      </c>
      <c r="D47" s="8" t="s">
        <v>110</v>
      </c>
      <c r="E47" s="20">
        <v>0</v>
      </c>
      <c r="F47" s="20">
        <v>80</v>
      </c>
      <c r="G47" s="8" t="s">
        <v>54</v>
      </c>
      <c r="H47" s="20">
        <v>80</v>
      </c>
      <c r="I47" s="8" t="s">
        <v>111</v>
      </c>
      <c r="J47" s="19">
        <v>0</v>
      </c>
      <c r="K47" s="8" t="s">
        <v>210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70</v>
      </c>
      <c r="B48" s="18">
        <v>55418</v>
      </c>
      <c r="C48" s="19">
        <v>0</v>
      </c>
      <c r="D48" s="8" t="s">
        <v>112</v>
      </c>
      <c r="E48" s="20">
        <v>0</v>
      </c>
      <c r="F48" s="20">
        <v>50</v>
      </c>
      <c r="G48" s="8" t="s">
        <v>54</v>
      </c>
      <c r="H48" s="20">
        <v>50</v>
      </c>
      <c r="I48" s="8" t="s">
        <v>113</v>
      </c>
      <c r="J48" s="19">
        <v>0</v>
      </c>
      <c r="K48" s="8" t="s">
        <v>160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70</v>
      </c>
      <c r="B49" s="18">
        <v>55419</v>
      </c>
      <c r="C49" s="19">
        <v>0</v>
      </c>
      <c r="D49" s="8" t="s">
        <v>114</v>
      </c>
      <c r="E49" s="20">
        <v>0</v>
      </c>
      <c r="F49" s="20">
        <v>40</v>
      </c>
      <c r="G49" s="8" t="s">
        <v>54</v>
      </c>
      <c r="H49" s="20">
        <v>40</v>
      </c>
      <c r="I49" s="8" t="s">
        <v>115</v>
      </c>
      <c r="J49" s="19">
        <v>0</v>
      </c>
      <c r="K49" s="8" t="s">
        <v>211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70</v>
      </c>
      <c r="B50" s="18">
        <v>55420</v>
      </c>
      <c r="C50" s="19">
        <v>0</v>
      </c>
      <c r="D50" s="8" t="s">
        <v>161</v>
      </c>
      <c r="E50" s="20">
        <v>0</v>
      </c>
      <c r="F50" s="20">
        <v>60</v>
      </c>
      <c r="G50" s="8" t="s">
        <v>54</v>
      </c>
      <c r="H50" s="20">
        <v>60</v>
      </c>
      <c r="I50" s="8" t="s">
        <v>162</v>
      </c>
      <c r="J50" s="19">
        <v>0</v>
      </c>
      <c r="K50" s="8" t="s">
        <v>212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53</v>
      </c>
      <c r="B51" s="18">
        <v>55421</v>
      </c>
      <c r="C51" s="19">
        <v>0</v>
      </c>
      <c r="D51" s="8" t="s">
        <v>116</v>
      </c>
      <c r="E51" s="20">
        <v>0</v>
      </c>
      <c r="F51" s="20">
        <v>0</v>
      </c>
      <c r="G51" s="8" t="s">
        <v>54</v>
      </c>
      <c r="H51" s="20">
        <v>0</v>
      </c>
      <c r="I51" s="8" t="s">
        <v>117</v>
      </c>
      <c r="J51" s="19">
        <v>0</v>
      </c>
      <c r="K51" s="8" t="s">
        <v>116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70</v>
      </c>
      <c r="B52" s="18">
        <v>55422</v>
      </c>
      <c r="C52" s="19">
        <v>0</v>
      </c>
      <c r="D52" s="8" t="s">
        <v>118</v>
      </c>
      <c r="E52" s="20">
        <v>0</v>
      </c>
      <c r="F52" s="20">
        <v>80</v>
      </c>
      <c r="G52" s="8" t="s">
        <v>54</v>
      </c>
      <c r="H52" s="20">
        <v>80</v>
      </c>
      <c r="I52" s="8" t="s">
        <v>119</v>
      </c>
      <c r="J52" s="19">
        <v>0</v>
      </c>
      <c r="K52" s="8" t="s">
        <v>213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>
      <c r="A53" s="8" t="s">
        <v>70</v>
      </c>
      <c r="B53" s="18">
        <v>55423</v>
      </c>
      <c r="C53" s="19">
        <v>0</v>
      </c>
      <c r="D53" s="8" t="s">
        <v>214</v>
      </c>
      <c r="E53" s="20">
        <v>0</v>
      </c>
      <c r="F53" s="20">
        <v>50</v>
      </c>
      <c r="G53" s="8" t="s">
        <v>54</v>
      </c>
      <c r="H53" s="20">
        <v>50</v>
      </c>
      <c r="I53" s="8" t="s">
        <v>215</v>
      </c>
      <c r="J53" s="19">
        <v>0</v>
      </c>
      <c r="K53" s="8" t="s">
        <v>216</v>
      </c>
      <c r="L53" s="8" t="s">
        <v>55</v>
      </c>
      <c r="M53" s="8" t="s">
        <v>55</v>
      </c>
      <c r="N53" s="8" t="s">
        <v>55</v>
      </c>
    </row>
    <row r="54" spans="1:14" ht="12.75" customHeight="1" x14ac:dyDescent="0.2">
      <c r="A54" s="8" t="s">
        <v>70</v>
      </c>
      <c r="B54" s="18">
        <v>55424</v>
      </c>
      <c r="C54" s="19">
        <v>0</v>
      </c>
      <c r="D54" s="8" t="s">
        <v>163</v>
      </c>
      <c r="E54" s="20">
        <v>0</v>
      </c>
      <c r="F54" s="20">
        <v>120</v>
      </c>
      <c r="G54" s="8" t="s">
        <v>54</v>
      </c>
      <c r="H54" s="20">
        <v>120</v>
      </c>
      <c r="I54" s="8" t="s">
        <v>164</v>
      </c>
      <c r="J54" s="19">
        <v>0</v>
      </c>
      <c r="K54" s="8" t="s">
        <v>165</v>
      </c>
      <c r="L54" s="8" t="s">
        <v>55</v>
      </c>
      <c r="M54" s="8" t="s">
        <v>55</v>
      </c>
      <c r="N54" s="8" t="s">
        <v>55</v>
      </c>
    </row>
    <row r="55" spans="1:14" ht="12.75" customHeight="1" x14ac:dyDescent="0.2">
      <c r="A55" s="8" t="s">
        <v>70</v>
      </c>
      <c r="B55" s="18">
        <v>55425</v>
      </c>
      <c r="C55" s="19">
        <v>0</v>
      </c>
      <c r="D55" s="8" t="s">
        <v>217</v>
      </c>
      <c r="E55" s="20">
        <v>0</v>
      </c>
      <c r="F55" s="20">
        <v>60</v>
      </c>
      <c r="G55" s="8" t="s">
        <v>54</v>
      </c>
      <c r="H55" s="20">
        <v>60</v>
      </c>
      <c r="I55" s="8" t="s">
        <v>218</v>
      </c>
      <c r="J55" s="19">
        <v>0</v>
      </c>
      <c r="K55" s="8" t="s">
        <v>219</v>
      </c>
      <c r="L55" s="8" t="s">
        <v>55</v>
      </c>
      <c r="M55" s="8" t="s">
        <v>55</v>
      </c>
      <c r="N55" s="8" t="s">
        <v>55</v>
      </c>
    </row>
    <row r="56" spans="1:14" ht="12.75" customHeight="1" x14ac:dyDescent="0.2">
      <c r="A56" s="8" t="s">
        <v>70</v>
      </c>
      <c r="B56" s="18">
        <v>55426</v>
      </c>
      <c r="C56" s="19">
        <v>0</v>
      </c>
      <c r="D56" s="8" t="s">
        <v>121</v>
      </c>
      <c r="E56" s="20">
        <v>0</v>
      </c>
      <c r="F56" s="20">
        <v>28</v>
      </c>
      <c r="G56" s="8" t="s">
        <v>54</v>
      </c>
      <c r="H56" s="20">
        <v>28</v>
      </c>
      <c r="I56" s="8" t="s">
        <v>122</v>
      </c>
      <c r="J56" s="19">
        <v>0</v>
      </c>
      <c r="K56" s="8" t="s">
        <v>220</v>
      </c>
      <c r="L56" s="8" t="s">
        <v>55</v>
      </c>
      <c r="M56" s="8" t="s">
        <v>55</v>
      </c>
      <c r="N56" s="8" t="s">
        <v>55</v>
      </c>
    </row>
    <row r="57" spans="1:14" ht="12.75" customHeight="1" x14ac:dyDescent="0.2">
      <c r="A57" s="8" t="s">
        <v>70</v>
      </c>
      <c r="B57" s="18">
        <v>55427</v>
      </c>
      <c r="C57" s="19">
        <v>0</v>
      </c>
      <c r="D57" s="8" t="s">
        <v>123</v>
      </c>
      <c r="E57" s="20">
        <v>0</v>
      </c>
      <c r="F57" s="20">
        <v>56</v>
      </c>
      <c r="G57" s="8" t="s">
        <v>54</v>
      </c>
      <c r="H57" s="20">
        <v>56</v>
      </c>
      <c r="I57" s="8" t="s">
        <v>124</v>
      </c>
      <c r="J57" s="19">
        <v>0</v>
      </c>
      <c r="K57" s="8" t="s">
        <v>221</v>
      </c>
      <c r="L57" s="8" t="s">
        <v>55</v>
      </c>
      <c r="M57" s="8" t="s">
        <v>55</v>
      </c>
      <c r="N57" s="8" t="s">
        <v>55</v>
      </c>
    </row>
    <row r="58" spans="1:14" ht="12.75" customHeight="1" x14ac:dyDescent="0.2">
      <c r="A58" s="8" t="s">
        <v>70</v>
      </c>
      <c r="B58" s="18">
        <v>55428</v>
      </c>
      <c r="C58" s="19">
        <v>0</v>
      </c>
      <c r="D58" s="8" t="s">
        <v>125</v>
      </c>
      <c r="E58" s="20">
        <v>0</v>
      </c>
      <c r="F58" s="20">
        <v>120</v>
      </c>
      <c r="G58" s="8" t="s">
        <v>54</v>
      </c>
      <c r="H58" s="20">
        <v>120</v>
      </c>
      <c r="I58" s="8" t="s">
        <v>126</v>
      </c>
      <c r="J58" s="19">
        <v>0</v>
      </c>
      <c r="K58" s="8" t="s">
        <v>222</v>
      </c>
      <c r="L58" s="8" t="s">
        <v>55</v>
      </c>
      <c r="M58" s="8" t="s">
        <v>55</v>
      </c>
      <c r="N58" s="8" t="s">
        <v>55</v>
      </c>
    </row>
    <row r="59" spans="1:14" ht="12.75" customHeight="1" x14ac:dyDescent="0.2">
      <c r="A59" s="8" t="s">
        <v>70</v>
      </c>
      <c r="B59" s="18">
        <v>55429</v>
      </c>
      <c r="C59" s="19">
        <v>0</v>
      </c>
      <c r="D59" s="8" t="s">
        <v>166</v>
      </c>
      <c r="E59" s="20">
        <v>0</v>
      </c>
      <c r="F59" s="20">
        <v>40</v>
      </c>
      <c r="G59" s="8" t="s">
        <v>54</v>
      </c>
      <c r="H59" s="20">
        <v>40</v>
      </c>
      <c r="I59" s="8" t="s">
        <v>167</v>
      </c>
      <c r="J59" s="19">
        <v>0</v>
      </c>
      <c r="K59" s="8" t="s">
        <v>223</v>
      </c>
      <c r="L59" s="8" t="s">
        <v>55</v>
      </c>
      <c r="M59" s="8" t="s">
        <v>55</v>
      </c>
      <c r="N59" s="8" t="s">
        <v>55</v>
      </c>
    </row>
    <row r="60" spans="1:14" ht="12.75" customHeight="1" x14ac:dyDescent="0.2">
      <c r="A60" s="8" t="s">
        <v>70</v>
      </c>
      <c r="B60" s="18">
        <v>55430</v>
      </c>
      <c r="C60" s="19">
        <v>0</v>
      </c>
      <c r="D60" s="8" t="s">
        <v>168</v>
      </c>
      <c r="E60" s="20">
        <v>0</v>
      </c>
      <c r="F60" s="20">
        <v>60</v>
      </c>
      <c r="G60" s="8" t="s">
        <v>54</v>
      </c>
      <c r="H60" s="20">
        <v>60</v>
      </c>
      <c r="I60" s="8" t="s">
        <v>169</v>
      </c>
      <c r="J60" s="19">
        <v>0</v>
      </c>
      <c r="K60" s="8" t="s">
        <v>224</v>
      </c>
      <c r="L60" s="8" t="s">
        <v>55</v>
      </c>
      <c r="M60" s="8" t="s">
        <v>55</v>
      </c>
      <c r="N60" s="8" t="s">
        <v>55</v>
      </c>
    </row>
    <row r="61" spans="1:14" ht="12.75" customHeight="1" x14ac:dyDescent="0.2">
      <c r="A61" s="8" t="s">
        <v>60</v>
      </c>
      <c r="B61" s="18">
        <v>55431</v>
      </c>
      <c r="C61" s="19">
        <v>0</v>
      </c>
      <c r="D61" s="8" t="s">
        <v>127</v>
      </c>
      <c r="E61" s="20">
        <v>0</v>
      </c>
      <c r="F61" s="20">
        <v>1</v>
      </c>
      <c r="G61" s="8" t="s">
        <v>54</v>
      </c>
      <c r="H61" s="20">
        <v>1</v>
      </c>
      <c r="I61" s="8" t="s">
        <v>128</v>
      </c>
      <c r="J61" s="19">
        <v>0</v>
      </c>
      <c r="K61" s="8" t="s">
        <v>129</v>
      </c>
      <c r="L61" s="8" t="s">
        <v>55</v>
      </c>
      <c r="M61" s="8" t="s">
        <v>55</v>
      </c>
      <c r="N61" s="8" t="s">
        <v>55</v>
      </c>
    </row>
    <row r="62" spans="1:14" ht="12.75" customHeight="1" x14ac:dyDescent="0.2">
      <c r="A62" s="8" t="s">
        <v>70</v>
      </c>
      <c r="B62" s="18">
        <v>55432</v>
      </c>
      <c r="C62" s="19">
        <v>0</v>
      </c>
      <c r="D62" s="8" t="s">
        <v>130</v>
      </c>
      <c r="E62" s="20">
        <v>0</v>
      </c>
      <c r="F62" s="20">
        <v>1</v>
      </c>
      <c r="G62" s="8" t="s">
        <v>54</v>
      </c>
      <c r="H62" s="20">
        <v>1</v>
      </c>
      <c r="I62" s="8" t="s">
        <v>131</v>
      </c>
      <c r="J62" s="19">
        <v>0</v>
      </c>
      <c r="K62" s="8" t="s">
        <v>132</v>
      </c>
      <c r="L62" s="8" t="s">
        <v>55</v>
      </c>
      <c r="M62" s="8" t="s">
        <v>55</v>
      </c>
      <c r="N62" s="8" t="s">
        <v>55</v>
      </c>
    </row>
    <row r="63" spans="1:14" ht="12.75" customHeight="1" x14ac:dyDescent="0.2">
      <c r="A63" s="8" t="s">
        <v>53</v>
      </c>
      <c r="B63" s="18">
        <v>55433</v>
      </c>
      <c r="C63" s="19">
        <v>0</v>
      </c>
      <c r="D63" s="8" t="s">
        <v>133</v>
      </c>
      <c r="E63" s="20">
        <v>0</v>
      </c>
      <c r="F63" s="20">
        <v>0</v>
      </c>
      <c r="G63" s="8" t="s">
        <v>54</v>
      </c>
      <c r="H63" s="20">
        <v>0</v>
      </c>
      <c r="I63" s="8" t="s">
        <v>134</v>
      </c>
      <c r="J63" s="19">
        <v>0</v>
      </c>
      <c r="K63" s="8" t="s">
        <v>135</v>
      </c>
      <c r="L63" s="8" t="s">
        <v>55</v>
      </c>
      <c r="M63" s="8" t="s">
        <v>55</v>
      </c>
      <c r="N63" s="8" t="s">
        <v>55</v>
      </c>
    </row>
    <row r="64" spans="1:14" ht="12.75" customHeight="1" x14ac:dyDescent="0.2">
      <c r="A64" s="8" t="s">
        <v>53</v>
      </c>
      <c r="B64" s="18">
        <v>55434</v>
      </c>
      <c r="C64" s="19">
        <v>0</v>
      </c>
      <c r="D64" s="8" t="s">
        <v>225</v>
      </c>
      <c r="E64" s="20">
        <v>0</v>
      </c>
      <c r="F64" s="20">
        <v>0</v>
      </c>
      <c r="G64" s="8" t="s">
        <v>54</v>
      </c>
      <c r="H64" s="20">
        <v>0</v>
      </c>
      <c r="I64" s="8" t="s">
        <v>226</v>
      </c>
      <c r="J64" s="19">
        <v>0</v>
      </c>
      <c r="K64" s="8" t="s">
        <v>225</v>
      </c>
      <c r="L64" s="8" t="s">
        <v>55</v>
      </c>
      <c r="M64" s="8" t="s">
        <v>55</v>
      </c>
      <c r="N64" s="8" t="s">
        <v>55</v>
      </c>
    </row>
    <row r="65" spans="1:14" ht="12.75" customHeight="1" x14ac:dyDescent="0.2">
      <c r="A65" s="8" t="s">
        <v>120</v>
      </c>
      <c r="B65" s="18">
        <v>55435</v>
      </c>
      <c r="C65" s="19">
        <v>0</v>
      </c>
      <c r="D65" s="8" t="s">
        <v>136</v>
      </c>
      <c r="E65" s="20">
        <v>0</v>
      </c>
      <c r="F65" s="20">
        <v>20</v>
      </c>
      <c r="G65" s="8" t="s">
        <v>54</v>
      </c>
      <c r="H65" s="20">
        <v>20</v>
      </c>
      <c r="I65" s="8" t="s">
        <v>137</v>
      </c>
      <c r="J65" s="19">
        <v>0</v>
      </c>
      <c r="K65" s="8" t="s">
        <v>138</v>
      </c>
      <c r="L65" s="8" t="s">
        <v>55</v>
      </c>
      <c r="M65" s="8" t="s">
        <v>55</v>
      </c>
      <c r="N65" s="8" t="s">
        <v>55</v>
      </c>
    </row>
    <row r="66" spans="1:14" ht="12.75" customHeight="1" x14ac:dyDescent="0.2">
      <c r="A66" s="8" t="s">
        <v>60</v>
      </c>
      <c r="B66" s="18">
        <v>55436</v>
      </c>
      <c r="C66" s="19">
        <v>0</v>
      </c>
      <c r="D66" s="8" t="s">
        <v>170</v>
      </c>
      <c r="E66" s="20">
        <v>0</v>
      </c>
      <c r="F66" s="20">
        <v>20</v>
      </c>
      <c r="G66" s="8" t="s">
        <v>54</v>
      </c>
      <c r="H66" s="20">
        <v>20</v>
      </c>
      <c r="I66" s="8" t="s">
        <v>171</v>
      </c>
      <c r="J66" s="19">
        <v>0</v>
      </c>
      <c r="K66" s="8" t="s">
        <v>172</v>
      </c>
      <c r="L66" s="8" t="s">
        <v>55</v>
      </c>
      <c r="M66" s="8" t="s">
        <v>55</v>
      </c>
      <c r="N66" s="8" t="s">
        <v>55</v>
      </c>
    </row>
    <row r="67" spans="1:14" ht="12.75" customHeight="1" x14ac:dyDescent="0.2">
      <c r="A67" s="8" t="s">
        <v>53</v>
      </c>
      <c r="B67" s="18">
        <v>55437</v>
      </c>
      <c r="C67" s="19">
        <v>0</v>
      </c>
      <c r="D67" s="8" t="s">
        <v>139</v>
      </c>
      <c r="E67" s="20">
        <v>0</v>
      </c>
      <c r="F67" s="20">
        <v>0</v>
      </c>
      <c r="G67" s="8" t="s">
        <v>54</v>
      </c>
      <c r="H67" s="20">
        <v>0</v>
      </c>
      <c r="I67" s="8" t="s">
        <v>140</v>
      </c>
      <c r="J67" s="19">
        <v>0</v>
      </c>
      <c r="K67" s="8" t="s">
        <v>139</v>
      </c>
      <c r="L67" s="8" t="s">
        <v>55</v>
      </c>
      <c r="M67" s="8" t="s">
        <v>55</v>
      </c>
      <c r="N67" s="8" t="s">
        <v>55</v>
      </c>
    </row>
    <row r="68" spans="1:14" ht="12.75" customHeight="1" x14ac:dyDescent="0.2">
      <c r="A68" s="8" t="s">
        <v>60</v>
      </c>
      <c r="B68" s="18">
        <v>55438</v>
      </c>
      <c r="C68" s="19">
        <v>0</v>
      </c>
      <c r="D68" s="8" t="s">
        <v>141</v>
      </c>
      <c r="E68" s="20">
        <v>0</v>
      </c>
      <c r="F68" s="20">
        <v>50</v>
      </c>
      <c r="G68" s="8" t="s">
        <v>54</v>
      </c>
      <c r="H68" s="20">
        <v>50</v>
      </c>
      <c r="I68" s="8" t="s">
        <v>142</v>
      </c>
      <c r="J68" s="19">
        <v>0</v>
      </c>
      <c r="K68" s="8" t="s">
        <v>143</v>
      </c>
      <c r="L68" s="8" t="s">
        <v>55</v>
      </c>
      <c r="M68" s="8" t="s">
        <v>55</v>
      </c>
      <c r="N68" s="8" t="s">
        <v>55</v>
      </c>
    </row>
    <row r="69" spans="1:14" ht="12.75" customHeight="1" x14ac:dyDescent="0.2">
      <c r="A69" s="8" t="s">
        <v>53</v>
      </c>
      <c r="B69" s="18">
        <v>55439</v>
      </c>
      <c r="C69" s="19">
        <v>0</v>
      </c>
      <c r="D69" s="8" t="s">
        <v>144</v>
      </c>
      <c r="E69" s="20">
        <v>0</v>
      </c>
      <c r="F69" s="20">
        <v>0</v>
      </c>
      <c r="G69" s="8" t="s">
        <v>54</v>
      </c>
      <c r="H69" s="20">
        <v>0</v>
      </c>
      <c r="I69" s="8" t="s">
        <v>145</v>
      </c>
      <c r="J69" s="19">
        <v>0</v>
      </c>
      <c r="K69" s="8" t="s">
        <v>144</v>
      </c>
      <c r="L69" s="8" t="s">
        <v>55</v>
      </c>
      <c r="M69" s="8" t="s">
        <v>55</v>
      </c>
      <c r="N69" s="8" t="s">
        <v>55</v>
      </c>
    </row>
    <row r="70" spans="1:14" ht="12.75" customHeight="1" x14ac:dyDescent="0.2">
      <c r="A70" s="8" t="s">
        <v>120</v>
      </c>
      <c r="B70" s="18">
        <v>55440</v>
      </c>
      <c r="C70" s="19">
        <v>0</v>
      </c>
      <c r="D70" s="8" t="s">
        <v>227</v>
      </c>
      <c r="E70" s="20">
        <v>0</v>
      </c>
      <c r="F70" s="20">
        <v>4</v>
      </c>
      <c r="G70" s="8" t="s">
        <v>54</v>
      </c>
      <c r="H70" s="20">
        <v>4</v>
      </c>
      <c r="I70" s="8" t="s">
        <v>228</v>
      </c>
      <c r="J70" s="19">
        <v>0</v>
      </c>
      <c r="K70" s="8" t="s">
        <v>229</v>
      </c>
      <c r="L70" s="8" t="s">
        <v>55</v>
      </c>
      <c r="M70" s="8" t="s">
        <v>55</v>
      </c>
      <c r="N70" s="8" t="s">
        <v>55</v>
      </c>
    </row>
    <row r="71" spans="1:14" ht="12.75" customHeight="1" x14ac:dyDescent="0.2">
      <c r="A71" s="8" t="s">
        <v>53</v>
      </c>
      <c r="B71" s="18">
        <v>55441</v>
      </c>
      <c r="C71" s="19">
        <v>0</v>
      </c>
      <c r="D71" s="8" t="s">
        <v>230</v>
      </c>
      <c r="E71" s="20">
        <v>0</v>
      </c>
      <c r="F71" s="20">
        <v>0</v>
      </c>
      <c r="G71" s="8" t="s">
        <v>54</v>
      </c>
      <c r="H71" s="20">
        <v>0</v>
      </c>
      <c r="I71" s="8" t="s">
        <v>231</v>
      </c>
      <c r="J71" s="19">
        <v>0</v>
      </c>
      <c r="K71" s="8" t="s">
        <v>230</v>
      </c>
      <c r="L71" s="8" t="s">
        <v>55</v>
      </c>
      <c r="M71" s="8" t="s">
        <v>55</v>
      </c>
      <c r="N71" s="8" t="s">
        <v>55</v>
      </c>
    </row>
    <row r="72" spans="1:14" ht="12.75" customHeight="1" x14ac:dyDescent="0.2">
      <c r="A72" s="8" t="s">
        <v>53</v>
      </c>
      <c r="B72" s="18">
        <v>55442</v>
      </c>
      <c r="C72" s="19">
        <v>0</v>
      </c>
      <c r="D72" s="8" t="s">
        <v>232</v>
      </c>
      <c r="E72" s="20">
        <v>0</v>
      </c>
      <c r="F72" s="20">
        <v>0</v>
      </c>
      <c r="G72" s="8" t="s">
        <v>54</v>
      </c>
      <c r="H72" s="20">
        <v>0</v>
      </c>
      <c r="I72" s="8" t="s">
        <v>233</v>
      </c>
      <c r="J72" s="19">
        <v>0</v>
      </c>
      <c r="K72" s="8" t="s">
        <v>232</v>
      </c>
      <c r="L72" s="8" t="s">
        <v>55</v>
      </c>
      <c r="M72" s="8" t="s">
        <v>55</v>
      </c>
      <c r="N72" s="8" t="s">
        <v>55</v>
      </c>
    </row>
    <row r="73" spans="1:14" ht="12.75" customHeight="1" x14ac:dyDescent="0.2">
      <c r="A73" s="8" t="s">
        <v>60</v>
      </c>
      <c r="B73" s="18">
        <v>55443</v>
      </c>
      <c r="C73" s="19">
        <v>0</v>
      </c>
      <c r="D73" s="8" t="s">
        <v>234</v>
      </c>
      <c r="E73" s="20">
        <v>0</v>
      </c>
      <c r="F73" s="20">
        <v>10</v>
      </c>
      <c r="G73" s="8" t="s">
        <v>54</v>
      </c>
      <c r="H73" s="20">
        <v>10</v>
      </c>
      <c r="I73" s="8" t="s">
        <v>235</v>
      </c>
      <c r="J73" s="19">
        <v>0</v>
      </c>
      <c r="K73" s="8" t="s">
        <v>236</v>
      </c>
      <c r="L73" s="8" t="s">
        <v>55</v>
      </c>
      <c r="M73" s="8" t="s">
        <v>55</v>
      </c>
      <c r="N73" s="8" t="s">
        <v>55</v>
      </c>
    </row>
    <row r="74" spans="1:14" ht="12.75" customHeight="1" x14ac:dyDescent="0.2">
      <c r="A74" s="8" t="s">
        <v>60</v>
      </c>
      <c r="B74" s="18">
        <v>55444</v>
      </c>
      <c r="C74" s="19">
        <v>0</v>
      </c>
      <c r="D74" s="8" t="s">
        <v>237</v>
      </c>
      <c r="E74" s="20">
        <v>0</v>
      </c>
      <c r="F74" s="20">
        <v>5</v>
      </c>
      <c r="G74" s="8" t="s">
        <v>54</v>
      </c>
      <c r="H74" s="20">
        <v>5</v>
      </c>
      <c r="I74" s="8" t="s">
        <v>238</v>
      </c>
      <c r="J74" s="19">
        <v>0</v>
      </c>
      <c r="K74" s="8" t="s">
        <v>239</v>
      </c>
      <c r="L74" s="8" t="s">
        <v>55</v>
      </c>
      <c r="M74" s="8" t="s">
        <v>55</v>
      </c>
      <c r="N74" s="8" t="s">
        <v>55</v>
      </c>
    </row>
    <row r="75" spans="1:14" ht="12.75" customHeight="1" x14ac:dyDescent="0.2">
      <c r="A75" s="8" t="s">
        <v>53</v>
      </c>
      <c r="B75" s="18">
        <v>55445</v>
      </c>
      <c r="C75" s="19">
        <v>0</v>
      </c>
      <c r="D75" s="8" t="s">
        <v>61</v>
      </c>
      <c r="E75" s="20">
        <v>0</v>
      </c>
      <c r="F75" s="20">
        <v>0</v>
      </c>
      <c r="G75" s="8" t="s">
        <v>54</v>
      </c>
      <c r="H75" s="20">
        <v>0</v>
      </c>
      <c r="I75" s="8" t="s">
        <v>62</v>
      </c>
      <c r="J75" s="19">
        <v>0</v>
      </c>
      <c r="K75" s="8" t="s">
        <v>63</v>
      </c>
      <c r="L75" s="8" t="s">
        <v>55</v>
      </c>
      <c r="M75" s="8" t="s">
        <v>55</v>
      </c>
      <c r="N75" s="8" t="s">
        <v>55</v>
      </c>
    </row>
    <row r="76" spans="1:14" ht="12.75" customHeight="1" x14ac:dyDescent="0.2">
      <c r="A76" s="8" t="s">
        <v>64</v>
      </c>
      <c r="B76" s="18">
        <v>55446</v>
      </c>
      <c r="C76" s="19">
        <v>0</v>
      </c>
      <c r="D76" s="8" t="s">
        <v>65</v>
      </c>
      <c r="E76" s="20">
        <v>0</v>
      </c>
      <c r="F76" s="20">
        <v>25</v>
      </c>
      <c r="G76" s="8" t="s">
        <v>54</v>
      </c>
      <c r="H76" s="20">
        <v>25</v>
      </c>
      <c r="I76" s="8" t="s">
        <v>66</v>
      </c>
      <c r="J76" s="19">
        <v>0</v>
      </c>
      <c r="K76" s="8" t="s">
        <v>67</v>
      </c>
      <c r="L76" s="8" t="s">
        <v>55</v>
      </c>
      <c r="M76" s="8" t="s">
        <v>55</v>
      </c>
      <c r="N76" s="8" t="s">
        <v>55</v>
      </c>
    </row>
    <row r="77" spans="1:14" ht="12.75" customHeight="1" x14ac:dyDescent="0.2">
      <c r="A77" s="8" t="s">
        <v>64</v>
      </c>
      <c r="B77" s="18">
        <v>55447</v>
      </c>
      <c r="C77" s="19">
        <v>0</v>
      </c>
      <c r="D77" s="8" t="s">
        <v>240</v>
      </c>
      <c r="E77" s="20">
        <v>0</v>
      </c>
      <c r="F77" s="20">
        <v>4</v>
      </c>
      <c r="G77" s="8" t="s">
        <v>54</v>
      </c>
      <c r="H77" s="20">
        <v>4</v>
      </c>
      <c r="I77" s="8" t="s">
        <v>241</v>
      </c>
      <c r="J77" s="19">
        <v>0</v>
      </c>
      <c r="K77" s="8" t="s">
        <v>242</v>
      </c>
      <c r="L77" s="8" t="s">
        <v>55</v>
      </c>
      <c r="M77" s="8" t="s">
        <v>55</v>
      </c>
      <c r="N77" s="8" t="s">
        <v>55</v>
      </c>
    </row>
    <row r="78" spans="1:14" ht="12.75" customHeight="1" x14ac:dyDescent="0.2">
      <c r="A78" s="8" t="s">
        <v>64</v>
      </c>
      <c r="B78" s="18">
        <v>55448</v>
      </c>
      <c r="C78" s="19">
        <v>0</v>
      </c>
      <c r="D78" s="8" t="s">
        <v>243</v>
      </c>
      <c r="E78" s="20">
        <v>0</v>
      </c>
      <c r="F78" s="20">
        <v>4</v>
      </c>
      <c r="G78" s="8" t="s">
        <v>54</v>
      </c>
      <c r="H78" s="20">
        <v>4</v>
      </c>
      <c r="I78" s="8" t="s">
        <v>244</v>
      </c>
      <c r="J78" s="19">
        <v>0</v>
      </c>
      <c r="K78" s="8" t="s">
        <v>245</v>
      </c>
      <c r="L78" s="8" t="s">
        <v>55</v>
      </c>
      <c r="M78" s="8" t="s">
        <v>55</v>
      </c>
      <c r="N78" s="8" t="s">
        <v>55</v>
      </c>
    </row>
    <row r="79" spans="1:14" ht="12.75" customHeight="1" x14ac:dyDescent="0.2"/>
    <row r="80" spans="1:14" ht="12.75" customHeight="1" x14ac:dyDescent="0.2">
      <c r="B80" s="8" t="s">
        <v>16</v>
      </c>
      <c r="C80" s="8" t="s">
        <v>173</v>
      </c>
      <c r="E80" s="8" t="s">
        <v>19</v>
      </c>
      <c r="F80" s="8" t="s">
        <v>19</v>
      </c>
      <c r="G80" s="8" t="s">
        <v>21</v>
      </c>
      <c r="H80" s="8" t="s">
        <v>19</v>
      </c>
      <c r="J80" s="8" t="s">
        <v>19</v>
      </c>
    </row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089-25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69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68</v>
      </c>
      <c r="B4" s="38">
        <f>'Build Plan w Hours'!E7</f>
        <v>10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089-25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69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68</v>
      </c>
      <c r="B10" s="38">
        <f>'Build Plan w Hours'!E8</f>
        <v>14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089-25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69</v>
      </c>
    </row>
    <row r="14" spans="1:9" ht="21.75" customHeight="1" x14ac:dyDescent="0.25">
      <c r="A14" s="29" t="s">
        <v>13</v>
      </c>
      <c r="B14" s="31" t="str">
        <f>'Build Plan w Hours'!C9</f>
        <v>.107</v>
      </c>
      <c r="C14" s="40" t="str">
        <f>'Build Plan w Hours'!D9</f>
        <v>Build Repads for Nozzles, drill and tap holes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68</v>
      </c>
      <c r="B16" s="38">
        <f>'Build Plan w Hours'!E9</f>
        <v>12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089-25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69</v>
      </c>
    </row>
    <row r="20" spans="1:9" ht="21.75" customHeight="1" x14ac:dyDescent="0.25">
      <c r="A20" s="29" t="s">
        <v>13</v>
      </c>
      <c r="B20" s="31" t="str">
        <f>'Build Plan w Hours'!C10</f>
        <v>.115</v>
      </c>
      <c r="C20" s="40" t="str">
        <f>'Build Plan w Hours'!D10</f>
        <v>Make manway parts: cut clips, form handles, etc.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68</v>
      </c>
      <c r="B22" s="38">
        <f>'Build Plan w Hours'!E10</f>
        <v>6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089-25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69</v>
      </c>
    </row>
    <row r="26" spans="1:9" ht="21.75" customHeight="1" x14ac:dyDescent="0.25">
      <c r="A26" s="29" t="s">
        <v>13</v>
      </c>
      <c r="B26" s="31" t="str">
        <f>'Build Plan w Hours'!C11</f>
        <v>.120</v>
      </c>
      <c r="C26" s="40" t="str">
        <f>'Build Plan w Hours'!D11</f>
        <v>Burn manway neck (CHECK BEFORE BURNING) - Clean and Bevel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68</v>
      </c>
      <c r="B28" s="38">
        <f>'Build Plan w Hours'!E11</f>
        <v>2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089-25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69</v>
      </c>
    </row>
    <row r="32" spans="1:9" ht="21.75" customHeight="1" x14ac:dyDescent="0.25">
      <c r="A32" s="29" t="s">
        <v>13</v>
      </c>
      <c r="B32" s="31" t="str">
        <f>'Build Plan w Hours'!C12</f>
        <v>.125</v>
      </c>
      <c r="C32" s="40" t="str">
        <f>'Build Plan w Hours'!D12</f>
        <v>Roll manway neck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68</v>
      </c>
      <c r="B34" s="38">
        <f>'Build Plan w Hours'!E12</f>
        <v>4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089-25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69</v>
      </c>
    </row>
    <row r="38" spans="1:9" ht="21.75" customHeight="1" x14ac:dyDescent="0.25">
      <c r="A38" s="29" t="s">
        <v>13</v>
      </c>
      <c r="B38" s="31" t="str">
        <f>'Build Plan w Hours'!C13</f>
        <v>.130</v>
      </c>
      <c r="C38" s="40" t="str">
        <f>'Build Plan w Hours'!D13</f>
        <v>Set up and weld manway flange and neck seam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68</v>
      </c>
      <c r="B40" s="38">
        <f>'Build Plan w Hours'!E13</f>
        <v>6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089-25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69</v>
      </c>
    </row>
    <row r="44" spans="1:9" ht="21.75" customHeight="1" x14ac:dyDescent="0.25">
      <c r="A44" s="29" t="s">
        <v>13</v>
      </c>
      <c r="B44" s="31" t="str">
        <f>'Build Plan w Hours'!C14</f>
        <v>.135</v>
      </c>
      <c r="C44" s="40" t="str">
        <f>'Build Plan w Hours'!D14</f>
        <v>Build davit arm assembly and cover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68</v>
      </c>
      <c r="B46" s="38">
        <f>'Build Plan w Hours'!E14</f>
        <v>5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089-25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69</v>
      </c>
    </row>
    <row r="50" spans="1:9" ht="21.75" customHeight="1" x14ac:dyDescent="0.25">
      <c r="A50" s="29" t="s">
        <v>13</v>
      </c>
      <c r="B50" s="31" t="str">
        <f>'Build Plan w Hours'!C15</f>
        <v>.145</v>
      </c>
      <c r="C50" s="40" t="str">
        <f>'Build Plan w Hours'!D15</f>
        <v>Install cladding on flange_x000D_
FOR MANWAY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68</v>
      </c>
      <c r="B52" s="38">
        <f>'Build Plan w Hours'!E15</f>
        <v>10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089-25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69</v>
      </c>
    </row>
    <row r="56" spans="1:9" ht="21.75" customHeight="1" x14ac:dyDescent="0.25">
      <c r="A56" s="29" t="s">
        <v>13</v>
      </c>
      <c r="B56" s="31" t="str">
        <f>'Build Plan w Hours'!C16</f>
        <v>.147</v>
      </c>
      <c r="C56" s="40" t="str">
        <f>'Build Plan w Hours'!D16</f>
        <v>Install cladding on blind/cover_x000D_
FOR MANWAY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68</v>
      </c>
      <c r="B58" s="38">
        <f>'Build Plan w Hours'!E16</f>
        <v>20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089-25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69</v>
      </c>
    </row>
    <row r="62" spans="1:9" ht="21.75" customHeight="1" x14ac:dyDescent="0.25">
      <c r="A62" s="29" t="s">
        <v>13</v>
      </c>
      <c r="B62" s="31" t="str">
        <f>'Build Plan w Hours'!C17</f>
        <v>.155</v>
      </c>
      <c r="C62" s="40" t="str">
        <f>'Build Plan w Hours'!D17</f>
        <v>Burn and clean parts:  lugs, supports, repads, base ring, etc. (CHECK!)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68</v>
      </c>
      <c r="B64" s="38">
        <f>'Build Plan w Hours'!E17</f>
        <v>70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089-25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69</v>
      </c>
    </row>
    <row r="68" spans="1:9" ht="21.75" customHeight="1" x14ac:dyDescent="0.25">
      <c r="A68" s="29" t="s">
        <v>13</v>
      </c>
      <c r="B68" s="31" t="str">
        <f>'Build Plan w Hours'!C18</f>
        <v>.156</v>
      </c>
      <c r="C68" s="40">
        <f>'Build Plan w Hours'!D18</f>
        <v>0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68</v>
      </c>
      <c r="B70" s="38">
        <f>'Build Plan w Hours'!E18</f>
        <v>35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089-25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69</v>
      </c>
    </row>
    <row r="74" spans="1:9" ht="21.75" customHeight="1" x14ac:dyDescent="0.25">
      <c r="A74" s="29" t="s">
        <v>13</v>
      </c>
      <c r="B74" s="31" t="str">
        <f>'Build Plan w Hours'!C19</f>
        <v>.200</v>
      </c>
      <c r="C74" s="40" t="str">
        <f>'Build Plan w Hours'!D19</f>
        <v>Make lift lugs, ground lugs, etc.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68</v>
      </c>
      <c r="B76" s="38">
        <f>'Build Plan w Hours'!E19</f>
        <v>4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089-25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69</v>
      </c>
    </row>
    <row r="80" spans="1:9" ht="21.75" customHeight="1" x14ac:dyDescent="0.25">
      <c r="A80" s="29" t="s">
        <v>13</v>
      </c>
      <c r="B80" s="31" t="str">
        <f>'Build Plan w Hours'!C20</f>
        <v>.235</v>
      </c>
      <c r="C80" s="40" t="str">
        <f>'Build Plan w Hours'!D20</f>
        <v>Build top and bottom stiffeners_x000D_
INCL CUT NOTCHES IN BEAMS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68</v>
      </c>
      <c r="B82" s="38">
        <f>'Build Plan w Hours'!E20</f>
        <v>65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089-25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69</v>
      </c>
    </row>
    <row r="86" spans="1:9" ht="21.75" customHeight="1" x14ac:dyDescent="0.25">
      <c r="A86" s="29" t="s">
        <v>13</v>
      </c>
      <c r="B86" s="31" t="str">
        <f>'Build Plan w Hours'!C21</f>
        <v>.252</v>
      </c>
      <c r="C86" s="40" t="str">
        <f>'Build Plan w Hours'!D21</f>
        <v>Fabricate miscellaneous parts_x000D_
MAKE (2) STACK CONNECTIONS (N14 A &amp; B)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68</v>
      </c>
      <c r="B88" s="38">
        <f>'Build Plan w Hours'!E21</f>
        <v>48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089-25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69</v>
      </c>
    </row>
    <row r="92" spans="1:9" ht="21.75" customHeight="1" x14ac:dyDescent="0.25">
      <c r="A92" s="29" t="s">
        <v>13</v>
      </c>
      <c r="B92" s="31" t="str">
        <f>'Build Plan w Hours'!C22</f>
        <v>.261</v>
      </c>
      <c r="C92" s="40" t="str">
        <f>'Build Plan w Hours'!D22</f>
        <v>Miscellaneous Fabrication - Braces, Mounting Plates, Cone Outlet Necks_x000D_
MAKE OVERFLOW ASSEMBLY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68</v>
      </c>
      <c r="B94" s="38">
        <f>'Build Plan w Hours'!E22</f>
        <v>48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089-25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69</v>
      </c>
    </row>
    <row r="98" spans="1:9" ht="21.75" customHeight="1" x14ac:dyDescent="0.25">
      <c r="A98" s="29" t="s">
        <v>13</v>
      </c>
      <c r="B98" s="31" t="str">
        <f>'Build Plan w Hours'!C23</f>
        <v>.QC2</v>
      </c>
      <c r="C98" s="40" t="str">
        <f>'Build Plan w Hours'!D23</f>
        <v>QC Inspection - Components prior to shipping to Subcontractor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68</v>
      </c>
      <c r="B100" s="38">
        <f>'Build Plan w Hours'!E23</f>
        <v>0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089-25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69</v>
      </c>
    </row>
    <row r="104" spans="1:9" ht="21.75" customHeight="1" x14ac:dyDescent="0.25">
      <c r="A104" s="29" t="s">
        <v>13</v>
      </c>
      <c r="B104" s="31" t="str">
        <f>'Build Plan w Hours'!C24</f>
        <v>.QC3</v>
      </c>
      <c r="C104" s="40" t="str">
        <f>'Build Plan w Hours'!D24</f>
        <v>UT Shells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68</v>
      </c>
      <c r="B106" s="38">
        <f>'Build Plan w Hours'!E24</f>
        <v>0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089-25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69</v>
      </c>
    </row>
    <row r="110" spans="1:9" ht="21.75" customHeight="1" x14ac:dyDescent="0.25">
      <c r="A110" s="29" t="s">
        <v>13</v>
      </c>
      <c r="B110" s="31" t="str">
        <f>'Build Plan w Hours'!C25</f>
        <v>.305</v>
      </c>
      <c r="C110" s="40" t="str">
        <f>'Build Plan w Hours'!D25</f>
        <v>Shells: bring in plate, square, trim and clean_x000D_
PREP *8) SHELL SECTIONS FOR ROLLING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68</v>
      </c>
      <c r="B112" s="38">
        <f>'Build Plan w Hours'!E25</f>
        <v>24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089-25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69</v>
      </c>
    </row>
    <row r="116" spans="1:9" ht="21.75" customHeight="1" x14ac:dyDescent="0.25">
      <c r="A116" s="29" t="s">
        <v>13</v>
      </c>
      <c r="B116" s="31" t="str">
        <f>'Build Plan w Hours'!C26</f>
        <v>.310</v>
      </c>
      <c r="C116" s="40" t="str">
        <f>'Build Plan w Hours'!D26</f>
        <v>Bevel shell plates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68</v>
      </c>
      <c r="B118" s="38">
        <f>'Build Plan w Hours'!E26</f>
        <v>48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089-25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69</v>
      </c>
    </row>
    <row r="122" spans="1:9" ht="21.75" customHeight="1" x14ac:dyDescent="0.25">
      <c r="A122" s="29" t="s">
        <v>13</v>
      </c>
      <c r="B122" s="31" t="str">
        <f>'Build Plan w Hours'!C27</f>
        <v>.315</v>
      </c>
      <c r="C122" s="40" t="str">
        <f>'Build Plan w Hours'!D27</f>
        <v>Roll shells, tack and weld inside seams_x000D_
ROLL (8) SHELL SECTIONS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68</v>
      </c>
      <c r="B124" s="38">
        <f>'Build Plan w Hours'!E27</f>
        <v>40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089-25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69</v>
      </c>
    </row>
    <row r="128" spans="1:9" ht="21.75" customHeight="1" x14ac:dyDescent="0.25">
      <c r="A128" s="29" t="s">
        <v>13</v>
      </c>
      <c r="B128" s="31" t="str">
        <f>'Build Plan w Hours'!C28</f>
        <v>.350</v>
      </c>
      <c r="C128" s="40" t="str">
        <f>'Build Plan w Hours'!D28</f>
        <v>Build top head/cone_x000D_
BUILD TOP IN (2) SECTIONS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68</v>
      </c>
      <c r="B130" s="38">
        <f>'Build Plan w Hours'!E28</f>
        <v>40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089-25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69</v>
      </c>
    </row>
    <row r="134" spans="1:9" ht="21.75" customHeight="1" x14ac:dyDescent="0.25">
      <c r="A134" s="29" t="s">
        <v>13</v>
      </c>
      <c r="B134" s="31" t="str">
        <f>'Build Plan w Hours'!C29</f>
        <v>.QC4</v>
      </c>
      <c r="C134" s="40" t="str">
        <f>'Build Plan w Hours'!D29</f>
        <v>QC Inspection - Top/Bottom/Cones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68</v>
      </c>
      <c r="B136" s="38">
        <f>'Build Plan w Hours'!E29</f>
        <v>0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089-25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69</v>
      </c>
    </row>
    <row r="140" spans="1:9" ht="21.75" customHeight="1" x14ac:dyDescent="0.25">
      <c r="A140" s="29" t="s">
        <v>13</v>
      </c>
      <c r="B140" s="31" t="str">
        <f>'Build Plan w Hours'!C30</f>
        <v>.355</v>
      </c>
      <c r="C140" s="40" t="str">
        <f>'Build Plan w Hours'!D30</f>
        <v>Lay out top head, burn and clean holes_x000D_
***DO NOT CUT COLLAR CONNECTIONS***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68</v>
      </c>
      <c r="B142" s="38">
        <f>'Build Plan w Hours'!E30</f>
        <v>1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089-25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69</v>
      </c>
    </row>
    <row r="146" spans="1:9" ht="21.75" customHeight="1" x14ac:dyDescent="0.25">
      <c r="A146" s="29" t="s">
        <v>13</v>
      </c>
      <c r="B146" s="31" t="str">
        <f>'Build Plan w Hours'!C31</f>
        <v>.360</v>
      </c>
      <c r="C146" s="40" t="str">
        <f>'Build Plan w Hours'!D31</f>
        <v>Bevel top head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68</v>
      </c>
      <c r="B148" s="38">
        <f>'Build Plan w Hours'!E31</f>
        <v>30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089-25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69</v>
      </c>
    </row>
    <row r="152" spans="1:9" ht="21.75" customHeight="1" x14ac:dyDescent="0.25">
      <c r="A152" s="29" t="s">
        <v>13</v>
      </c>
      <c r="B152" s="31" t="str">
        <f>'Build Plan w Hours'!C32</f>
        <v>.375</v>
      </c>
      <c r="C152" s="40" t="str">
        <f>'Build Plan w Hours'!D32</f>
        <v>Install top stiffeners_x000D_
INSTALL (4) STIFFENERS ON LOWER ROOF SECTION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68</v>
      </c>
      <c r="B154" s="38">
        <f>'Build Plan w Hours'!E32</f>
        <v>20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089-25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69</v>
      </c>
    </row>
    <row r="158" spans="1:9" ht="21.75" customHeight="1" x14ac:dyDescent="0.25">
      <c r="A158" s="29" t="s">
        <v>13</v>
      </c>
      <c r="B158" s="31" t="str">
        <f>'Build Plan w Hours'!C33</f>
        <v>.450</v>
      </c>
      <c r="C158" s="40" t="str">
        <f>'Build Plan w Hours'!D33</f>
        <v>Build bottom head/cone_x000D_
BUILD BOTTOM IN (2) SECTIONS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68</v>
      </c>
      <c r="B160" s="38">
        <f>'Build Plan w Hours'!E33</f>
        <v>20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089-25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69</v>
      </c>
    </row>
    <row r="164" spans="1:9" ht="21.75" customHeight="1" x14ac:dyDescent="0.25">
      <c r="A164" s="29" t="s">
        <v>13</v>
      </c>
      <c r="B164" s="31" t="str">
        <f>'Build Plan w Hours'!C34</f>
        <v>.QC4</v>
      </c>
      <c r="C164" s="40" t="str">
        <f>'Build Plan w Hours'!D34</f>
        <v>QC Inspection - Top/Bottom/Cones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68</v>
      </c>
      <c r="B166" s="38">
        <f>'Build Plan w Hours'!E34</f>
        <v>0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089-25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69</v>
      </c>
    </row>
    <row r="170" spans="1:9" ht="21.75" customHeight="1" x14ac:dyDescent="0.25">
      <c r="A170" s="29" t="s">
        <v>13</v>
      </c>
      <c r="B170" s="31" t="str">
        <f>'Build Plan w Hours'!C35</f>
        <v>.460</v>
      </c>
      <c r="C170" s="40" t="str">
        <f>'Build Plan w Hours'!D35</f>
        <v>Bevel bottom head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68</v>
      </c>
      <c r="B172" s="38">
        <f>'Build Plan w Hours'!E35</f>
        <v>30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089-25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69</v>
      </c>
    </row>
    <row r="176" spans="1:9" ht="21.75" customHeight="1" x14ac:dyDescent="0.25">
      <c r="A176" s="29" t="s">
        <v>13</v>
      </c>
      <c r="B176" s="31" t="str">
        <f>'Build Plan w Hours'!C36</f>
        <v>.600</v>
      </c>
      <c r="C176" s="40" t="str">
        <f>'Build Plan w Hours'!D36</f>
        <v>Fit bottom head to shell_x000D_
FIT LOWER SHELL COURSE &amp; WELD TO BOTTOM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68</v>
      </c>
      <c r="B178" s="38">
        <f>'Build Plan w Hours'!E36</f>
        <v>100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089-25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69</v>
      </c>
    </row>
    <row r="182" spans="1:9" ht="21.75" customHeight="1" x14ac:dyDescent="0.25">
      <c r="A182" s="29" t="s">
        <v>13</v>
      </c>
      <c r="B182" s="31" t="str">
        <f>'Build Plan w Hours'!C37</f>
        <v>.605</v>
      </c>
      <c r="C182" s="40" t="str">
        <f>'Build Plan w Hours'!D37</f>
        <v>Tack shell courses together_x000D_
FIT UPPER SHELL COURSE TO LOWER SHELL COURSE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68</v>
      </c>
      <c r="B184" s="38">
        <f>'Build Plan w Hours'!E37</f>
        <v>80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089-25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69</v>
      </c>
    </row>
    <row r="188" spans="1:9" ht="21.75" customHeight="1" x14ac:dyDescent="0.25">
      <c r="A188" s="29" t="s">
        <v>13</v>
      </c>
      <c r="B188" s="31" t="str">
        <f>'Build Plan w Hours'!C38</f>
        <v>.610</v>
      </c>
      <c r="C188" s="40" t="str">
        <f>'Build Plan w Hours'!D38</f>
        <v>Weld inside round seams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68</v>
      </c>
      <c r="B190" s="38">
        <f>'Build Plan w Hours'!E38</f>
        <v>50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089-25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69</v>
      </c>
    </row>
    <row r="194" spans="1:9" ht="21.75" customHeight="1" x14ac:dyDescent="0.25">
      <c r="A194" s="29" t="s">
        <v>13</v>
      </c>
      <c r="B194" s="31" t="str">
        <f>'Build Plan w Hours'!C39</f>
        <v>.620</v>
      </c>
      <c r="C194" s="40" t="str">
        <f>'Build Plan w Hours'!D39</f>
        <v>Lay out shell, burn and clean holes_x000D_
BEVEL HOLES CUT ON BURN TABLE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68</v>
      </c>
      <c r="B196" s="38">
        <f>'Build Plan w Hours'!E39</f>
        <v>40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089-25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69</v>
      </c>
    </row>
    <row r="200" spans="1:9" ht="21.75" customHeight="1" x14ac:dyDescent="0.25">
      <c r="A200" s="29" t="s">
        <v>13</v>
      </c>
      <c r="B200" s="31" t="str">
        <f>'Build Plan w Hours'!C40</f>
        <v>.630</v>
      </c>
      <c r="C200" s="40" t="str">
        <f>'Build Plan w Hours'!D40</f>
        <v>Install internals - wear plates, rings, clips, etc._x000D_
(3) WEAR PADS &amp; (8) SHIPPING SUPPORTS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68</v>
      </c>
      <c r="B202" s="38">
        <f>'Build Plan w Hours'!E40</f>
        <v>60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089-25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69</v>
      </c>
    </row>
    <row r="206" spans="1:9" ht="21.75" customHeight="1" x14ac:dyDescent="0.25">
      <c r="A206" s="29" t="s">
        <v>13</v>
      </c>
      <c r="B206" s="31" t="str">
        <f>'Build Plan w Hours'!C41</f>
        <v>.QC5</v>
      </c>
      <c r="C206" s="40" t="str">
        <f>'Build Plan w Hours'!D41</f>
        <v>QC Inspection - Internal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68</v>
      </c>
      <c r="B208" s="38">
        <f>'Build Plan w Hours'!E41</f>
        <v>0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089-25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69</v>
      </c>
    </row>
    <row r="212" spans="1:9" ht="21.75" customHeight="1" x14ac:dyDescent="0.25">
      <c r="A212" s="29" t="s">
        <v>13</v>
      </c>
      <c r="B212" s="31" t="str">
        <f>'Build Plan w Hours'!C42</f>
        <v>.640</v>
      </c>
      <c r="C212" s="40" t="str">
        <f>'Build Plan w Hours'!D42</f>
        <v>Fit top head to shell - tack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68</v>
      </c>
      <c r="B214" s="38">
        <f>'Build Plan w Hours'!E42</f>
        <v>80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089-25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69</v>
      </c>
    </row>
    <row r="218" spans="1:9" ht="21.75" customHeight="1" x14ac:dyDescent="0.25">
      <c r="A218" s="29" t="s">
        <v>13</v>
      </c>
      <c r="B218" s="31" t="str">
        <f>'Build Plan w Hours'!C43</f>
        <v>.641</v>
      </c>
      <c r="C218" s="40" t="str">
        <f>'Build Plan w Hours'!D43</f>
        <v>Weld top head to shell - inside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68</v>
      </c>
      <c r="B220" s="38">
        <f>'Build Plan w Hours'!E43</f>
        <v>50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089-25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69</v>
      </c>
    </row>
    <row r="224" spans="1:9" ht="21.75" customHeight="1" x14ac:dyDescent="0.25">
      <c r="A224" s="29" t="s">
        <v>13</v>
      </c>
      <c r="B224" s="31" t="str">
        <f>'Build Plan w Hours'!C44</f>
        <v>.645</v>
      </c>
      <c r="C224" s="40" t="str">
        <f>'Build Plan w Hours'!D44</f>
        <v>Weld all outside seams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68</v>
      </c>
      <c r="B226" s="38">
        <f>'Build Plan w Hours'!E44</f>
        <v>120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089-25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69</v>
      </c>
    </row>
    <row r="230" spans="1:9" ht="21.75" customHeight="1" x14ac:dyDescent="0.25">
      <c r="A230" s="29" t="s">
        <v>13</v>
      </c>
      <c r="B230" s="31" t="str">
        <f>'Build Plan w Hours'!C45</f>
        <v>.715</v>
      </c>
      <c r="C230" s="40" t="str">
        <f>'Build Plan w Hours'!D45</f>
        <v>Install insulation/vacuum rings - tack_x000D_
INSTALL (12) VERTICAL SHELL STIFFENERS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68</v>
      </c>
      <c r="B232" s="38">
        <f>'Build Plan w Hours'!E45</f>
        <v>60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089-25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69</v>
      </c>
    </row>
    <row r="236" spans="1:9" ht="21.75" customHeight="1" x14ac:dyDescent="0.25">
      <c r="A236" s="29" t="s">
        <v>13</v>
      </c>
      <c r="B236" s="31" t="str">
        <f>'Build Plan w Hours'!C46</f>
        <v>.720</v>
      </c>
      <c r="C236" s="40" t="str">
        <f>'Build Plan w Hours'!D46</f>
        <v>Install supports - legs, lugs, anchors, saddles, skirt_x000D_
FIT &amp; WELD (14) GUSSETS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68</v>
      </c>
      <c r="B238" s="38">
        <f>'Build Plan w Hours'!E46</f>
        <v>28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089-25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69</v>
      </c>
    </row>
    <row r="242" spans="1:9" ht="21.75" customHeight="1" x14ac:dyDescent="0.25">
      <c r="A242" s="29" t="s">
        <v>13</v>
      </c>
      <c r="B242" s="31" t="str">
        <f>'Build Plan w Hours'!C47</f>
        <v>.725</v>
      </c>
      <c r="C242" s="40" t="str">
        <f>'Build Plan w Hours'!D47</f>
        <v>Set nozzles in shell - tack_x000D_
FIT NOZZLES, MANWAY, AND MIXER MOUNTS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68</v>
      </c>
      <c r="B244" s="38">
        <f>'Build Plan w Hours'!E47</f>
        <v>56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089-25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69</v>
      </c>
    </row>
    <row r="248" spans="1:9" ht="21.75" customHeight="1" x14ac:dyDescent="0.25">
      <c r="A248" s="29" t="s">
        <v>13</v>
      </c>
      <c r="B248" s="31" t="str">
        <f>'Build Plan w Hours'!C48</f>
        <v>.726</v>
      </c>
      <c r="C248" s="40" t="str">
        <f>'Build Plan w Hours'!D48</f>
        <v>Weld shell nozzles, manways, etc.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68</v>
      </c>
      <c r="B250" s="38">
        <f>'Build Plan w Hours'!E48</f>
        <v>120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089-25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69</v>
      </c>
    </row>
    <row r="254" spans="1:9" ht="21.75" customHeight="1" x14ac:dyDescent="0.25">
      <c r="A254" s="29" t="s">
        <v>13</v>
      </c>
      <c r="B254" s="31" t="str">
        <f>'Build Plan w Hours'!C49</f>
        <v>.730</v>
      </c>
      <c r="C254" s="40" t="str">
        <f>'Build Plan w Hours'!D49</f>
        <v>Add repads and weld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68</v>
      </c>
      <c r="B256" s="38">
        <f>'Build Plan w Hours'!E49</f>
        <v>40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089-25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69</v>
      </c>
    </row>
    <row r="260" spans="1:9" ht="21.75" customHeight="1" x14ac:dyDescent="0.25">
      <c r="A260" s="29" t="s">
        <v>13</v>
      </c>
      <c r="B260" s="31" t="str">
        <f>'Build Plan w Hours'!C50</f>
        <v>.750</v>
      </c>
      <c r="C260" s="40" t="str">
        <f>'Build Plan w Hours'!D50</f>
        <v>Fit handrail - install and weld clips_x000D_
SEPARATE TANK IN (2) SECTIONS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68</v>
      </c>
      <c r="B262" s="38">
        <f>'Build Plan w Hours'!E50</f>
        <v>60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089-25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69</v>
      </c>
    </row>
    <row r="266" spans="1:9" ht="21.75" customHeight="1" x14ac:dyDescent="0.25">
      <c r="A266" s="29" t="s">
        <v>13</v>
      </c>
      <c r="B266" s="31" t="str">
        <f>'Build Plan w Hours'!C51</f>
        <v>.765</v>
      </c>
      <c r="C266" s="40" t="str">
        <f>'Build Plan w Hours'!D51</f>
        <v>Install name tag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68</v>
      </c>
      <c r="B268" s="38">
        <f>'Build Plan w Hours'!E51</f>
        <v>1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089-25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69</v>
      </c>
    </row>
    <row r="272" spans="1:9" ht="21.75" customHeight="1" x14ac:dyDescent="0.25">
      <c r="A272" s="29" t="s">
        <v>13</v>
      </c>
      <c r="B272" s="31" t="str">
        <f>'Build Plan w Hours'!C52</f>
        <v>.770</v>
      </c>
      <c r="C272" s="40" t="str">
        <f>'Build Plan w Hours'!D52</f>
        <v>Inspect tank, make repairs, get QC inspector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68</v>
      </c>
      <c r="B274" s="38">
        <f>'Build Plan w Hours'!E52</f>
        <v>1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089-25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69</v>
      </c>
    </row>
    <row r="278" spans="1:9" ht="21.75" customHeight="1" x14ac:dyDescent="0.25">
      <c r="A278" s="29" t="s">
        <v>13</v>
      </c>
      <c r="B278" s="31" t="str">
        <f>'Build Plan w Hours'!C53</f>
        <v>.QC6</v>
      </c>
      <c r="C278" s="40" t="str">
        <f>'Build Plan w Hours'!D53</f>
        <v>QC Inspection - Fabrication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68</v>
      </c>
      <c r="B280" s="38">
        <f>'Build Plan w Hours'!E53</f>
        <v>0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089-25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69</v>
      </c>
    </row>
    <row r="284" spans="1:9" ht="21.75" customHeight="1" x14ac:dyDescent="0.25">
      <c r="A284" s="29" t="s">
        <v>13</v>
      </c>
      <c r="B284" s="31" t="str">
        <f>'Build Plan w Hours'!C54</f>
        <v>.OI4</v>
      </c>
      <c r="C284" s="40" t="str">
        <f>'Build Plan w Hours'!D54</f>
        <v>Customer Inspection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68</v>
      </c>
      <c r="B286" s="38">
        <f>'Build Plan w Hours'!E54</f>
        <v>0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089-25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69</v>
      </c>
    </row>
    <row r="290" spans="1:9" ht="21.75" customHeight="1" x14ac:dyDescent="0.25">
      <c r="A290" s="29" t="s">
        <v>13</v>
      </c>
      <c r="B290" s="31" t="str">
        <f>'Build Plan w Hours'!C55</f>
        <v>.801</v>
      </c>
      <c r="C290" s="40" t="str">
        <f>'Build Plan w Hours'!D55</f>
        <v>Move to shop test area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68</v>
      </c>
      <c r="B292" s="38">
        <f>'Build Plan w Hours'!E55</f>
        <v>20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089-25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69</v>
      </c>
    </row>
    <row r="296" spans="1:9" ht="21.75" customHeight="1" x14ac:dyDescent="0.25">
      <c r="A296" s="29" t="s">
        <v>13</v>
      </c>
      <c r="B296" s="31" t="str">
        <f>'Build Plan w Hours'!C56</f>
        <v>.900</v>
      </c>
      <c r="C296" s="40" t="str">
        <f>'Build Plan w Hours'!D56</f>
        <v>Dye pen test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68</v>
      </c>
      <c r="B298" s="38">
        <f>'Build Plan w Hours'!E56</f>
        <v>20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089-25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69</v>
      </c>
    </row>
    <row r="302" spans="1:9" ht="21.75" customHeight="1" x14ac:dyDescent="0.25">
      <c r="A302" s="29" t="s">
        <v>13</v>
      </c>
      <c r="B302" s="31" t="str">
        <f>'Build Plan w Hours'!C57</f>
        <v>.QC7</v>
      </c>
      <c r="C302" s="40" t="str">
        <f>'Build Plan w Hours'!D57</f>
        <v>QC Inspection - Test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68</v>
      </c>
      <c r="B304" s="38">
        <f>'Build Plan w Hours'!E57</f>
        <v>0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089-25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69</v>
      </c>
    </row>
    <row r="308" spans="1:9" ht="21.75" customHeight="1" x14ac:dyDescent="0.25">
      <c r="A308" s="29" t="s">
        <v>13</v>
      </c>
      <c r="B308" s="31" t="str">
        <f>'Build Plan w Hours'!C58</f>
        <v>.920</v>
      </c>
      <c r="C308" s="40" t="str">
        <f>'Build Plan w Hours'!D58</f>
        <v>Clean tank complete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68</v>
      </c>
      <c r="B310" s="38">
        <f>'Build Plan w Hours'!E58</f>
        <v>50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089-25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69</v>
      </c>
    </row>
    <row r="314" spans="1:9" ht="21.75" customHeight="1" x14ac:dyDescent="0.25">
      <c r="A314" s="29" t="s">
        <v>13</v>
      </c>
      <c r="B314" s="31" t="str">
        <f>'Build Plan w Hours'!C59</f>
        <v>.QC8</v>
      </c>
      <c r="C314" s="40" t="str">
        <f>'Build Plan w Hours'!D59</f>
        <v>QC Inspection - Clean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68</v>
      </c>
      <c r="B316" s="38">
        <f>'Build Plan w Hours'!E59</f>
        <v>0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089-25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69</v>
      </c>
    </row>
    <row r="320" spans="1:9" ht="21.75" customHeight="1" x14ac:dyDescent="0.25">
      <c r="A320" s="29" t="s">
        <v>13</v>
      </c>
      <c r="B320" s="31" t="str">
        <f>'Build Plan w Hours'!C60</f>
        <v>.802</v>
      </c>
      <c r="C320" s="40" t="str">
        <f>'Build Plan w Hours'!D60</f>
        <v>Move to paint area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68</v>
      </c>
      <c r="B322" s="38">
        <f>'Build Plan w Hours'!E60</f>
        <v>4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089-25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69</v>
      </c>
    </row>
    <row r="326" spans="1:9" ht="21.75" customHeight="1" x14ac:dyDescent="0.25">
      <c r="A326" s="29" t="s">
        <v>13</v>
      </c>
      <c r="B326" s="31" t="str">
        <f>'Build Plan w Hours'!C61</f>
        <v>.QC9</v>
      </c>
      <c r="C326" s="40" t="str">
        <f>'Build Plan w Hours'!D61</f>
        <v>QC Inspection - Sandblast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68</v>
      </c>
      <c r="B328" s="38">
        <f>'Build Plan w Hours'!E61</f>
        <v>0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089-25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69</v>
      </c>
    </row>
    <row r="332" spans="1:9" ht="21.75" customHeight="1" x14ac:dyDescent="0.25">
      <c r="A332" s="29" t="s">
        <v>13</v>
      </c>
      <c r="B332" s="31" t="str">
        <f>'Build Plan w Hours'!C62</f>
        <v>.QC90</v>
      </c>
      <c r="C332" s="40" t="str">
        <f>'Build Plan w Hours'!D62</f>
        <v>QC Inspection - Paint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68</v>
      </c>
      <c r="B334" s="38">
        <f>'Build Plan w Hours'!E62</f>
        <v>0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089-25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69</v>
      </c>
    </row>
    <row r="338" spans="1:9" ht="21.75" customHeight="1" x14ac:dyDescent="0.25">
      <c r="A338" s="29" t="s">
        <v>13</v>
      </c>
      <c r="B338" s="31" t="str">
        <f>'Build Plan w Hours'!C63</f>
        <v>.940</v>
      </c>
      <c r="C338" s="40" t="str">
        <f>'Build Plan w Hours'!D63</f>
        <v>Prepare tank for shipment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68</v>
      </c>
      <c r="B340" s="38">
        <f>'Build Plan w Hours'!E63</f>
        <v>10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089-25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69</v>
      </c>
    </row>
    <row r="344" spans="1:9" ht="21.75" customHeight="1" x14ac:dyDescent="0.25">
      <c r="A344" s="29" t="s">
        <v>13</v>
      </c>
      <c r="B344" s="31" t="str">
        <f>'Build Plan w Hours'!C64</f>
        <v>.950</v>
      </c>
      <c r="C344" s="40" t="str">
        <f>'Build Plan w Hours'!D64</f>
        <v>Check bill of materials and pack loose parts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68</v>
      </c>
      <c r="B346" s="38">
        <f>'Build Plan w Hours'!E64</f>
        <v>5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089-25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69</v>
      </c>
    </row>
    <row r="350" spans="1:9" ht="21.75" customHeight="1" x14ac:dyDescent="0.25">
      <c r="A350" s="29" t="s">
        <v>13</v>
      </c>
      <c r="B350" s="31" t="str">
        <f>'Build Plan w Hours'!C65</f>
        <v>.QC95</v>
      </c>
      <c r="C350" s="40" t="str">
        <f>'Build Plan w Hours'!D65</f>
        <v>QC Inspection - Final &amp; Loose Items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68</v>
      </c>
      <c r="B352" s="38">
        <f>'Build Plan w Hours'!E65</f>
        <v>0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089-25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69</v>
      </c>
    </row>
    <row r="356" spans="1:9" ht="21.75" customHeight="1" x14ac:dyDescent="0.25">
      <c r="A356" s="29" t="s">
        <v>13</v>
      </c>
      <c r="B356" s="31" t="str">
        <f>'Build Plan w Hours'!C66</f>
        <v>.960</v>
      </c>
      <c r="C356" s="40" t="str">
        <f>'Build Plan w Hours'!D66</f>
        <v>Load on truck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68</v>
      </c>
      <c r="B358" s="38">
        <f>'Build Plan w Hours'!E66</f>
        <v>25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089-25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69</v>
      </c>
    </row>
    <row r="362" spans="1:9" ht="21" customHeight="1" x14ac:dyDescent="0.25">
      <c r="A362" s="29" t="s">
        <v>13</v>
      </c>
      <c r="B362" s="31" t="str">
        <f>'Build Plan w Hours'!C67</f>
        <v>.971</v>
      </c>
      <c r="C362" s="40" t="str">
        <f>'Build Plan w Hours'!D67</f>
        <v>Take parts to machine shop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68</v>
      </c>
      <c r="B364" s="38">
        <f>'Build Plan w Hours'!E67</f>
        <v>4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089-25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69</v>
      </c>
    </row>
    <row r="368" spans="1:9" ht="21" customHeight="1" x14ac:dyDescent="0.25">
      <c r="A368" s="29" t="s">
        <v>13</v>
      </c>
      <c r="B368" s="31" t="str">
        <f>'Build Plan w Hours'!C68</f>
        <v>.973</v>
      </c>
      <c r="C368" s="40" t="str">
        <f>'Build Plan w Hours'!D68</f>
        <v>Pick up parts from machine shop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68</v>
      </c>
      <c r="B370" s="38">
        <f>'Build Plan w Hours'!E68</f>
        <v>4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089-25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69</v>
      </c>
    </row>
    <row r="374" spans="1:9" ht="21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68</v>
      </c>
      <c r="B376" s="38">
        <f>'Build Plan w Hours'!E69</f>
        <v>0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089-25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69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68</v>
      </c>
      <c r="B382" s="38" t="str">
        <f>'Build Plan w Hours'!E70</f>
        <v/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089-25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69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68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089-25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69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68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089-25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69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68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089-25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69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68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089-25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69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68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089-25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69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68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089-25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69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68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089-25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69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68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089-25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69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68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089-25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69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68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089-25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69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68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089-25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69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68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089-25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69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68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089-25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69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68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089-25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69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68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089-25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69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68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362:C364"/>
    <mergeCell ref="C368:C370"/>
    <mergeCell ref="C374:C376"/>
    <mergeCell ref="C380:C382"/>
    <mergeCell ref="C386:C388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44:C46"/>
    <mergeCell ref="C26:C28"/>
    <mergeCell ref="C14:C16"/>
    <mergeCell ref="C20:C22"/>
    <mergeCell ref="C32:C34"/>
    <mergeCell ref="C38:C40"/>
    <mergeCell ref="C80:C82"/>
    <mergeCell ref="C86:C88"/>
    <mergeCell ref="C50:C52"/>
    <mergeCell ref="C56:C58"/>
    <mergeCell ref="C62:C64"/>
    <mergeCell ref="C68:C70"/>
    <mergeCell ref="C74:C76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446:C448"/>
    <mergeCell ref="C452:C454"/>
    <mergeCell ref="C458:C460"/>
    <mergeCell ref="C464:C466"/>
    <mergeCell ref="C470:C472"/>
    <mergeCell ref="C476:C47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089-25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69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089-25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69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089-25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69</v>
      </c>
    </row>
    <row r="14" spans="1:9" ht="21.75" customHeight="1" x14ac:dyDescent="0.25">
      <c r="A14" s="29" t="s">
        <v>13</v>
      </c>
      <c r="B14" s="31" t="str">
        <f>'Build Plan w Hours'!C9</f>
        <v>.107</v>
      </c>
      <c r="C14" s="40" t="str">
        <f>'Build Plan w Hours'!D9</f>
        <v>Build Repads for Nozzles, drill and tap holes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089-25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69</v>
      </c>
    </row>
    <row r="20" spans="1:9" ht="21.75" customHeight="1" x14ac:dyDescent="0.25">
      <c r="A20" s="29" t="s">
        <v>13</v>
      </c>
      <c r="B20" s="31" t="str">
        <f>'Build Plan w Hours'!C10</f>
        <v>.115</v>
      </c>
      <c r="C20" s="40" t="str">
        <f>'Build Plan w Hours'!D10</f>
        <v>Make manway parts: cut clips, form handles, etc.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089-25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69</v>
      </c>
    </row>
    <row r="26" spans="1:9" ht="21.75" customHeight="1" x14ac:dyDescent="0.25">
      <c r="A26" s="29" t="s">
        <v>13</v>
      </c>
      <c r="B26" s="31" t="str">
        <f>'Build Plan w Hours'!C11</f>
        <v>.120</v>
      </c>
      <c r="C26" s="40" t="str">
        <f>'Build Plan w Hours'!D11</f>
        <v>Burn manway neck (CHECK BEFORE BURNING) - Clean and Bevel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089-25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69</v>
      </c>
    </row>
    <row r="32" spans="1:9" ht="21.75" customHeight="1" x14ac:dyDescent="0.25">
      <c r="A32" s="29" t="s">
        <v>13</v>
      </c>
      <c r="B32" s="31" t="str">
        <f>'Build Plan w Hours'!C12</f>
        <v>.125</v>
      </c>
      <c r="C32" s="40" t="str">
        <f>'Build Plan w Hours'!D12</f>
        <v>Roll manway neck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089-25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69</v>
      </c>
    </row>
    <row r="38" spans="1:9" ht="21.75" customHeight="1" x14ac:dyDescent="0.25">
      <c r="A38" s="29" t="s">
        <v>13</v>
      </c>
      <c r="B38" s="31" t="str">
        <f>'Build Plan w Hours'!C13</f>
        <v>.130</v>
      </c>
      <c r="C38" s="40" t="str">
        <f>'Build Plan w Hours'!D13</f>
        <v>Set up and weld manway flange and neck seam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089-25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69</v>
      </c>
    </row>
    <row r="44" spans="1:9" ht="21.75" customHeight="1" x14ac:dyDescent="0.25">
      <c r="A44" s="29" t="s">
        <v>13</v>
      </c>
      <c r="B44" s="31" t="str">
        <f>'Build Plan w Hours'!C14</f>
        <v>.135</v>
      </c>
      <c r="C44" s="40" t="str">
        <f>'Build Plan w Hours'!D14</f>
        <v>Build davit arm assembly and cover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089-25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69</v>
      </c>
    </row>
    <row r="50" spans="1:9" ht="21.75" customHeight="1" x14ac:dyDescent="0.25">
      <c r="A50" s="29" t="s">
        <v>13</v>
      </c>
      <c r="B50" s="31" t="str">
        <f>'Build Plan w Hours'!C15</f>
        <v>.145</v>
      </c>
      <c r="C50" s="40" t="str">
        <f>'Build Plan w Hours'!D15</f>
        <v>Install cladding on flange_x000D_
FOR MANWAY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089-25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69</v>
      </c>
    </row>
    <row r="56" spans="1:9" ht="21.75" customHeight="1" x14ac:dyDescent="0.25">
      <c r="A56" s="29" t="s">
        <v>13</v>
      </c>
      <c r="B56" s="31" t="str">
        <f>'Build Plan w Hours'!C16</f>
        <v>.147</v>
      </c>
      <c r="C56" s="40" t="str">
        <f>'Build Plan w Hours'!D16</f>
        <v>Install cladding on blind/cover_x000D_
FOR MANWAY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089-25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69</v>
      </c>
    </row>
    <row r="62" spans="1:9" ht="21.75" customHeight="1" x14ac:dyDescent="0.25">
      <c r="A62" s="29" t="s">
        <v>13</v>
      </c>
      <c r="B62" s="31" t="str">
        <f>'Build Plan w Hours'!C17</f>
        <v>.155</v>
      </c>
      <c r="C62" s="40" t="str">
        <f>'Build Plan w Hours'!D17</f>
        <v>Burn and clean parts:  lugs, supports, repads, base ring, etc. (CHECK!)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089-25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69</v>
      </c>
    </row>
    <row r="68" spans="1:9" ht="21.75" customHeight="1" x14ac:dyDescent="0.25">
      <c r="A68" s="29" t="s">
        <v>13</v>
      </c>
      <c r="B68" s="31" t="str">
        <f>'Build Plan w Hours'!C18</f>
        <v>.156</v>
      </c>
      <c r="C68" s="40">
        <f>'Build Plan w Hours'!D18</f>
        <v>0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089-25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69</v>
      </c>
    </row>
    <row r="74" spans="1:9" ht="21.75" customHeight="1" x14ac:dyDescent="0.25">
      <c r="A74" s="29" t="s">
        <v>13</v>
      </c>
      <c r="B74" s="31" t="str">
        <f>'Build Plan w Hours'!C19</f>
        <v>.200</v>
      </c>
      <c r="C74" s="40" t="str">
        <f>'Build Plan w Hours'!D19</f>
        <v>Make lift lugs, ground lugs, etc.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089-25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69</v>
      </c>
    </row>
    <row r="80" spans="1:9" ht="21.75" customHeight="1" x14ac:dyDescent="0.25">
      <c r="A80" s="29" t="s">
        <v>13</v>
      </c>
      <c r="B80" s="31" t="str">
        <f>'Build Plan w Hours'!C20</f>
        <v>.235</v>
      </c>
      <c r="C80" s="40" t="str">
        <f>'Build Plan w Hours'!D20</f>
        <v>Build top and bottom stiffeners_x000D_
INCL CUT NOTCHES IN BEAMS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089-25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69</v>
      </c>
    </row>
    <row r="86" spans="1:9" ht="21.75" customHeight="1" x14ac:dyDescent="0.25">
      <c r="A86" s="29" t="s">
        <v>13</v>
      </c>
      <c r="B86" s="31" t="str">
        <f>'Build Plan w Hours'!C21</f>
        <v>.252</v>
      </c>
      <c r="C86" s="40" t="str">
        <f>'Build Plan w Hours'!D21</f>
        <v>Fabricate miscellaneous parts_x000D_
MAKE (2) STACK CONNECTIONS (N14 A &amp; B)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089-25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69</v>
      </c>
    </row>
    <row r="92" spans="1:9" ht="21.75" customHeight="1" x14ac:dyDescent="0.25">
      <c r="A92" s="29" t="s">
        <v>13</v>
      </c>
      <c r="B92" s="31" t="str">
        <f>'Build Plan w Hours'!C22</f>
        <v>.261</v>
      </c>
      <c r="C92" s="40" t="str">
        <f>'Build Plan w Hours'!D22</f>
        <v>Miscellaneous Fabrication - Braces, Mounting Plates, Cone Outlet Necks_x000D_
MAKE OVERFLOW ASSEMBLY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089-25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69</v>
      </c>
    </row>
    <row r="98" spans="1:9" ht="21.75" customHeight="1" x14ac:dyDescent="0.25">
      <c r="A98" s="29" t="s">
        <v>13</v>
      </c>
      <c r="B98" s="31" t="str">
        <f>'Build Plan w Hours'!C23</f>
        <v>.QC2</v>
      </c>
      <c r="C98" s="40" t="str">
        <f>'Build Plan w Hours'!D23</f>
        <v>QC Inspection - Components prior to shipping to Subcontractor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089-25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69</v>
      </c>
    </row>
    <row r="104" spans="1:9" ht="21.75" customHeight="1" x14ac:dyDescent="0.25">
      <c r="A104" s="29" t="s">
        <v>13</v>
      </c>
      <c r="B104" s="31" t="str">
        <f>'Build Plan w Hours'!C24</f>
        <v>.QC3</v>
      </c>
      <c r="C104" s="40" t="str">
        <f>'Build Plan w Hours'!D24</f>
        <v>UT Shells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089-25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69</v>
      </c>
    </row>
    <row r="110" spans="1:9" ht="21.75" customHeight="1" x14ac:dyDescent="0.25">
      <c r="A110" s="29" t="s">
        <v>13</v>
      </c>
      <c r="B110" s="31" t="str">
        <f>'Build Plan w Hours'!C25</f>
        <v>.305</v>
      </c>
      <c r="C110" s="40" t="str">
        <f>'Build Plan w Hours'!D25</f>
        <v>Shells: bring in plate, square, trim and clean_x000D_
PREP *8) SHELL SECTIONS FOR ROLLING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089-25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69</v>
      </c>
    </row>
    <row r="116" spans="1:9" ht="21.75" customHeight="1" x14ac:dyDescent="0.25">
      <c r="A116" s="29" t="s">
        <v>13</v>
      </c>
      <c r="B116" s="31" t="str">
        <f>'Build Plan w Hours'!C26</f>
        <v>.310</v>
      </c>
      <c r="C116" s="40" t="str">
        <f>'Build Plan w Hours'!D26</f>
        <v>Bevel shell plates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089-25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69</v>
      </c>
    </row>
    <row r="122" spans="1:9" ht="21.75" customHeight="1" x14ac:dyDescent="0.25">
      <c r="A122" s="29" t="s">
        <v>13</v>
      </c>
      <c r="B122" s="31" t="str">
        <f>'Build Plan w Hours'!C27</f>
        <v>.315</v>
      </c>
      <c r="C122" s="40" t="str">
        <f>'Build Plan w Hours'!D27</f>
        <v>Roll shells, tack and weld inside seams_x000D_
ROLL (8) SHELL SECTIONS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089-25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69</v>
      </c>
    </row>
    <row r="128" spans="1:9" ht="21.75" customHeight="1" x14ac:dyDescent="0.25">
      <c r="A128" s="29" t="s">
        <v>13</v>
      </c>
      <c r="B128" s="31" t="str">
        <f>'Build Plan w Hours'!C28</f>
        <v>.350</v>
      </c>
      <c r="C128" s="40" t="str">
        <f>'Build Plan w Hours'!D28</f>
        <v>Build top head/cone_x000D_
BUILD TOP IN (2) SECTIONS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089-25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69</v>
      </c>
    </row>
    <row r="134" spans="1:9" ht="21.75" customHeight="1" x14ac:dyDescent="0.25">
      <c r="A134" s="29" t="s">
        <v>13</v>
      </c>
      <c r="B134" s="31" t="str">
        <f>'Build Plan w Hours'!C29</f>
        <v>.QC4</v>
      </c>
      <c r="C134" s="40" t="str">
        <f>'Build Plan w Hours'!D29</f>
        <v>QC Inspection - Top/Bottom/Cones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089-25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69</v>
      </c>
    </row>
    <row r="140" spans="1:9" ht="21.75" customHeight="1" x14ac:dyDescent="0.25">
      <c r="A140" s="29" t="s">
        <v>13</v>
      </c>
      <c r="B140" s="31" t="str">
        <f>'Build Plan w Hours'!C30</f>
        <v>.355</v>
      </c>
      <c r="C140" s="40" t="str">
        <f>'Build Plan w Hours'!D30</f>
        <v>Lay out top head, burn and clean holes_x000D_
***DO NOT CUT COLLAR CONNECTIONS***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089-25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69</v>
      </c>
    </row>
    <row r="146" spans="1:9" ht="21.75" customHeight="1" x14ac:dyDescent="0.25">
      <c r="A146" s="29" t="s">
        <v>13</v>
      </c>
      <c r="B146" s="31" t="str">
        <f>'Build Plan w Hours'!C31</f>
        <v>.360</v>
      </c>
      <c r="C146" s="40" t="str">
        <f>'Build Plan w Hours'!D31</f>
        <v>Bevel top head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089-25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69</v>
      </c>
    </row>
    <row r="152" spans="1:9" ht="21.75" customHeight="1" x14ac:dyDescent="0.25">
      <c r="A152" s="29" t="s">
        <v>13</v>
      </c>
      <c r="B152" s="31" t="str">
        <f>'Build Plan w Hours'!C32</f>
        <v>.375</v>
      </c>
      <c r="C152" s="40" t="str">
        <f>'Build Plan w Hours'!D32</f>
        <v>Install top stiffeners_x000D_
INSTALL (4) STIFFENERS ON LOWER ROOF SECTION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089-25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69</v>
      </c>
    </row>
    <row r="158" spans="1:9" ht="21.75" customHeight="1" x14ac:dyDescent="0.25">
      <c r="A158" s="29" t="s">
        <v>13</v>
      </c>
      <c r="B158" s="31" t="str">
        <f>'Build Plan w Hours'!C33</f>
        <v>.450</v>
      </c>
      <c r="C158" s="40" t="str">
        <f>'Build Plan w Hours'!D33</f>
        <v>Build bottom head/cone_x000D_
BUILD BOTTOM IN (2) SECTIONS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089-25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69</v>
      </c>
    </row>
    <row r="164" spans="1:9" ht="21.75" customHeight="1" x14ac:dyDescent="0.25">
      <c r="A164" s="29" t="s">
        <v>13</v>
      </c>
      <c r="B164" s="31" t="str">
        <f>'Build Plan w Hours'!C34</f>
        <v>.QC4</v>
      </c>
      <c r="C164" s="40" t="str">
        <f>'Build Plan w Hours'!D34</f>
        <v>QC Inspection - Top/Bottom/Cones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089-25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69</v>
      </c>
    </row>
    <row r="170" spans="1:9" ht="21.75" customHeight="1" x14ac:dyDescent="0.25">
      <c r="A170" s="29" t="s">
        <v>13</v>
      </c>
      <c r="B170" s="31" t="str">
        <f>'Build Plan w Hours'!C35</f>
        <v>.460</v>
      </c>
      <c r="C170" s="40" t="str">
        <f>'Build Plan w Hours'!D35</f>
        <v>Bevel bottom head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089-25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69</v>
      </c>
    </row>
    <row r="176" spans="1:9" ht="21.75" customHeight="1" x14ac:dyDescent="0.25">
      <c r="A176" s="29" t="s">
        <v>13</v>
      </c>
      <c r="B176" s="31" t="str">
        <f>'Build Plan w Hours'!C36</f>
        <v>.600</v>
      </c>
      <c r="C176" s="40" t="str">
        <f>'Build Plan w Hours'!D36</f>
        <v>Fit bottom head to shell_x000D_
FIT LOWER SHELL COURSE &amp; WELD TO BOTTOM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089-25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69</v>
      </c>
    </row>
    <row r="182" spans="1:9" ht="21.75" customHeight="1" x14ac:dyDescent="0.25">
      <c r="A182" s="29" t="s">
        <v>13</v>
      </c>
      <c r="B182" s="31" t="str">
        <f>'Build Plan w Hours'!C37</f>
        <v>.605</v>
      </c>
      <c r="C182" s="40" t="str">
        <f>'Build Plan w Hours'!D37</f>
        <v>Tack shell courses together_x000D_
FIT UPPER SHELL COURSE TO LOWER SHELL COURSE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089-25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69</v>
      </c>
    </row>
    <row r="188" spans="1:9" ht="21.75" customHeight="1" x14ac:dyDescent="0.25">
      <c r="A188" s="29" t="s">
        <v>13</v>
      </c>
      <c r="B188" s="31" t="str">
        <f>'Build Plan w Hours'!C38</f>
        <v>.610</v>
      </c>
      <c r="C188" s="40" t="str">
        <f>'Build Plan w Hours'!D38</f>
        <v>Weld inside round seams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089-25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69</v>
      </c>
    </row>
    <row r="194" spans="1:9" ht="21.75" customHeight="1" x14ac:dyDescent="0.25">
      <c r="A194" s="29" t="s">
        <v>13</v>
      </c>
      <c r="B194" s="31" t="str">
        <f>'Build Plan w Hours'!C39</f>
        <v>.620</v>
      </c>
      <c r="C194" s="40" t="str">
        <f>'Build Plan w Hours'!D39</f>
        <v>Lay out shell, burn and clean holes_x000D_
BEVEL HOLES CUT ON BURN TABLE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089-25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69</v>
      </c>
    </row>
    <row r="200" spans="1:9" ht="21.75" customHeight="1" x14ac:dyDescent="0.25">
      <c r="A200" s="29" t="s">
        <v>13</v>
      </c>
      <c r="B200" s="31" t="str">
        <f>'Build Plan w Hours'!C40</f>
        <v>.630</v>
      </c>
      <c r="C200" s="40" t="str">
        <f>'Build Plan w Hours'!D40</f>
        <v>Install internals - wear plates, rings, clips, etc._x000D_
(3) WEAR PADS &amp; (8) SHIPPING SUPPORTS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089-25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69</v>
      </c>
    </row>
    <row r="206" spans="1:9" ht="21.75" customHeight="1" x14ac:dyDescent="0.25">
      <c r="A206" s="29" t="s">
        <v>13</v>
      </c>
      <c r="B206" s="31" t="str">
        <f>'Build Plan w Hours'!C41</f>
        <v>.QC5</v>
      </c>
      <c r="C206" s="40" t="str">
        <f>'Build Plan w Hours'!D41</f>
        <v>QC Inspection - Internal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089-25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69</v>
      </c>
    </row>
    <row r="212" spans="1:9" ht="21.75" customHeight="1" x14ac:dyDescent="0.25">
      <c r="A212" s="29" t="s">
        <v>13</v>
      </c>
      <c r="B212" s="31" t="str">
        <f>'Build Plan w Hours'!C42</f>
        <v>.640</v>
      </c>
      <c r="C212" s="40" t="str">
        <f>'Build Plan w Hours'!D42</f>
        <v>Fit top head to shell - tack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089-25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69</v>
      </c>
    </row>
    <row r="218" spans="1:9" ht="21.75" customHeight="1" x14ac:dyDescent="0.25">
      <c r="A218" s="29" t="s">
        <v>13</v>
      </c>
      <c r="B218" s="31" t="str">
        <f>'Build Plan w Hours'!C43</f>
        <v>.641</v>
      </c>
      <c r="C218" s="40" t="str">
        <f>'Build Plan w Hours'!D43</f>
        <v>Weld top head to shell - inside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089-25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69</v>
      </c>
    </row>
    <row r="224" spans="1:9" ht="21.75" customHeight="1" x14ac:dyDescent="0.25">
      <c r="A224" s="29" t="s">
        <v>13</v>
      </c>
      <c r="B224" s="31" t="str">
        <f>'Build Plan w Hours'!C44</f>
        <v>.645</v>
      </c>
      <c r="C224" s="40" t="str">
        <f>'Build Plan w Hours'!D44</f>
        <v>Weld all outside seams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089-25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69</v>
      </c>
    </row>
    <row r="230" spans="1:9" ht="21.75" customHeight="1" x14ac:dyDescent="0.25">
      <c r="A230" s="29" t="s">
        <v>13</v>
      </c>
      <c r="B230" s="31" t="str">
        <f>'Build Plan w Hours'!C45</f>
        <v>.715</v>
      </c>
      <c r="C230" s="40" t="str">
        <f>'Build Plan w Hours'!D45</f>
        <v>Install insulation/vacuum rings - tack_x000D_
INSTALL (12) VERTICAL SHELL STIFFENERS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089-25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69</v>
      </c>
    </row>
    <row r="236" spans="1:9" ht="21.75" customHeight="1" x14ac:dyDescent="0.25">
      <c r="A236" s="29" t="s">
        <v>13</v>
      </c>
      <c r="B236" s="31" t="str">
        <f>'Build Plan w Hours'!C46</f>
        <v>.720</v>
      </c>
      <c r="C236" s="40" t="str">
        <f>'Build Plan w Hours'!D46</f>
        <v>Install supports - legs, lugs, anchors, saddles, skirt_x000D_
FIT &amp; WELD (14) GUSSETS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089-25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69</v>
      </c>
    </row>
    <row r="242" spans="1:9" ht="21.75" customHeight="1" x14ac:dyDescent="0.25">
      <c r="A242" s="29" t="s">
        <v>13</v>
      </c>
      <c r="B242" s="31" t="str">
        <f>'Build Plan w Hours'!C47</f>
        <v>.725</v>
      </c>
      <c r="C242" s="40" t="str">
        <f>'Build Plan w Hours'!D47</f>
        <v>Set nozzles in shell - tack_x000D_
FIT NOZZLES, MANWAY, AND MIXER MOUNTS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089-25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69</v>
      </c>
    </row>
    <row r="248" spans="1:9" ht="21.75" customHeight="1" x14ac:dyDescent="0.25">
      <c r="A248" s="29" t="s">
        <v>13</v>
      </c>
      <c r="B248" s="31" t="str">
        <f>'Build Plan w Hours'!C48</f>
        <v>.726</v>
      </c>
      <c r="C248" s="40" t="str">
        <f>'Build Plan w Hours'!D48</f>
        <v>Weld shell nozzles, manways, etc.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089-25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69</v>
      </c>
    </row>
    <row r="254" spans="1:9" ht="21.75" customHeight="1" x14ac:dyDescent="0.25">
      <c r="A254" s="29" t="s">
        <v>13</v>
      </c>
      <c r="B254" s="31" t="str">
        <f>'Build Plan w Hours'!C49</f>
        <v>.730</v>
      </c>
      <c r="C254" s="40" t="str">
        <f>'Build Plan w Hours'!D49</f>
        <v>Add repads and weld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089-25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69</v>
      </c>
    </row>
    <row r="260" spans="1:9" ht="21.75" customHeight="1" x14ac:dyDescent="0.25">
      <c r="A260" s="29" t="s">
        <v>13</v>
      </c>
      <c r="B260" s="31" t="str">
        <f>'Build Plan w Hours'!C50</f>
        <v>.750</v>
      </c>
      <c r="C260" s="40" t="str">
        <f>'Build Plan w Hours'!D50</f>
        <v>Fit handrail - install and weld clips_x000D_
SEPARATE TANK IN (2) SECTIONS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089-25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69</v>
      </c>
    </row>
    <row r="266" spans="1:9" ht="21.75" customHeight="1" x14ac:dyDescent="0.25">
      <c r="A266" s="29" t="s">
        <v>13</v>
      </c>
      <c r="B266" s="31" t="str">
        <f>'Build Plan w Hours'!C51</f>
        <v>.765</v>
      </c>
      <c r="C266" s="40" t="str">
        <f>'Build Plan w Hours'!D51</f>
        <v>Install name tag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089-25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69</v>
      </c>
    </row>
    <row r="272" spans="1:9" ht="21.75" customHeight="1" x14ac:dyDescent="0.25">
      <c r="A272" s="29" t="s">
        <v>13</v>
      </c>
      <c r="B272" s="31" t="str">
        <f>'Build Plan w Hours'!C52</f>
        <v>.770</v>
      </c>
      <c r="C272" s="40" t="str">
        <f>'Build Plan w Hours'!D52</f>
        <v>Inspect tank, make repairs, get QC inspector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089-25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69</v>
      </c>
    </row>
    <row r="278" spans="1:9" ht="21.75" customHeight="1" x14ac:dyDescent="0.25">
      <c r="A278" s="29" t="s">
        <v>13</v>
      </c>
      <c r="B278" s="31" t="str">
        <f>'Build Plan w Hours'!C53</f>
        <v>.QC6</v>
      </c>
      <c r="C278" s="40" t="str">
        <f>'Build Plan w Hours'!D53</f>
        <v>QC Inspection - Fabrication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089-25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69</v>
      </c>
    </row>
    <row r="284" spans="1:9" ht="21.75" customHeight="1" x14ac:dyDescent="0.25">
      <c r="A284" s="29" t="s">
        <v>13</v>
      </c>
      <c r="B284" s="31" t="str">
        <f>'Build Plan w Hours'!C54</f>
        <v>.OI4</v>
      </c>
      <c r="C284" s="40" t="str">
        <f>'Build Plan w Hours'!D54</f>
        <v>Customer Inspection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089-25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69</v>
      </c>
    </row>
    <row r="290" spans="1:9" ht="21.75" customHeight="1" x14ac:dyDescent="0.25">
      <c r="A290" s="29" t="s">
        <v>13</v>
      </c>
      <c r="B290" s="31" t="str">
        <f>'Build Plan w Hours'!C55</f>
        <v>.801</v>
      </c>
      <c r="C290" s="40" t="str">
        <f>'Build Plan w Hours'!D55</f>
        <v>Move to shop test area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089-25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69</v>
      </c>
    </row>
    <row r="296" spans="1:9" ht="21.75" customHeight="1" x14ac:dyDescent="0.25">
      <c r="A296" s="29" t="s">
        <v>13</v>
      </c>
      <c r="B296" s="31" t="str">
        <f>'Build Plan w Hours'!C56</f>
        <v>.900</v>
      </c>
      <c r="C296" s="40" t="str">
        <f>'Build Plan w Hours'!D56</f>
        <v>Dye pen test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089-25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69</v>
      </c>
    </row>
    <row r="302" spans="1:9" ht="21.75" customHeight="1" x14ac:dyDescent="0.25">
      <c r="A302" s="29" t="s">
        <v>13</v>
      </c>
      <c r="B302" s="31" t="str">
        <f>'Build Plan w Hours'!C57</f>
        <v>.QC7</v>
      </c>
      <c r="C302" s="40" t="str">
        <f>'Build Plan w Hours'!D57</f>
        <v>QC Inspection - Test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089-25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69</v>
      </c>
    </row>
    <row r="308" spans="1:9" ht="21.75" customHeight="1" x14ac:dyDescent="0.25">
      <c r="A308" s="29" t="s">
        <v>13</v>
      </c>
      <c r="B308" s="31" t="str">
        <f>'Build Plan w Hours'!C58</f>
        <v>.920</v>
      </c>
      <c r="C308" s="40" t="str">
        <f>'Build Plan w Hours'!D58</f>
        <v>Clean tank complete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089-25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69</v>
      </c>
    </row>
    <row r="314" spans="1:9" ht="21.75" customHeight="1" x14ac:dyDescent="0.25">
      <c r="A314" s="29" t="s">
        <v>13</v>
      </c>
      <c r="B314" s="31" t="str">
        <f>'Build Plan w Hours'!C59</f>
        <v>.QC8</v>
      </c>
      <c r="C314" s="40" t="str">
        <f>'Build Plan w Hours'!D59</f>
        <v>QC Inspection - Clean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089-25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69</v>
      </c>
    </row>
    <row r="320" spans="1:9" ht="21.75" customHeight="1" x14ac:dyDescent="0.25">
      <c r="A320" s="29" t="s">
        <v>13</v>
      </c>
      <c r="B320" s="31" t="str">
        <f>'Build Plan w Hours'!C60</f>
        <v>.802</v>
      </c>
      <c r="C320" s="40" t="str">
        <f>'Build Plan w Hours'!D60</f>
        <v>Move to paint area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089-25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69</v>
      </c>
    </row>
    <row r="326" spans="1:9" ht="21.75" customHeight="1" x14ac:dyDescent="0.25">
      <c r="A326" s="29" t="s">
        <v>13</v>
      </c>
      <c r="B326" s="31" t="str">
        <f>'Build Plan w Hours'!C61</f>
        <v>.QC9</v>
      </c>
      <c r="C326" s="40" t="str">
        <f>'Build Plan w Hours'!D61</f>
        <v>QC Inspection - Sandblast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089-25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69</v>
      </c>
    </row>
    <row r="332" spans="1:9" ht="21.75" customHeight="1" x14ac:dyDescent="0.25">
      <c r="A332" s="29" t="s">
        <v>13</v>
      </c>
      <c r="B332" s="31" t="str">
        <f>'Build Plan w Hours'!C62</f>
        <v>.QC90</v>
      </c>
      <c r="C332" s="40" t="str">
        <f>'Build Plan w Hours'!D62</f>
        <v>QC Inspection - Paint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089-25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69</v>
      </c>
    </row>
    <row r="338" spans="1:9" ht="21.75" customHeight="1" x14ac:dyDescent="0.25">
      <c r="A338" s="29" t="s">
        <v>13</v>
      </c>
      <c r="B338" s="31" t="str">
        <f>'Build Plan w Hours'!C63</f>
        <v>.940</v>
      </c>
      <c r="C338" s="40" t="str">
        <f>'Build Plan w Hours'!D63</f>
        <v>Prepare tank for shipment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089-25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69</v>
      </c>
    </row>
    <row r="344" spans="1:9" ht="21.75" customHeight="1" x14ac:dyDescent="0.25">
      <c r="A344" s="29" t="s">
        <v>13</v>
      </c>
      <c r="B344" s="31" t="str">
        <f>'Build Plan w Hours'!C64</f>
        <v>.950</v>
      </c>
      <c r="C344" s="40" t="str">
        <f>'Build Plan w Hours'!D64</f>
        <v>Check bill of materials and pack loose parts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089-25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69</v>
      </c>
    </row>
    <row r="350" spans="1:9" ht="21.75" customHeight="1" x14ac:dyDescent="0.25">
      <c r="A350" s="29" t="s">
        <v>13</v>
      </c>
      <c r="B350" s="31" t="str">
        <f>'Build Plan w Hours'!C65</f>
        <v>.QC95</v>
      </c>
      <c r="C350" s="40" t="str">
        <f>'Build Plan w Hours'!D65</f>
        <v>QC Inspection - Final &amp; Loose Items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089-25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69</v>
      </c>
    </row>
    <row r="356" spans="1:9" ht="21.75" customHeight="1" x14ac:dyDescent="0.25">
      <c r="A356" s="29" t="s">
        <v>13</v>
      </c>
      <c r="B356" s="31" t="str">
        <f>'Build Plan w Hours'!C66</f>
        <v>.960</v>
      </c>
      <c r="C356" s="40" t="str">
        <f>'Build Plan w Hours'!D66</f>
        <v>Load on truck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089-25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69</v>
      </c>
    </row>
    <row r="362" spans="1:9" ht="21.75" customHeight="1" x14ac:dyDescent="0.25">
      <c r="A362" s="29" t="s">
        <v>13</v>
      </c>
      <c r="B362" s="31" t="str">
        <f>'Build Plan w Hours'!C67</f>
        <v>.971</v>
      </c>
      <c r="C362" s="40" t="str">
        <f>'Build Plan w Hours'!D67</f>
        <v>Take parts to machine shop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089-25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69</v>
      </c>
    </row>
    <row r="368" spans="1:9" ht="21.75" customHeight="1" x14ac:dyDescent="0.25">
      <c r="A368" s="29" t="s">
        <v>13</v>
      </c>
      <c r="B368" s="31" t="str">
        <f>'Build Plan w Hours'!C68</f>
        <v>.973</v>
      </c>
      <c r="C368" s="40" t="str">
        <f>'Build Plan w Hours'!D68</f>
        <v>Pick up parts from machine shop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089-25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69</v>
      </c>
    </row>
    <row r="374" spans="1:9" ht="21.75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089-25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69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089-25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69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089-25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69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089-25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69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089-25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69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089-25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69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089-25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69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089-25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69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089-25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69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089-25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69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089-25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69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089-25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69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089-25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69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089-25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69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089-25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69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089-25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69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089-25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69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089-25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69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089-25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69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476:C478"/>
    <mergeCell ref="C446:C448"/>
    <mergeCell ref="C452:C454"/>
    <mergeCell ref="C458:C460"/>
    <mergeCell ref="C464:C466"/>
    <mergeCell ref="C470:C47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2025-12-11T20:30:19Z</cp:lastPrinted>
  <dcterms:created xsi:type="dcterms:W3CDTF">2016-06-28T20:53:17Z</dcterms:created>
  <dcterms:modified xsi:type="dcterms:W3CDTF">2025-12-11T20:35:25Z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