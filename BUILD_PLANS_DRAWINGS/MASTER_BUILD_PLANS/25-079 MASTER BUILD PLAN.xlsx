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79-25 - Epic Systems - R-311 Packed Bed Reactor\"/>
    </mc:Choice>
  </mc:AlternateContent>
  <xr:revisionPtr revIDLastSave="0" documentId="13_ncr:1_{8F1EDD76-A739-4BA9-84F0-D449BD708DA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Hours'!$A$1:$H$40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<sst xmlns="http://schemas.openxmlformats.org/spreadsheetml/2006/main" count="1586" uniqueCount="162">
  <si>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</si>
  <si>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</si>
  <si>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</si>
  <si>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</si>
  <si>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</si>
  <si>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</si>
  <si>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</si>
  <si>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</si>
  <si>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</si>
  <si>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</si>
  <si>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</si>
  <si>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</si>
  <si>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</si>
  <si>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</si>
  <si>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</si>
  <si>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</si>
  <si>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</si>
  <si>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</si>
  <si>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</si>
  <si>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</si>
  <si>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</si>
  <si>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</si>
  <si>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</si>
  <si>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</si>
  <si>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</si>
  <si>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</si>
  <si>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</si>
  <si>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</si>
  <si>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</si>
  <si>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</si>
  <si>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</si>
  <si>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</si>
  <si>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</si>
  <si>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</si>
  <si>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</si>
  <si>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</si>
  <si>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</si>
  <si>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</si>
  <si>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</si>
  <si>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</si>
  <si>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</si>
  <si>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</si>
  <si>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</si>
  <si>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</si>
  <si>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</si>
  <si>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</si>
  <si>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</si>
  <si>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</si>
  <si>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</si>
  <si>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</si>
  <si>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</si>
  <si>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</si>
  <si>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</si>
  <si>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</si>
  <si>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</si>
  <si>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</si>
  <si>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</si>
  <si>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</si>
  <si>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</si>
  <si>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</si>
  <si>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</si>
  <si>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</si>
  <si>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</si>
  <si>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QC Inspection - Final &amp; L</t>
  </si>
  <si>
    <t>.QC95</t>
  </si>
  <si>
    <t>QC Inspection - Final &amp; Loose Items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</si>
  <si>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</si>
  <si>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</si>
  <si>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</si>
  <si>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</si>
  <si>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</si>
  <si>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</si>
  <si>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</si>
  <si>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</si>
  <si>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</si>
  <si>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</si>
  <si>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</si>
  <si>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</si>
  <si>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</si>
  <si>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</si>
  <si>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</si>
  <si>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</si>
  <si>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</si>
  <si>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</si>
  <si>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</si>
  <si>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</si>
  <si>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</si>
  <si>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</si>
  <si>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</si>
  <si>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</si>
  <si>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</si>
  <si>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</si>
  <si>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</si>
  <si>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</si>
  <si>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</si>
  <si>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</si>
  <si>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</si>
  <si>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</si>
  <si>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</si>
  <si>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</si>
  <si>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</si>
  <si>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</si>
  <si>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</si>
  <si>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</si>
  <si>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</si>
  <si>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</si>
  <si>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</si>
  <si>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</si>
  <si>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</si>
  <si>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</si>
  <si>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</si>
  <si>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</si>
  <si>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</si>
  <si>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</si>
  <si>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</si>
  <si>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</si>
  <si>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</si>
  <si>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</si>
  <si>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</si>
  <si>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</si>
  <si>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</si>
  <si>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</si>
  <si>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</si>
  <si>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</si>
  <si>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</si>
  <si>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</si>
  <si>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</si>
  <si>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</si>
  <si>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</si>
  <si>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Cut Parts on Burn Table</t>
  </si>
  <si>
    <t>Clean &amp; Prep Parts</t>
  </si>
  <si>
    <t>.156</t>
  </si>
  <si>
    <t>L/O Bottom, B&amp;C Holes</t>
  </si>
  <si>
    <t>.455</t>
  </si>
  <si>
    <t>Lay out bottom head, burn and clean holes</t>
  </si>
  <si>
    <t>Fit top head to shell - tack_x000D_
AND WELD</t>
  </si>
  <si>
    <t>R-311 PACKED BED REACTOR</t>
  </si>
  <si>
    <t>63958</t>
  </si>
  <si>
    <t>Cut nozzle pipe and clean_x000D_
INCL CUT 10" SHELL</t>
  </si>
  <si>
    <t>Build nozzles and weld_x000D_
WELD WITH COBOT</t>
  </si>
  <si>
    <t>Build supports: legs, lugs, saddles_x000D_
BUILD (4) LEGS</t>
  </si>
  <si>
    <t>Make lift lugs, ground lugs, etc.</t>
  </si>
  <si>
    <t>Set  nozzles, lift lugs, etc. in top head - tack</t>
  </si>
  <si>
    <t>Weld out top head nozzles, etc._x000D_
INCL INSTALL (2) LIFT LUGS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</si>
  <si>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</si>
  <si>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</si>
  <si>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</si>
  <si>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</si>
  <si>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</si>
  <si>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complete_x000D_
AND INSTAL MESH</t>
  </si>
  <si>
    <t>ASME Hold Point</t>
  </si>
  <si>
    <t>.OI1</t>
  </si>
  <si>
    <t>Fit bottom head to shell_x000D_
AND WELD</t>
  </si>
  <si>
    <t>Lay out shell, burn and clean holes</t>
  </si>
  <si>
    <t>Install supports - legs, lugs, anchors, saddles, skirt_x000D_
AND WELD</t>
  </si>
  <si>
    <t>Set nozzles in shell - tack_x000D_
AND PREP FOR FULL PEN WELDS</t>
  </si>
  <si>
    <t>Weld shell nozzles, manways, etc.</t>
  </si>
  <si>
    <t>ASME Inspection Internal</t>
  </si>
  <si>
    <t>.OI2</t>
  </si>
  <si>
    <t>ASME Inspection Test</t>
  </si>
  <si>
    <t>.OI3</t>
  </si>
  <si>
    <t>079-25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</si>
</sst>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40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161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R-311 PACKED BED REACTOR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CUT 10" SHELL</v>
      </c>
      <c r="E7" s="13">
        <f>'Sheet2-PASTE HERE!'!F17</f>
        <v>7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WELD WITH COBOT</v>
      </c>
      <c r="E8" s="13">
        <f>'Sheet2-PASTE HERE!'!F18</f>
        <v>10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.165</v>
      </c>
      <c r="D11" s="22" t="str">
        <f>'Sheet2-PASTE HERE!'!K21</f>
        <v>Build supports: legs, lugs, saddles_x000D_
BUILD (4) LEGS</v>
      </c>
      <c r="E11" s="13">
        <f>'Sheet2-PASTE HERE!'!F21</f>
        <v>6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INSPECTION</v>
      </c>
      <c r="B13" s="11"/>
      <c r="C13" s="17" t="str">
        <f>'Sheet2-PASTE HERE!'!I23</f>
        <v>.QC4</v>
      </c>
      <c r="D13" s="22" t="str">
        <f>'Sheet2-PASTE HERE!'!K23</f>
        <v>QC Inspection - Top/Bottom/Cones</v>
      </c>
      <c r="E13" s="13">
        <f>'Sheet2-PASTE HERE!'!F23</f>
        <v>0</v>
      </c>
      <c r="F13" s="12"/>
      <c r="G13" s="12"/>
      <c r="H13" s="12"/>
      <c r="K13">
        <f t="shared" si="0"/>
        <v>1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.355</v>
      </c>
      <c r="D14" s="22" t="str">
        <f>'Sheet2-PASTE HERE!'!K24</f>
        <v>Lay out top head, burn and clean holes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.365</v>
      </c>
      <c r="D15" s="22" t="str">
        <f>'Sheet2-PASTE HERE!'!K25</f>
        <v>Set  nozzles, lift lugs, etc. in top head - tack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.366</v>
      </c>
      <c r="D16" s="22" t="str">
        <f>'Sheet2-PASTE HERE!'!K26</f>
        <v>Weld out top head nozzles, etc._x000D_
INCL INSTALL (2) LIFT LUGS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.QC4</v>
      </c>
      <c r="D17" s="22" t="str">
        <f>'Sheet2-PASTE HERE!'!K27</f>
        <v>QC Inspection - Top/Bottom/Cones</v>
      </c>
      <c r="E17" s="13">
        <f>'Sheet2-PASTE HERE!'!F27</f>
        <v>0</v>
      </c>
      <c r="F17" s="12"/>
      <c r="G17" s="12"/>
      <c r="H17" s="12"/>
      <c r="K17">
        <f t="shared" ref="K17:K80" si="2">IF(A17="INSPECTION",1,0)</f>
        <v>1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.455</v>
      </c>
      <c r="D18" s="22" t="str">
        <f>'Sheet2-PASTE HERE!'!K28</f>
        <v>Lay out bottom head, burn and clean holes</v>
      </c>
      <c r="E18" s="13">
        <f>'Sheet2-PASTE HERE!'!F28</f>
        <v>1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.465</v>
      </c>
      <c r="D19" s="22" t="str">
        <f>'Sheet2-PASTE HERE!'!K29</f>
        <v>Set  nozzles in bottom head - tack</v>
      </c>
      <c r="E19" s="13">
        <f>'Sheet2-PASTE HERE!'!F29</f>
        <v>1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.466</v>
      </c>
      <c r="D20" s="22" t="str">
        <f>'Sheet2-PASTE HERE!'!K30</f>
        <v>Weld nozzles in bottom head; weld complete_x000D_
AND INSTAL MESH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.OI1</v>
      </c>
      <c r="D21" s="22" t="str">
        <f>'Sheet2-PASTE HERE!'!K31</f>
        <v>ASME Hold Point</v>
      </c>
      <c r="E21" s="13">
        <f>'Sheet2-PASTE HERE!'!F31</f>
        <v>0</v>
      </c>
      <c r="F21" s="12"/>
      <c r="G21" s="12"/>
      <c r="H21" s="12"/>
      <c r="K21">
        <f t="shared" si="2"/>
        <v>1</v>
      </c>
      <c r="L21">
        <f t="shared" si="1"/>
        <v>1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.600</v>
      </c>
      <c r="D22" s="22" t="str">
        <f>'Sheet2-PASTE HERE!'!K32</f>
        <v>Fit bottom head to shell_x000D_
AND WELD</v>
      </c>
      <c r="E22" s="13">
        <f>'Sheet2-PASTE HERE!'!F32</f>
        <v>4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.620</v>
      </c>
      <c r="D23" s="22" t="str">
        <f>'Sheet2-PASTE HERE!'!K33</f>
        <v>Lay out shell, burn and clean holes</v>
      </c>
      <c r="E23" s="13">
        <f>'Sheet2-PASTE HERE!'!F33</f>
        <v>8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.QC5</v>
      </c>
      <c r="D24" s="22" t="str">
        <f>'Sheet2-PASTE HERE!'!K34</f>
        <v>QC Inspection - Internal</v>
      </c>
      <c r="E24" s="13">
        <f>'Sheet2-PASTE HERE!'!F34</f>
        <v>0</v>
      </c>
      <c r="F24" s="12"/>
      <c r="G24" s="12"/>
      <c r="H24" s="12"/>
      <c r="K24">
        <f t="shared" si="2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.640</v>
      </c>
      <c r="D25" s="22" t="str">
        <f>'Sheet2-PASTE HERE!'!K35</f>
        <v>Fit top head to shell - tack_x000D_
AND WELD</v>
      </c>
      <c r="E25" s="13">
        <f>'Sheet2-PASTE HERE!'!F35</f>
        <v>4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MOVE TANK</v>
      </c>
      <c r="B26" s="11"/>
      <c r="C26" s="17" t="str">
        <f>'Sheet2-PASTE HERE!'!I36</f>
        <v>.800</v>
      </c>
      <c r="D26" s="22" t="str">
        <f>'Sheet2-PASTE HERE!'!K36</f>
        <v>Move tank to detail rolls</v>
      </c>
      <c r="E26" s="13">
        <f>'Sheet2-PASTE HERE!'!F36</f>
        <v>1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FIT</v>
      </c>
      <c r="B27" s="11"/>
      <c r="C27" s="17" t="str">
        <f>'Sheet2-PASTE HERE!'!I37</f>
        <v>.720</v>
      </c>
      <c r="D27" s="22" t="str">
        <f>'Sheet2-PASTE HERE!'!K37</f>
        <v>Install supports - legs, lugs, anchors, saddles, skirt_x000D_
AND WELD</v>
      </c>
      <c r="E27" s="13">
        <f>'Sheet2-PASTE HERE!'!F37</f>
        <v>5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.725</v>
      </c>
      <c r="D28" s="22" t="str">
        <f>'Sheet2-PASTE HERE!'!K38</f>
        <v>Set nozzles in shell - tack_x000D_
AND PREP FOR FULL PEN WELDS</v>
      </c>
      <c r="E28" s="13">
        <f>'Sheet2-PASTE HERE!'!F38</f>
        <v>8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.726</v>
      </c>
      <c r="D29" s="22" t="str">
        <f>'Sheet2-PASTE HERE!'!K39</f>
        <v>Weld shell nozzles, manways, etc.</v>
      </c>
      <c r="E29" s="13">
        <f>'Sheet2-PASTE HERE!'!F39</f>
        <v>15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.765</v>
      </c>
      <c r="D30" s="22" t="str">
        <f>'Sheet2-PASTE HERE!'!K40</f>
        <v>Install name tag</v>
      </c>
      <c r="E30" s="13">
        <f>'Sheet2-PASTE HERE!'!F40</f>
        <v>1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.770</v>
      </c>
      <c r="D31" s="22" t="str">
        <f>'Sheet2-PASTE HERE!'!K41</f>
        <v>Inspect tank, make repairs, get QC inspector</v>
      </c>
      <c r="E31" s="13">
        <f>'Sheet2-PASTE HERE!'!F41</f>
        <v>1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.QC6</v>
      </c>
      <c r="D32" s="22" t="str">
        <f>'Sheet2-PASTE HERE!'!K42</f>
        <v>QC Inspection - Fabrication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.OI2</v>
      </c>
      <c r="D33" s="22" t="str">
        <f>'Sheet2-PASTE HERE!'!K43</f>
        <v>ASME Inspection Internal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1</v>
      </c>
    </row>
    <row r="34" spans="1:12" ht="26.25" customHeight="1" x14ac:dyDescent="0.2">
      <c r="A34" s="10" t="str">
        <f>'Sheet2-PASTE HERE!'!A44</f>
        <v>MOVE TANK</v>
      </c>
      <c r="B34" s="11"/>
      <c r="C34" s="17" t="str">
        <f>'Sheet2-PASTE HERE!'!I44</f>
        <v>.801</v>
      </c>
      <c r="D34" s="22" t="str">
        <f>'Sheet2-PASTE HERE!'!K44</f>
        <v>Move to shop test area</v>
      </c>
      <c r="E34" s="13">
        <f>'Sheet2-PASTE HERE!'!F44</f>
        <v>1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FINISHING</v>
      </c>
      <c r="B35" s="11"/>
      <c r="C35" s="17" t="str">
        <f>'Sheet2-PASTE HERE!'!I45</f>
        <v>.910</v>
      </c>
      <c r="D35" s="22" t="str">
        <f>'Sheet2-PASTE HERE!'!K45</f>
        <v>Test tank</v>
      </c>
      <c r="E35" s="13">
        <f>'Sheet2-PASTE HERE!'!F45</f>
        <v>6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.QC7</v>
      </c>
      <c r="D36" s="22" t="str">
        <f>'Sheet2-PASTE HERE!'!K46</f>
        <v>QC Inspection - Test</v>
      </c>
      <c r="E36" s="13">
        <f>'Sheet2-PASTE HERE!'!F46</f>
        <v>0</v>
      </c>
      <c r="F36" s="12"/>
      <c r="G36" s="12"/>
      <c r="H36" s="12"/>
      <c r="K36">
        <f t="shared" si="2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.OI3</v>
      </c>
      <c r="D37" s="22" t="str">
        <f>'Sheet2-PASTE HERE!'!K47</f>
        <v>ASME Inspection Test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FINISHING</v>
      </c>
      <c r="B38" s="11"/>
      <c r="C38" s="17" t="str">
        <f>'Sheet2-PASTE HERE!'!I48</f>
        <v>.920</v>
      </c>
      <c r="D38" s="22" t="str">
        <f>'Sheet2-PASTE HERE!'!K48</f>
        <v>Clean tank complete</v>
      </c>
      <c r="E38" s="13">
        <f>'Sheet2-PASTE HERE!'!F48</f>
        <v>5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.QC8</v>
      </c>
      <c r="D39" s="22" t="str">
        <f>'Sheet2-PASTE HERE!'!K49</f>
        <v>QC Inspection - Clean</v>
      </c>
      <c r="E39" s="13">
        <f>'Sheet2-PASTE HERE!'!F49</f>
        <v>0</v>
      </c>
      <c r="F39" s="12"/>
      <c r="G39" s="12"/>
      <c r="H39" s="12"/>
      <c r="K39">
        <f t="shared" si="2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.QC95</v>
      </c>
      <c r="D40" s="22" t="str">
        <f>'Sheet2-PASTE HERE!'!K50</f>
        <v>QC Inspection - Final &amp; Loose Items</v>
      </c>
      <c r="E40" s="13">
        <f>'Sheet2-PASTE HERE!'!F50</f>
        <v>0</v>
      </c>
      <c r="F40" s="12"/>
      <c r="G40" s="12"/>
      <c r="H40" s="12"/>
      <c r="K40">
        <f t="shared" si="2"/>
        <v>1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 t="str">
        <f>'Sheet2-PASTE HERE!'!F52</f>
        <v/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161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R-311 PACKED BED REACTOR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CUT 10" SHELL</v>
      </c>
      <c r="E7" s="13">
        <f>'Sheet2-PASTE HERE!'!F17</f>
        <v>7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WELD WITH COBOT</v>
      </c>
      <c r="E8" s="13">
        <f>'Sheet2-PASTE HERE!'!F18</f>
        <v>10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.165</v>
      </c>
      <c r="D11" s="22" t="str">
        <f>'Sheet2-PASTE HERE!'!K21</f>
        <v>Build supports: legs, lugs, saddles_x000D_
BUILD (4) LEGS</v>
      </c>
      <c r="E11" s="13">
        <f>'Sheet2-PASTE HERE!'!F21</f>
        <v>6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INSPECTION</v>
      </c>
      <c r="B13" s="11"/>
      <c r="C13" s="17" t="str">
        <f>'Sheet2-PASTE HERE!'!I23</f>
        <v>.QC4</v>
      </c>
      <c r="D13" s="22" t="str">
        <f>'Sheet2-PASTE HERE!'!K23</f>
        <v>QC Inspection - Top/Bottom/Cones</v>
      </c>
      <c r="E13" s="13">
        <f>'Sheet2-PASTE HERE!'!F23</f>
        <v>0</v>
      </c>
      <c r="F13" s="12"/>
      <c r="G13" s="12"/>
      <c r="H13" s="12"/>
      <c r="K13">
        <f t="shared" si="0"/>
        <v>1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.355</v>
      </c>
      <c r="D14" s="22" t="str">
        <f>'Sheet2-PASTE HERE!'!K24</f>
        <v>Lay out top head, burn and clean holes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.365</v>
      </c>
      <c r="D15" s="22" t="str">
        <f>'Sheet2-PASTE HERE!'!K25</f>
        <v>Set  nozzles, lift lugs, etc. in top head - tack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.366</v>
      </c>
      <c r="D16" s="22" t="str">
        <f>'Sheet2-PASTE HERE!'!K26</f>
        <v>Weld out top head nozzles, etc._x000D_
INCL INSTALL (2) LIFT LUGS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.QC4</v>
      </c>
      <c r="D17" s="22" t="str">
        <f>'Sheet2-PASTE HERE!'!K27</f>
        <v>QC Inspection - Top/Bottom/Cones</v>
      </c>
      <c r="E17" s="13">
        <f>'Sheet2-PASTE HERE!'!F27</f>
        <v>0</v>
      </c>
      <c r="F17" s="12"/>
      <c r="G17" s="12"/>
      <c r="H17" s="12"/>
      <c r="K17">
        <f t="shared" si="0"/>
        <v>1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.455</v>
      </c>
      <c r="D18" s="22" t="str">
        <f>'Sheet2-PASTE HERE!'!K28</f>
        <v>Lay out bottom head, burn and clean holes</v>
      </c>
      <c r="E18" s="13">
        <f>'Sheet2-PASTE HERE!'!F28</f>
        <v>1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.465</v>
      </c>
      <c r="D19" s="22" t="str">
        <f>'Sheet2-PASTE HERE!'!K29</f>
        <v>Set  nozzles in bottom head - tack</v>
      </c>
      <c r="E19" s="13">
        <f>'Sheet2-PASTE HERE!'!F29</f>
        <v>1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.466</v>
      </c>
      <c r="D20" s="22" t="str">
        <f>'Sheet2-PASTE HERE!'!K30</f>
        <v>Weld nozzles in bottom head; weld complete_x000D_
AND INSTAL MESH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.OI1</v>
      </c>
      <c r="D21" s="22" t="str">
        <f>'Sheet2-PASTE HERE!'!K31</f>
        <v>ASME Hold Point</v>
      </c>
      <c r="E21" s="13">
        <f>'Sheet2-PASTE HERE!'!F31</f>
        <v>0</v>
      </c>
      <c r="F21" s="12"/>
      <c r="G21" s="12"/>
      <c r="H21" s="12"/>
      <c r="K21">
        <f t="shared" si="0"/>
        <v>1</v>
      </c>
      <c r="L21">
        <f t="shared" si="1"/>
        <v>1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.600</v>
      </c>
      <c r="D22" s="22" t="str">
        <f>'Sheet2-PASTE HERE!'!K32</f>
        <v>Fit bottom head to shell_x000D_
AND WELD</v>
      </c>
      <c r="E22" s="13">
        <f>'Sheet2-PASTE HERE!'!F32</f>
        <v>4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.620</v>
      </c>
      <c r="D23" s="22" t="str">
        <f>'Sheet2-PASTE HERE!'!K33</f>
        <v>Lay out shell, burn and clean holes</v>
      </c>
      <c r="E23" s="13">
        <f>'Sheet2-PASTE HERE!'!F33</f>
        <v>8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.QC5</v>
      </c>
      <c r="D24" s="22" t="str">
        <f>'Sheet2-PASTE HERE!'!K34</f>
        <v>QC Inspection - Internal</v>
      </c>
      <c r="E24" s="13">
        <f>'Sheet2-PASTE HERE!'!F34</f>
        <v>0</v>
      </c>
      <c r="F24" s="12"/>
      <c r="G24" s="12"/>
      <c r="H24" s="12"/>
      <c r="K24">
        <f t="shared" si="0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.640</v>
      </c>
      <c r="D25" s="22" t="str">
        <f>'Sheet2-PASTE HERE!'!K35</f>
        <v>Fit top head to shell - tack_x000D_
AND WELD</v>
      </c>
      <c r="E25" s="13">
        <f>'Sheet2-PASTE HERE!'!F35</f>
        <v>4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MOVE TANK</v>
      </c>
      <c r="B26" s="11"/>
      <c r="C26" s="17" t="str">
        <f>'Sheet2-PASTE HERE!'!I36</f>
        <v>.800</v>
      </c>
      <c r="D26" s="22" t="str">
        <f>'Sheet2-PASTE HERE!'!K36</f>
        <v>Move tank to detail rolls</v>
      </c>
      <c r="E26" s="13">
        <f>'Sheet2-PASTE HERE!'!F36</f>
        <v>1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FIT</v>
      </c>
      <c r="B27" s="11"/>
      <c r="C27" s="17" t="str">
        <f>'Sheet2-PASTE HERE!'!I37</f>
        <v>.720</v>
      </c>
      <c r="D27" s="22" t="str">
        <f>'Sheet2-PASTE HERE!'!K37</f>
        <v>Install supports - legs, lugs, anchors, saddles, skirt_x000D_
AND WELD</v>
      </c>
      <c r="E27" s="13">
        <f>'Sheet2-PASTE HERE!'!F37</f>
        <v>5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.725</v>
      </c>
      <c r="D28" s="22" t="str">
        <f>'Sheet2-PASTE HERE!'!K38</f>
        <v>Set nozzles in shell - tack_x000D_
AND PREP FOR FULL PEN WELDS</v>
      </c>
      <c r="E28" s="13">
        <f>'Sheet2-PASTE HERE!'!F38</f>
        <v>8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.726</v>
      </c>
      <c r="D29" s="22" t="str">
        <f>'Sheet2-PASTE HERE!'!K39</f>
        <v>Weld shell nozzles, manways, etc.</v>
      </c>
      <c r="E29" s="13">
        <f>'Sheet2-PASTE HERE!'!F39</f>
        <v>15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.765</v>
      </c>
      <c r="D30" s="22" t="str">
        <f>'Sheet2-PASTE HERE!'!K40</f>
        <v>Install name tag</v>
      </c>
      <c r="E30" s="13">
        <f>'Sheet2-PASTE HERE!'!F40</f>
        <v>1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.770</v>
      </c>
      <c r="D31" s="22" t="str">
        <f>'Sheet2-PASTE HERE!'!K41</f>
        <v>Inspect tank, make repairs, get QC inspector</v>
      </c>
      <c r="E31" s="13">
        <f>'Sheet2-PASTE HERE!'!F41</f>
        <v>1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.QC6</v>
      </c>
      <c r="D32" s="22" t="str">
        <f>'Sheet2-PASTE HERE!'!K42</f>
        <v>QC Inspection - Fabrication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.OI2</v>
      </c>
      <c r="D33" s="22" t="str">
        <f>'Sheet2-PASTE HERE!'!K43</f>
        <v>ASME Inspection Internal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1</v>
      </c>
    </row>
    <row r="34" spans="1:12" ht="26.25" customHeight="1" x14ac:dyDescent="0.2">
      <c r="A34" s="10" t="str">
        <f>'Sheet2-PASTE HERE!'!A44</f>
        <v>MOVE TANK</v>
      </c>
      <c r="B34" s="11"/>
      <c r="C34" s="17" t="str">
        <f>'Sheet2-PASTE HERE!'!I44</f>
        <v>.801</v>
      </c>
      <c r="D34" s="22" t="str">
        <f>'Sheet2-PASTE HERE!'!K44</f>
        <v>Move to shop test area</v>
      </c>
      <c r="E34" s="13">
        <f>'Sheet2-PASTE HERE!'!F44</f>
        <v>1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FINISHING</v>
      </c>
      <c r="B35" s="11"/>
      <c r="C35" s="17" t="str">
        <f>'Sheet2-PASTE HERE!'!I45</f>
        <v>.910</v>
      </c>
      <c r="D35" s="22" t="str">
        <f>'Sheet2-PASTE HERE!'!K45</f>
        <v>Test tank</v>
      </c>
      <c r="E35" s="13">
        <f>'Sheet2-PASTE HERE!'!F45</f>
        <v>6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.QC7</v>
      </c>
      <c r="D36" s="22" t="str">
        <f>'Sheet2-PASTE HERE!'!K46</f>
        <v>QC Inspection - Test</v>
      </c>
      <c r="E36" s="13">
        <f>'Sheet2-PASTE HERE!'!F46</f>
        <v>0</v>
      </c>
      <c r="F36" s="12"/>
      <c r="G36" s="12"/>
      <c r="H36" s="12"/>
      <c r="K36">
        <f t="shared" si="0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.OI3</v>
      </c>
      <c r="D37" s="22" t="str">
        <f>'Sheet2-PASTE HERE!'!K47</f>
        <v>ASME Inspection Test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FINISHING</v>
      </c>
      <c r="B38" s="11"/>
      <c r="C38" s="17" t="str">
        <f>'Sheet2-PASTE HERE!'!I48</f>
        <v>.920</v>
      </c>
      <c r="D38" s="22" t="str">
        <f>'Sheet2-PASTE HERE!'!K48</f>
        <v>Clean tank complete</v>
      </c>
      <c r="E38" s="13">
        <f>'Sheet2-PASTE HERE!'!F48</f>
        <v>5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.QC8</v>
      </c>
      <c r="D39" s="22" t="str">
        <f>'Sheet2-PASTE HERE!'!K49</f>
        <v>QC Inspection - Clean</v>
      </c>
      <c r="E39" s="13">
        <f>'Sheet2-PASTE HERE!'!F49</f>
        <v>0</v>
      </c>
      <c r="F39" s="12"/>
      <c r="G39" s="12"/>
      <c r="H39" s="12"/>
      <c r="K39">
        <f t="shared" si="0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.QC95</v>
      </c>
      <c r="D40" s="22" t="str">
        <f>'Sheet2-PASTE HERE!'!K50</f>
        <v>QC Inspection - Final &amp; Loose Items</v>
      </c>
      <c r="E40" s="13">
        <f>'Sheet2-PASTE HERE!'!F50</f>
        <v>0</v>
      </c>
      <c r="F40" s="12"/>
      <c r="G40" s="12"/>
      <c r="H40" s="12"/>
      <c r="K40">
        <f t="shared" si="0"/>
        <v>1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 t="str">
        <f>'Sheet2-PASTE HERE!'!F52</f>
        <v/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136</v>
      </c>
      <c r="C1" s="8" t="s">
        <v>17</v>
      </c>
      <c r="D1" s="8" t="s">
        <v>137</v>
      </c>
      <c r="E1" s="8" t="s">
        <v>18</v>
      </c>
      <c r="F1" s="8" t="s">
        <v>19</v>
      </c>
      <c r="G1" s="8" t="s">
        <v>136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45833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95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54787</v>
      </c>
      <c r="C15" s="19">
        <v>0</v>
      </c>
      <c r="D15" s="8" t="s">
        <v>69</v>
      </c>
      <c r="E15" s="20">
        <v>0</v>
      </c>
      <c r="F15" s="20">
        <v>0</v>
      </c>
      <c r="G15" s="8" t="s">
        <v>54</v>
      </c>
      <c r="H15" s="20">
        <v>0</v>
      </c>
      <c r="I15" s="8" t="s">
        <v>70</v>
      </c>
      <c r="J15" s="19">
        <v>0</v>
      </c>
      <c r="K15" s="8" t="s">
        <v>69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54788</v>
      </c>
      <c r="C16" s="19">
        <v>0</v>
      </c>
      <c r="D16" s="8" t="s">
        <v>71</v>
      </c>
      <c r="E16" s="20">
        <v>0</v>
      </c>
      <c r="F16" s="20">
        <v>0</v>
      </c>
      <c r="G16" s="8" t="s">
        <v>54</v>
      </c>
      <c r="H16" s="20">
        <v>0</v>
      </c>
      <c r="I16" s="8" t="s">
        <v>72</v>
      </c>
      <c r="J16" s="19">
        <v>0</v>
      </c>
      <c r="K16" s="8" t="s">
        <v>73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54789</v>
      </c>
      <c r="C17" s="19">
        <v>0</v>
      </c>
      <c r="D17" s="8" t="s">
        <v>57</v>
      </c>
      <c r="E17" s="20">
        <v>0</v>
      </c>
      <c r="F17" s="20">
        <v>7</v>
      </c>
      <c r="G17" s="8" t="s">
        <v>54</v>
      </c>
      <c r="H17" s="20">
        <v>7</v>
      </c>
      <c r="I17" s="8" t="s">
        <v>58</v>
      </c>
      <c r="J17" s="19">
        <v>0</v>
      </c>
      <c r="K17" s="8" t="s">
        <v>138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54790</v>
      </c>
      <c r="C18" s="19">
        <v>0</v>
      </c>
      <c r="D18" s="8" t="s">
        <v>74</v>
      </c>
      <c r="E18" s="20">
        <v>0</v>
      </c>
      <c r="F18" s="20">
        <v>10</v>
      </c>
      <c r="G18" s="8" t="s">
        <v>54</v>
      </c>
      <c r="H18" s="20">
        <v>10</v>
      </c>
      <c r="I18" s="8" t="s">
        <v>75</v>
      </c>
      <c r="J18" s="19">
        <v>0</v>
      </c>
      <c r="K18" s="8" t="s">
        <v>139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54791</v>
      </c>
      <c r="C19" s="19">
        <v>0</v>
      </c>
      <c r="D19" s="8" t="s">
        <v>129</v>
      </c>
      <c r="E19" s="20">
        <v>0</v>
      </c>
      <c r="F19" s="20">
        <v>2</v>
      </c>
      <c r="G19" s="8" t="s">
        <v>54</v>
      </c>
      <c r="H19" s="20">
        <v>2</v>
      </c>
      <c r="I19" s="8" t="s">
        <v>59</v>
      </c>
      <c r="J19" s="19">
        <v>0</v>
      </c>
      <c r="K19" s="8" t="s">
        <v>76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54792</v>
      </c>
      <c r="C20" s="19">
        <v>0</v>
      </c>
      <c r="D20" s="8" t="s">
        <v>130</v>
      </c>
      <c r="E20" s="20">
        <v>0</v>
      </c>
      <c r="F20" s="20">
        <v>1</v>
      </c>
      <c r="G20" s="8" t="s">
        <v>54</v>
      </c>
      <c r="H20" s="20">
        <v>1</v>
      </c>
      <c r="I20" s="8" t="s">
        <v>131</v>
      </c>
      <c r="J20" s="19">
        <v>0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54793</v>
      </c>
      <c r="C21" s="19">
        <v>0</v>
      </c>
      <c r="D21" s="8" t="s">
        <v>60</v>
      </c>
      <c r="E21" s="20">
        <v>0</v>
      </c>
      <c r="F21" s="20">
        <v>6</v>
      </c>
      <c r="G21" s="8" t="s">
        <v>54</v>
      </c>
      <c r="H21" s="20">
        <v>6</v>
      </c>
      <c r="I21" s="8" t="s">
        <v>61</v>
      </c>
      <c r="J21" s="19">
        <v>0</v>
      </c>
      <c r="K21" s="8" t="s">
        <v>140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54794</v>
      </c>
      <c r="C22" s="19">
        <v>0</v>
      </c>
      <c r="D22" s="8" t="s">
        <v>77</v>
      </c>
      <c r="E22" s="20">
        <v>0</v>
      </c>
      <c r="F22" s="20">
        <v>2</v>
      </c>
      <c r="G22" s="8" t="s">
        <v>54</v>
      </c>
      <c r="H22" s="20">
        <v>2</v>
      </c>
      <c r="I22" s="8" t="s">
        <v>78</v>
      </c>
      <c r="J22" s="19">
        <v>0</v>
      </c>
      <c r="K22" s="8" t="s">
        <v>141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53</v>
      </c>
      <c r="B23" s="18">
        <v>54795</v>
      </c>
      <c r="C23" s="19">
        <v>0</v>
      </c>
      <c r="D23" s="8" t="s">
        <v>79</v>
      </c>
      <c r="E23" s="20">
        <v>0</v>
      </c>
      <c r="F23" s="20">
        <v>0</v>
      </c>
      <c r="G23" s="8" t="s">
        <v>54</v>
      </c>
      <c r="H23" s="20">
        <v>0</v>
      </c>
      <c r="I23" s="8" t="s">
        <v>80</v>
      </c>
      <c r="J23" s="19">
        <v>0</v>
      </c>
      <c r="K23" s="8" t="s">
        <v>81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54796</v>
      </c>
      <c r="C24" s="19">
        <v>0</v>
      </c>
      <c r="D24" s="8" t="s">
        <v>82</v>
      </c>
      <c r="E24" s="20">
        <v>0</v>
      </c>
      <c r="F24" s="20">
        <v>1</v>
      </c>
      <c r="G24" s="8" t="s">
        <v>54</v>
      </c>
      <c r="H24" s="20">
        <v>1</v>
      </c>
      <c r="I24" s="8" t="s">
        <v>83</v>
      </c>
      <c r="J24" s="19">
        <v>0</v>
      </c>
      <c r="K24" s="8" t="s">
        <v>84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54797</v>
      </c>
      <c r="C25" s="19">
        <v>0</v>
      </c>
      <c r="D25" s="8" t="s">
        <v>85</v>
      </c>
      <c r="E25" s="20">
        <v>0</v>
      </c>
      <c r="F25" s="20">
        <v>1</v>
      </c>
      <c r="G25" s="8" t="s">
        <v>54</v>
      </c>
      <c r="H25" s="20">
        <v>1</v>
      </c>
      <c r="I25" s="8" t="s">
        <v>86</v>
      </c>
      <c r="J25" s="19">
        <v>0</v>
      </c>
      <c r="K25" s="8" t="s">
        <v>142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54798</v>
      </c>
      <c r="C26" s="19">
        <v>0</v>
      </c>
      <c r="D26" s="8" t="s">
        <v>87</v>
      </c>
      <c r="E26" s="20">
        <v>0</v>
      </c>
      <c r="F26" s="20">
        <v>2</v>
      </c>
      <c r="G26" s="8" t="s">
        <v>54</v>
      </c>
      <c r="H26" s="20">
        <v>2</v>
      </c>
      <c r="I26" s="8" t="s">
        <v>88</v>
      </c>
      <c r="J26" s="19">
        <v>0</v>
      </c>
      <c r="K26" s="8" t="s">
        <v>143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53</v>
      </c>
      <c r="B27" s="18">
        <v>54799</v>
      </c>
      <c r="C27" s="19">
        <v>0</v>
      </c>
      <c r="D27" s="8" t="s">
        <v>79</v>
      </c>
      <c r="E27" s="20">
        <v>0</v>
      </c>
      <c r="F27" s="20">
        <v>0</v>
      </c>
      <c r="G27" s="8" t="s">
        <v>54</v>
      </c>
      <c r="H27" s="20">
        <v>0</v>
      </c>
      <c r="I27" s="8" t="s">
        <v>80</v>
      </c>
      <c r="J27" s="19">
        <v>0</v>
      </c>
      <c r="K27" s="8" t="s">
        <v>81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54800</v>
      </c>
      <c r="C28" s="19">
        <v>0</v>
      </c>
      <c r="D28" s="8" t="s">
        <v>132</v>
      </c>
      <c r="E28" s="20">
        <v>0</v>
      </c>
      <c r="F28" s="20">
        <v>1</v>
      </c>
      <c r="G28" s="8" t="s">
        <v>54</v>
      </c>
      <c r="H28" s="20">
        <v>1</v>
      </c>
      <c r="I28" s="8" t="s">
        <v>133</v>
      </c>
      <c r="J28" s="19">
        <v>0</v>
      </c>
      <c r="K28" s="8" t="s">
        <v>134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54801</v>
      </c>
      <c r="C29" s="19">
        <v>0</v>
      </c>
      <c r="D29" s="8" t="s">
        <v>144</v>
      </c>
      <c r="E29" s="20">
        <v>0</v>
      </c>
      <c r="F29" s="20">
        <v>1</v>
      </c>
      <c r="G29" s="8" t="s">
        <v>54</v>
      </c>
      <c r="H29" s="20">
        <v>1</v>
      </c>
      <c r="I29" s="8" t="s">
        <v>145</v>
      </c>
      <c r="J29" s="19">
        <v>0</v>
      </c>
      <c r="K29" s="8" t="s">
        <v>146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54802</v>
      </c>
      <c r="C30" s="19">
        <v>0</v>
      </c>
      <c r="D30" s="8" t="s">
        <v>147</v>
      </c>
      <c r="E30" s="20">
        <v>0</v>
      </c>
      <c r="F30" s="20">
        <v>2</v>
      </c>
      <c r="G30" s="8" t="s">
        <v>54</v>
      </c>
      <c r="H30" s="20">
        <v>2</v>
      </c>
      <c r="I30" s="8" t="s">
        <v>148</v>
      </c>
      <c r="J30" s="19">
        <v>0</v>
      </c>
      <c r="K30" s="8" t="s">
        <v>149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53</v>
      </c>
      <c r="B31" s="18">
        <v>54803</v>
      </c>
      <c r="C31" s="19">
        <v>0</v>
      </c>
      <c r="D31" s="8" t="s">
        <v>150</v>
      </c>
      <c r="E31" s="20">
        <v>0</v>
      </c>
      <c r="F31" s="20">
        <v>0</v>
      </c>
      <c r="G31" s="8" t="s">
        <v>54</v>
      </c>
      <c r="H31" s="20">
        <v>0</v>
      </c>
      <c r="I31" s="8" t="s">
        <v>151</v>
      </c>
      <c r="J31" s="19">
        <v>0</v>
      </c>
      <c r="K31" s="8" t="s">
        <v>150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68</v>
      </c>
      <c r="B32" s="18">
        <v>54804</v>
      </c>
      <c r="C32" s="19">
        <v>0</v>
      </c>
      <c r="D32" s="8" t="s">
        <v>89</v>
      </c>
      <c r="E32" s="20">
        <v>0</v>
      </c>
      <c r="F32" s="20">
        <v>4</v>
      </c>
      <c r="G32" s="8" t="s">
        <v>54</v>
      </c>
      <c r="H32" s="20">
        <v>4</v>
      </c>
      <c r="I32" s="8" t="s">
        <v>90</v>
      </c>
      <c r="J32" s="19">
        <v>0</v>
      </c>
      <c r="K32" s="8" t="s">
        <v>152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68</v>
      </c>
      <c r="B33" s="18">
        <v>54805</v>
      </c>
      <c r="C33" s="19">
        <v>0</v>
      </c>
      <c r="D33" s="8" t="s">
        <v>91</v>
      </c>
      <c r="E33" s="20">
        <v>0</v>
      </c>
      <c r="F33" s="20">
        <v>8</v>
      </c>
      <c r="G33" s="8" t="s">
        <v>54</v>
      </c>
      <c r="H33" s="20">
        <v>8</v>
      </c>
      <c r="I33" s="8" t="s">
        <v>92</v>
      </c>
      <c r="J33" s="19">
        <v>0</v>
      </c>
      <c r="K33" s="8" t="s">
        <v>153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53</v>
      </c>
      <c r="B34" s="18">
        <v>54806</v>
      </c>
      <c r="C34" s="19">
        <v>0</v>
      </c>
      <c r="D34" s="8" t="s">
        <v>93</v>
      </c>
      <c r="E34" s="20">
        <v>0</v>
      </c>
      <c r="F34" s="20">
        <v>0</v>
      </c>
      <c r="G34" s="8" t="s">
        <v>54</v>
      </c>
      <c r="H34" s="20">
        <v>0</v>
      </c>
      <c r="I34" s="8" t="s">
        <v>94</v>
      </c>
      <c r="J34" s="19">
        <v>0</v>
      </c>
      <c r="K34" s="8" t="s">
        <v>93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68</v>
      </c>
      <c r="B35" s="18">
        <v>54807</v>
      </c>
      <c r="C35" s="19">
        <v>0</v>
      </c>
      <c r="D35" s="8" t="s">
        <v>95</v>
      </c>
      <c r="E35" s="20">
        <v>0</v>
      </c>
      <c r="F35" s="20">
        <v>4</v>
      </c>
      <c r="G35" s="8" t="s">
        <v>54</v>
      </c>
      <c r="H35" s="20">
        <v>4</v>
      </c>
      <c r="I35" s="8" t="s">
        <v>96</v>
      </c>
      <c r="J35" s="19">
        <v>0</v>
      </c>
      <c r="K35" s="8" t="s">
        <v>135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97</v>
      </c>
      <c r="B36" s="18">
        <v>54808</v>
      </c>
      <c r="C36" s="19">
        <v>0</v>
      </c>
      <c r="D36" s="8" t="s">
        <v>98</v>
      </c>
      <c r="E36" s="20">
        <v>0</v>
      </c>
      <c r="F36" s="20">
        <v>1</v>
      </c>
      <c r="G36" s="8" t="s">
        <v>54</v>
      </c>
      <c r="H36" s="20">
        <v>1</v>
      </c>
      <c r="I36" s="8" t="s">
        <v>99</v>
      </c>
      <c r="J36" s="19">
        <v>0</v>
      </c>
      <c r="K36" s="8" t="s">
        <v>100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68</v>
      </c>
      <c r="B37" s="18">
        <v>54809</v>
      </c>
      <c r="C37" s="19">
        <v>0</v>
      </c>
      <c r="D37" s="8" t="s">
        <v>101</v>
      </c>
      <c r="E37" s="20">
        <v>0</v>
      </c>
      <c r="F37" s="20">
        <v>5</v>
      </c>
      <c r="G37" s="8" t="s">
        <v>54</v>
      </c>
      <c r="H37" s="20">
        <v>5</v>
      </c>
      <c r="I37" s="8" t="s">
        <v>102</v>
      </c>
      <c r="J37" s="19">
        <v>0</v>
      </c>
      <c r="K37" s="8" t="s">
        <v>154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68</v>
      </c>
      <c r="B38" s="18">
        <v>54810</v>
      </c>
      <c r="C38" s="19">
        <v>0</v>
      </c>
      <c r="D38" s="8" t="s">
        <v>103</v>
      </c>
      <c r="E38" s="20">
        <v>0</v>
      </c>
      <c r="F38" s="20">
        <v>8</v>
      </c>
      <c r="G38" s="8" t="s">
        <v>54</v>
      </c>
      <c r="H38" s="20">
        <v>8</v>
      </c>
      <c r="I38" s="8" t="s">
        <v>104</v>
      </c>
      <c r="J38" s="19">
        <v>0</v>
      </c>
      <c r="K38" s="8" t="s">
        <v>155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68</v>
      </c>
      <c r="B39" s="18">
        <v>54811</v>
      </c>
      <c r="C39" s="19">
        <v>0</v>
      </c>
      <c r="D39" s="8" t="s">
        <v>105</v>
      </c>
      <c r="E39" s="20">
        <v>0</v>
      </c>
      <c r="F39" s="20">
        <v>15</v>
      </c>
      <c r="G39" s="8" t="s">
        <v>54</v>
      </c>
      <c r="H39" s="20">
        <v>15</v>
      </c>
      <c r="I39" s="8" t="s">
        <v>106</v>
      </c>
      <c r="J39" s="19">
        <v>0</v>
      </c>
      <c r="K39" s="8" t="s">
        <v>156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62</v>
      </c>
      <c r="B40" s="18">
        <v>54812</v>
      </c>
      <c r="C40" s="19">
        <v>0</v>
      </c>
      <c r="D40" s="8" t="s">
        <v>107</v>
      </c>
      <c r="E40" s="20">
        <v>0</v>
      </c>
      <c r="F40" s="20">
        <v>1</v>
      </c>
      <c r="G40" s="8" t="s">
        <v>54</v>
      </c>
      <c r="H40" s="20">
        <v>1</v>
      </c>
      <c r="I40" s="8" t="s">
        <v>108</v>
      </c>
      <c r="J40" s="19">
        <v>0</v>
      </c>
      <c r="K40" s="8" t="s">
        <v>109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68</v>
      </c>
      <c r="B41" s="18">
        <v>54813</v>
      </c>
      <c r="C41" s="19">
        <v>0</v>
      </c>
      <c r="D41" s="8" t="s">
        <v>110</v>
      </c>
      <c r="E41" s="20">
        <v>0</v>
      </c>
      <c r="F41" s="20">
        <v>1</v>
      </c>
      <c r="G41" s="8" t="s">
        <v>54</v>
      </c>
      <c r="H41" s="20">
        <v>1</v>
      </c>
      <c r="I41" s="8" t="s">
        <v>111</v>
      </c>
      <c r="J41" s="19">
        <v>0</v>
      </c>
      <c r="K41" s="8" t="s">
        <v>112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54814</v>
      </c>
      <c r="C42" s="19">
        <v>0</v>
      </c>
      <c r="D42" s="8" t="s">
        <v>113</v>
      </c>
      <c r="E42" s="20">
        <v>0</v>
      </c>
      <c r="F42" s="20">
        <v>0</v>
      </c>
      <c r="G42" s="8" t="s">
        <v>54</v>
      </c>
      <c r="H42" s="20">
        <v>0</v>
      </c>
      <c r="I42" s="8" t="s">
        <v>114</v>
      </c>
      <c r="J42" s="19">
        <v>0</v>
      </c>
      <c r="K42" s="8" t="s">
        <v>115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54815</v>
      </c>
      <c r="C43" s="19">
        <v>0</v>
      </c>
      <c r="D43" s="8" t="s">
        <v>157</v>
      </c>
      <c r="E43" s="20">
        <v>0</v>
      </c>
      <c r="F43" s="20">
        <v>0</v>
      </c>
      <c r="G43" s="8" t="s">
        <v>54</v>
      </c>
      <c r="H43" s="20">
        <v>0</v>
      </c>
      <c r="I43" s="8" t="s">
        <v>158</v>
      </c>
      <c r="J43" s="19">
        <v>0</v>
      </c>
      <c r="K43" s="8" t="s">
        <v>157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97</v>
      </c>
      <c r="B44" s="18">
        <v>54816</v>
      </c>
      <c r="C44" s="19">
        <v>0</v>
      </c>
      <c r="D44" s="8" t="s">
        <v>116</v>
      </c>
      <c r="E44" s="20">
        <v>0</v>
      </c>
      <c r="F44" s="20">
        <v>1</v>
      </c>
      <c r="G44" s="8" t="s">
        <v>54</v>
      </c>
      <c r="H44" s="20">
        <v>1</v>
      </c>
      <c r="I44" s="8" t="s">
        <v>117</v>
      </c>
      <c r="J44" s="19">
        <v>0</v>
      </c>
      <c r="K44" s="8" t="s">
        <v>118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62</v>
      </c>
      <c r="B45" s="18">
        <v>54817</v>
      </c>
      <c r="C45" s="19">
        <v>0</v>
      </c>
      <c r="D45" s="8" t="s">
        <v>119</v>
      </c>
      <c r="E45" s="20">
        <v>0</v>
      </c>
      <c r="F45" s="20">
        <v>6</v>
      </c>
      <c r="G45" s="8" t="s">
        <v>54</v>
      </c>
      <c r="H45" s="20">
        <v>6</v>
      </c>
      <c r="I45" s="8" t="s">
        <v>120</v>
      </c>
      <c r="J45" s="19">
        <v>0</v>
      </c>
      <c r="K45" s="8" t="s">
        <v>121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53</v>
      </c>
      <c r="B46" s="18">
        <v>54818</v>
      </c>
      <c r="C46" s="19">
        <v>0</v>
      </c>
      <c r="D46" s="8" t="s">
        <v>122</v>
      </c>
      <c r="E46" s="20">
        <v>0</v>
      </c>
      <c r="F46" s="20">
        <v>0</v>
      </c>
      <c r="G46" s="8" t="s">
        <v>54</v>
      </c>
      <c r="H46" s="20">
        <v>0</v>
      </c>
      <c r="I46" s="8" t="s">
        <v>123</v>
      </c>
      <c r="J46" s="19">
        <v>0</v>
      </c>
      <c r="K46" s="8" t="s">
        <v>122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54819</v>
      </c>
      <c r="C47" s="19">
        <v>0</v>
      </c>
      <c r="D47" s="8" t="s">
        <v>159</v>
      </c>
      <c r="E47" s="20">
        <v>0</v>
      </c>
      <c r="F47" s="20">
        <v>0</v>
      </c>
      <c r="G47" s="8" t="s">
        <v>54</v>
      </c>
      <c r="H47" s="20">
        <v>0</v>
      </c>
      <c r="I47" s="8" t="s">
        <v>160</v>
      </c>
      <c r="J47" s="19">
        <v>0</v>
      </c>
      <c r="K47" s="8" t="s">
        <v>159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62</v>
      </c>
      <c r="B48" s="18">
        <v>54820</v>
      </c>
      <c r="C48" s="19">
        <v>0</v>
      </c>
      <c r="D48" s="8" t="s">
        <v>124</v>
      </c>
      <c r="E48" s="20">
        <v>0</v>
      </c>
      <c r="F48" s="20">
        <v>5</v>
      </c>
      <c r="G48" s="8" t="s">
        <v>54</v>
      </c>
      <c r="H48" s="20">
        <v>5</v>
      </c>
      <c r="I48" s="8" t="s">
        <v>125</v>
      </c>
      <c r="J48" s="19">
        <v>0</v>
      </c>
      <c r="K48" s="8" t="s">
        <v>126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53</v>
      </c>
      <c r="B49" s="18">
        <v>54821</v>
      </c>
      <c r="C49" s="19">
        <v>0</v>
      </c>
      <c r="D49" s="8" t="s">
        <v>127</v>
      </c>
      <c r="E49" s="20">
        <v>0</v>
      </c>
      <c r="F49" s="20">
        <v>0</v>
      </c>
      <c r="G49" s="8" t="s">
        <v>54</v>
      </c>
      <c r="H49" s="20">
        <v>0</v>
      </c>
      <c r="I49" s="8" t="s">
        <v>128</v>
      </c>
      <c r="J49" s="19">
        <v>0</v>
      </c>
      <c r="K49" s="8" t="s">
        <v>127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53</v>
      </c>
      <c r="B50" s="18">
        <v>54822</v>
      </c>
      <c r="C50" s="19">
        <v>0</v>
      </c>
      <c r="D50" s="8" t="s">
        <v>63</v>
      </c>
      <c r="E50" s="20">
        <v>0</v>
      </c>
      <c r="F50" s="20">
        <v>0</v>
      </c>
      <c r="G50" s="8" t="s">
        <v>54</v>
      </c>
      <c r="H50" s="20">
        <v>0</v>
      </c>
      <c r="I50" s="8" t="s">
        <v>64</v>
      </c>
      <c r="J50" s="19">
        <v>0</v>
      </c>
      <c r="K50" s="8" t="s">
        <v>65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/>
    <row r="52" spans="1:14" ht="12.75" customHeight="1" x14ac:dyDescent="0.2">
      <c r="B52" s="8" t="s">
        <v>16</v>
      </c>
      <c r="C52" s="8" t="s">
        <v>136</v>
      </c>
      <c r="E52" s="8" t="s">
        <v>19</v>
      </c>
      <c r="F52" s="8" t="s">
        <v>19</v>
      </c>
      <c r="G52" s="8" t="s">
        <v>21</v>
      </c>
      <c r="H52" s="8" t="s">
        <v>19</v>
      </c>
      <c r="J52" s="8" t="s">
        <v>19</v>
      </c>
    </row>
    <row r="53" spans="1:14" ht="12.75" customHeight="1" x14ac:dyDescent="0.2"/>
    <row r="54" spans="1:14" ht="12.75" customHeight="1" x14ac:dyDescent="0.2"/>
    <row r="55" spans="1:14" ht="12.75" customHeight="1" x14ac:dyDescent="0.2"/>
    <row r="56" spans="1:14" ht="12.75" customHeight="1" x14ac:dyDescent="0.2"/>
    <row r="57" spans="1:14" ht="12.75" customHeight="1" x14ac:dyDescent="0.2"/>
    <row r="58" spans="1:14" ht="12.75" customHeight="1" x14ac:dyDescent="0.2"/>
    <row r="59" spans="1:14" ht="12.75" customHeight="1" x14ac:dyDescent="0.2"/>
    <row r="60" spans="1:14" ht="12.75" customHeight="1" x14ac:dyDescent="0.2"/>
    <row r="61" spans="1:14" ht="12.75" customHeight="1" x14ac:dyDescent="0.2"/>
    <row r="62" spans="1:14" ht="12.75" customHeight="1" x14ac:dyDescent="0.2"/>
    <row r="63" spans="1:14" ht="12.75" customHeight="1" x14ac:dyDescent="0.2"/>
    <row r="64" spans="1:1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079-25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67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CUT 10" SHELL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66</v>
      </c>
      <c r="B4" s="38">
        <f>'Build Plan w Hours'!E7</f>
        <v>7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079-25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67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WELD WITH COBOT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66</v>
      </c>
      <c r="B10" s="38">
        <f>'Build Plan w Hours'!E8</f>
        <v>10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079-25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67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66</v>
      </c>
      <c r="B16" s="38">
        <f>'Build Plan w Hours'!E9</f>
        <v>2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079-25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67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66</v>
      </c>
      <c r="B22" s="38">
        <f>'Build Plan w Hours'!E10</f>
        <v>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079-25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67</v>
      </c>
    </row>
    <row r="26" spans="1:9" ht="21.75" customHeight="1" x14ac:dyDescent="0.25">
      <c r="A26" s="29" t="s">
        <v>13</v>
      </c>
      <c r="B26" s="31" t="str">
        <f>'Build Plan w Hours'!C11</f>
        <v>.165</v>
      </c>
      <c r="C26" s="40" t="str">
        <f>'Build Plan w Hours'!D11</f>
        <v>Build supports: legs, lugs, saddles_x000D_
BUILD (4) LEGS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66</v>
      </c>
      <c r="B28" s="38">
        <f>'Build Plan w Hours'!E11</f>
        <v>6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079-25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67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66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079-25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67</v>
      </c>
    </row>
    <row r="38" spans="1:9" ht="21.75" customHeight="1" x14ac:dyDescent="0.25">
      <c r="A38" s="29" t="s">
        <v>13</v>
      </c>
      <c r="B38" s="31" t="str">
        <f>'Build Plan w Hours'!C13</f>
        <v>.QC4</v>
      </c>
      <c r="C38" s="40" t="str">
        <f>'Build Plan w Hours'!D13</f>
        <v>QC Inspection - Top/Bottom/Cones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66</v>
      </c>
      <c r="B40" s="38">
        <f>'Build Plan w Hours'!E13</f>
        <v>0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079-25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67</v>
      </c>
    </row>
    <row r="44" spans="1:9" ht="21.75" customHeight="1" x14ac:dyDescent="0.25">
      <c r="A44" s="29" t="s">
        <v>13</v>
      </c>
      <c r="B44" s="31" t="str">
        <f>'Build Plan w Hours'!C14</f>
        <v>.355</v>
      </c>
      <c r="C44" s="40" t="str">
        <f>'Build Plan w Hours'!D14</f>
        <v>Lay out top head, burn and clean holes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66</v>
      </c>
      <c r="B46" s="38">
        <f>'Build Plan w Hours'!E14</f>
        <v>1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079-25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67</v>
      </c>
    </row>
    <row r="50" spans="1:9" ht="21.75" customHeight="1" x14ac:dyDescent="0.25">
      <c r="A50" s="29" t="s">
        <v>13</v>
      </c>
      <c r="B50" s="31" t="str">
        <f>'Build Plan w Hours'!C15</f>
        <v>.365</v>
      </c>
      <c r="C50" s="40" t="str">
        <f>'Build Plan w Hours'!D15</f>
        <v>Set  nozzles, lift lugs, etc. in top head - tack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66</v>
      </c>
      <c r="B52" s="38">
        <f>'Build Plan w Hours'!E15</f>
        <v>1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079-25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67</v>
      </c>
    </row>
    <row r="56" spans="1:9" ht="21.75" customHeight="1" x14ac:dyDescent="0.25">
      <c r="A56" s="29" t="s">
        <v>13</v>
      </c>
      <c r="B56" s="31" t="str">
        <f>'Build Plan w Hours'!C16</f>
        <v>.366</v>
      </c>
      <c r="C56" s="40" t="str">
        <f>'Build Plan w Hours'!D16</f>
        <v>Weld out top head nozzles, etc._x000D_
INCL INSTALL (2) LIFT LUGS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66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079-25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67</v>
      </c>
    </row>
    <row r="62" spans="1:9" ht="21.75" customHeight="1" x14ac:dyDescent="0.25">
      <c r="A62" s="29" t="s">
        <v>13</v>
      </c>
      <c r="B62" s="31" t="str">
        <f>'Build Plan w Hours'!C17</f>
        <v>.QC4</v>
      </c>
      <c r="C62" s="40" t="str">
        <f>'Build Plan w Hours'!D17</f>
        <v>QC Inspection - Top/Bottom/Cones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66</v>
      </c>
      <c r="B64" s="38">
        <f>'Build Plan w Hours'!E17</f>
        <v>0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079-25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67</v>
      </c>
    </row>
    <row r="68" spans="1:9" ht="21.75" customHeight="1" x14ac:dyDescent="0.25">
      <c r="A68" s="29" t="s">
        <v>13</v>
      </c>
      <c r="B68" s="31" t="str">
        <f>'Build Plan w Hours'!C18</f>
        <v>.455</v>
      </c>
      <c r="C68" s="40" t="str">
        <f>'Build Plan w Hours'!D18</f>
        <v>Lay out bottom head, burn and clean holes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66</v>
      </c>
      <c r="B70" s="38">
        <f>'Build Plan w Hours'!E18</f>
        <v>1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079-25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67</v>
      </c>
    </row>
    <row r="74" spans="1:9" ht="21.75" customHeight="1" x14ac:dyDescent="0.25">
      <c r="A74" s="29" t="s">
        <v>13</v>
      </c>
      <c r="B74" s="31" t="str">
        <f>'Build Plan w Hours'!C19</f>
        <v>.465</v>
      </c>
      <c r="C74" s="40" t="str">
        <f>'Build Plan w Hours'!D19</f>
        <v>Set  nozzles in bottom head - tack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66</v>
      </c>
      <c r="B76" s="38">
        <f>'Build Plan w Hours'!E19</f>
        <v>1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079-25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67</v>
      </c>
    </row>
    <row r="80" spans="1:9" ht="21.75" customHeight="1" x14ac:dyDescent="0.25">
      <c r="A80" s="29" t="s">
        <v>13</v>
      </c>
      <c r="B80" s="31" t="str">
        <f>'Build Plan w Hours'!C20</f>
        <v>.466</v>
      </c>
      <c r="C80" s="40" t="str">
        <f>'Build Plan w Hours'!D20</f>
        <v>Weld nozzles in bottom head; weld complete_x000D_
AND INSTAL MESH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66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079-25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67</v>
      </c>
    </row>
    <row r="86" spans="1:9" ht="21.75" customHeight="1" x14ac:dyDescent="0.25">
      <c r="A86" s="29" t="s">
        <v>13</v>
      </c>
      <c r="B86" s="31" t="str">
        <f>'Build Plan w Hours'!C21</f>
        <v>.OI1</v>
      </c>
      <c r="C86" s="40" t="str">
        <f>'Build Plan w Hours'!D21</f>
        <v>ASME Hold Point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66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079-25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67</v>
      </c>
    </row>
    <row r="92" spans="1:9" ht="21.75" customHeight="1" x14ac:dyDescent="0.25">
      <c r="A92" s="29" t="s">
        <v>13</v>
      </c>
      <c r="B92" s="31" t="str">
        <f>'Build Plan w Hours'!C22</f>
        <v>.600</v>
      </c>
      <c r="C92" s="40" t="str">
        <f>'Build Plan w Hours'!D22</f>
        <v>Fit bottom head to shell_x000D_
AND WELD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66</v>
      </c>
      <c r="B94" s="38">
        <f>'Build Plan w Hours'!E22</f>
        <v>4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079-25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67</v>
      </c>
    </row>
    <row r="98" spans="1:9" ht="21.75" customHeight="1" x14ac:dyDescent="0.25">
      <c r="A98" s="29" t="s">
        <v>13</v>
      </c>
      <c r="B98" s="31" t="str">
        <f>'Build Plan w Hours'!C23</f>
        <v>.620</v>
      </c>
      <c r="C98" s="40" t="str">
        <f>'Build Plan w Hours'!D23</f>
        <v>Lay out shell,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66</v>
      </c>
      <c r="B100" s="38">
        <f>'Build Plan w Hours'!E23</f>
        <v>8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079-25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67</v>
      </c>
    </row>
    <row r="104" spans="1:9" ht="21.75" customHeight="1" x14ac:dyDescent="0.25">
      <c r="A104" s="29" t="s">
        <v>13</v>
      </c>
      <c r="B104" s="31" t="str">
        <f>'Build Plan w Hours'!C24</f>
        <v>.QC5</v>
      </c>
      <c r="C104" s="40" t="str">
        <f>'Build Plan w Hours'!D24</f>
        <v>QC Inspection - Internal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66</v>
      </c>
      <c r="B106" s="38">
        <f>'Build Plan w Hours'!E24</f>
        <v>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079-25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67</v>
      </c>
    </row>
    <row r="110" spans="1:9" ht="21.75" customHeight="1" x14ac:dyDescent="0.25">
      <c r="A110" s="29" t="s">
        <v>13</v>
      </c>
      <c r="B110" s="31" t="str">
        <f>'Build Plan w Hours'!C25</f>
        <v>.640</v>
      </c>
      <c r="C110" s="40" t="str">
        <f>'Build Plan w Hours'!D25</f>
        <v>Fit top head to shell - tack_x000D_
AND WELD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66</v>
      </c>
      <c r="B112" s="38">
        <f>'Build Plan w Hours'!E25</f>
        <v>4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079-25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67</v>
      </c>
    </row>
    <row r="116" spans="1:9" ht="21.75" customHeight="1" x14ac:dyDescent="0.25">
      <c r="A116" s="29" t="s">
        <v>13</v>
      </c>
      <c r="B116" s="31" t="str">
        <f>'Build Plan w Hours'!C26</f>
        <v>.800</v>
      </c>
      <c r="C116" s="40" t="str">
        <f>'Build Plan w Hours'!D26</f>
        <v>Move tank to detail rolls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66</v>
      </c>
      <c r="B118" s="38">
        <f>'Build Plan w Hours'!E26</f>
        <v>1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079-25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67</v>
      </c>
    </row>
    <row r="122" spans="1:9" ht="21.75" customHeight="1" x14ac:dyDescent="0.25">
      <c r="A122" s="29" t="s">
        <v>13</v>
      </c>
      <c r="B122" s="31" t="str">
        <f>'Build Plan w Hours'!C27</f>
        <v>.720</v>
      </c>
      <c r="C122" s="40" t="str">
        <f>'Build Plan w Hours'!D27</f>
        <v>Install supports - legs, lugs, anchors, saddles, skirt_x000D_
AND WELD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66</v>
      </c>
      <c r="B124" s="38">
        <f>'Build Plan w Hours'!E27</f>
        <v>5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079-25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67</v>
      </c>
    </row>
    <row r="128" spans="1:9" ht="21.75" customHeight="1" x14ac:dyDescent="0.25">
      <c r="A128" s="29" t="s">
        <v>13</v>
      </c>
      <c r="B128" s="31" t="str">
        <f>'Build Plan w Hours'!C28</f>
        <v>.725</v>
      </c>
      <c r="C128" s="40" t="str">
        <f>'Build Plan w Hours'!D28</f>
        <v>Set nozzles in shell - tack_x000D_
AND PREP FOR FULL PEN WELDS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66</v>
      </c>
      <c r="B130" s="38">
        <f>'Build Plan w Hours'!E28</f>
        <v>8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079-25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67</v>
      </c>
    </row>
    <row r="134" spans="1:9" ht="21.75" customHeight="1" x14ac:dyDescent="0.25">
      <c r="A134" s="29" t="s">
        <v>13</v>
      </c>
      <c r="B134" s="31" t="str">
        <f>'Build Plan w Hours'!C29</f>
        <v>.726</v>
      </c>
      <c r="C134" s="40" t="str">
        <f>'Build Plan w Hours'!D29</f>
        <v>Weld shell nozzles, manways, etc.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66</v>
      </c>
      <c r="B136" s="38">
        <f>'Build Plan w Hours'!E29</f>
        <v>15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079-25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67</v>
      </c>
    </row>
    <row r="140" spans="1:9" ht="21.75" customHeight="1" x14ac:dyDescent="0.25">
      <c r="A140" s="29" t="s">
        <v>13</v>
      </c>
      <c r="B140" s="31" t="str">
        <f>'Build Plan w Hours'!C30</f>
        <v>.765</v>
      </c>
      <c r="C140" s="40" t="str">
        <f>'Build Plan w Hours'!D30</f>
        <v>Install name tag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66</v>
      </c>
      <c r="B142" s="38">
        <f>'Build Plan w Hours'!E30</f>
        <v>1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079-25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67</v>
      </c>
    </row>
    <row r="146" spans="1:9" ht="21.75" customHeight="1" x14ac:dyDescent="0.25">
      <c r="A146" s="29" t="s">
        <v>13</v>
      </c>
      <c r="B146" s="31" t="str">
        <f>'Build Plan w Hours'!C31</f>
        <v>.770</v>
      </c>
      <c r="C146" s="40" t="str">
        <f>'Build Plan w Hours'!D31</f>
        <v>Inspect tank, make repairs, get QC inspector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66</v>
      </c>
      <c r="B148" s="38">
        <f>'Build Plan w Hours'!E31</f>
        <v>1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079-25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67</v>
      </c>
    </row>
    <row r="152" spans="1:9" ht="21.75" customHeight="1" x14ac:dyDescent="0.25">
      <c r="A152" s="29" t="s">
        <v>13</v>
      </c>
      <c r="B152" s="31" t="str">
        <f>'Build Plan w Hours'!C32</f>
        <v>.QC6</v>
      </c>
      <c r="C152" s="40" t="str">
        <f>'Build Plan w Hours'!D32</f>
        <v>QC Inspection - Fabrication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66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079-25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67</v>
      </c>
    </row>
    <row r="158" spans="1:9" ht="21.75" customHeight="1" x14ac:dyDescent="0.25">
      <c r="A158" s="29" t="s">
        <v>13</v>
      </c>
      <c r="B158" s="31" t="str">
        <f>'Build Plan w Hours'!C33</f>
        <v>.OI2</v>
      </c>
      <c r="C158" s="40" t="str">
        <f>'Build Plan w Hours'!D33</f>
        <v>ASME Inspection Internal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66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079-25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67</v>
      </c>
    </row>
    <row r="164" spans="1:9" ht="21.75" customHeight="1" x14ac:dyDescent="0.25">
      <c r="A164" s="29" t="s">
        <v>13</v>
      </c>
      <c r="B164" s="31" t="str">
        <f>'Build Plan w Hours'!C34</f>
        <v>.801</v>
      </c>
      <c r="C164" s="40" t="str">
        <f>'Build Plan w Hours'!D34</f>
        <v>Move to shop test area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66</v>
      </c>
      <c r="B166" s="38">
        <f>'Build Plan w Hours'!E34</f>
        <v>1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079-25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67</v>
      </c>
    </row>
    <row r="170" spans="1:9" ht="21.75" customHeight="1" x14ac:dyDescent="0.25">
      <c r="A170" s="29" t="s">
        <v>13</v>
      </c>
      <c r="B170" s="31" t="str">
        <f>'Build Plan w Hours'!C35</f>
        <v>.910</v>
      </c>
      <c r="C170" s="40" t="str">
        <f>'Build Plan w Hours'!D35</f>
        <v>Test tank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66</v>
      </c>
      <c r="B172" s="38">
        <f>'Build Plan w Hours'!E35</f>
        <v>6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079-25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67</v>
      </c>
    </row>
    <row r="176" spans="1:9" ht="21.75" customHeight="1" x14ac:dyDescent="0.25">
      <c r="A176" s="29" t="s">
        <v>13</v>
      </c>
      <c r="B176" s="31" t="str">
        <f>'Build Plan w Hours'!C36</f>
        <v>.QC7</v>
      </c>
      <c r="C176" s="40" t="str">
        <f>'Build Plan w Hours'!D36</f>
        <v>QC Inspection - Test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66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079-25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67</v>
      </c>
    </row>
    <row r="182" spans="1:9" ht="21.75" customHeight="1" x14ac:dyDescent="0.25">
      <c r="A182" s="29" t="s">
        <v>13</v>
      </c>
      <c r="B182" s="31" t="str">
        <f>'Build Plan w Hours'!C37</f>
        <v>.OI3</v>
      </c>
      <c r="C182" s="40" t="str">
        <f>'Build Plan w Hours'!D37</f>
        <v>ASME Inspection Test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66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079-25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67</v>
      </c>
    </row>
    <row r="188" spans="1:9" ht="21.75" customHeight="1" x14ac:dyDescent="0.25">
      <c r="A188" s="29" t="s">
        <v>13</v>
      </c>
      <c r="B188" s="31" t="str">
        <f>'Build Plan w Hours'!C38</f>
        <v>.920</v>
      </c>
      <c r="C188" s="40" t="str">
        <f>'Build Plan w Hours'!D38</f>
        <v>Clean tank complete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66</v>
      </c>
      <c r="B190" s="38">
        <f>'Build Plan w Hours'!E38</f>
        <v>5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079-25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67</v>
      </c>
    </row>
    <row r="194" spans="1:9" ht="21.75" customHeight="1" x14ac:dyDescent="0.25">
      <c r="A194" s="29" t="s">
        <v>13</v>
      </c>
      <c r="B194" s="31" t="str">
        <f>'Build Plan w Hours'!C39</f>
        <v>.QC8</v>
      </c>
      <c r="C194" s="40" t="str">
        <f>'Build Plan w Hours'!D39</f>
        <v>QC Inspection - Clean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66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079-25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67</v>
      </c>
    </row>
    <row r="200" spans="1:9" ht="21.75" customHeight="1" x14ac:dyDescent="0.25">
      <c r="A200" s="29" t="s">
        <v>13</v>
      </c>
      <c r="B200" s="31" t="str">
        <f>'Build Plan w Hours'!C40</f>
        <v>.QC95</v>
      </c>
      <c r="C200" s="40" t="str">
        <f>'Build Plan w Hours'!D40</f>
        <v>QC Inspection - Final &amp; Loose Items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66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079-25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67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66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079-25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67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66</v>
      </c>
      <c r="B214" s="38" t="str">
        <f>'Build Plan w Hours'!E42</f>
        <v/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079-25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67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66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079-25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67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66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079-25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67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66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079-25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67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66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079-25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67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66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079-25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67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66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079-25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67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66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079-25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67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66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079-25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67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66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079-25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67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66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079-25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67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66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079-25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67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66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079-25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67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66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079-25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67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66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079-25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67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66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079-25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67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66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079-25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67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66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079-25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67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66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079-25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67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66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079-25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67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66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079-25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67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66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079-25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67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66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079-25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67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66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079-25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67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66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079-25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67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66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079-25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67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66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079-25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67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66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079-25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67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66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079-25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67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66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079-25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67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66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079-25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67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66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079-25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67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66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079-25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67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66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079-25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67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66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079-25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67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66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079-25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67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66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079-25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67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66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079-25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67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66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079-25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67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66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079-25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67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66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079-25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67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66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079-25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67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66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079-25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67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66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079-25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67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66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079-25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67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CUT 10" SHELL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079-25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67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WELD WITH COBOT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079-25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67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079-25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67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079-25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67</v>
      </c>
    </row>
    <row r="26" spans="1:9" ht="21.75" customHeight="1" x14ac:dyDescent="0.25">
      <c r="A26" s="29" t="s">
        <v>13</v>
      </c>
      <c r="B26" s="31" t="str">
        <f>'Build Plan w Hours'!C11</f>
        <v>.165</v>
      </c>
      <c r="C26" s="40" t="str">
        <f>'Build Plan w Hours'!D11</f>
        <v>Build supports: legs, lugs, saddles_x000D_
BUILD (4) LEGS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079-25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67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079-25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67</v>
      </c>
    </row>
    <row r="38" spans="1:9" ht="21.75" customHeight="1" x14ac:dyDescent="0.25">
      <c r="A38" s="29" t="s">
        <v>13</v>
      </c>
      <c r="B38" s="31" t="str">
        <f>'Build Plan w Hours'!C13</f>
        <v>.QC4</v>
      </c>
      <c r="C38" s="40" t="str">
        <f>'Build Plan w Hours'!D13</f>
        <v>QC Inspection - Top/Bottom/Cones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079-25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67</v>
      </c>
    </row>
    <row r="44" spans="1:9" ht="21.75" customHeight="1" x14ac:dyDescent="0.25">
      <c r="A44" s="29" t="s">
        <v>13</v>
      </c>
      <c r="B44" s="31" t="str">
        <f>'Build Plan w Hours'!C14</f>
        <v>.355</v>
      </c>
      <c r="C44" s="40" t="str">
        <f>'Build Plan w Hours'!D14</f>
        <v>Lay out top head, burn and clean holes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079-25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67</v>
      </c>
    </row>
    <row r="50" spans="1:9" ht="21.75" customHeight="1" x14ac:dyDescent="0.25">
      <c r="A50" s="29" t="s">
        <v>13</v>
      </c>
      <c r="B50" s="31" t="str">
        <f>'Build Plan w Hours'!C15</f>
        <v>.365</v>
      </c>
      <c r="C50" s="40" t="str">
        <f>'Build Plan w Hours'!D15</f>
        <v>Set  nozzles, lift lugs, etc. in top head - tack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079-25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67</v>
      </c>
    </row>
    <row r="56" spans="1:9" ht="21.75" customHeight="1" x14ac:dyDescent="0.25">
      <c r="A56" s="29" t="s">
        <v>13</v>
      </c>
      <c r="B56" s="31" t="str">
        <f>'Build Plan w Hours'!C16</f>
        <v>.366</v>
      </c>
      <c r="C56" s="40" t="str">
        <f>'Build Plan w Hours'!D16</f>
        <v>Weld out top head nozzles, etc._x000D_
INCL INSTALL (2) LIFT LUGS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079-25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67</v>
      </c>
    </row>
    <row r="62" spans="1:9" ht="21.75" customHeight="1" x14ac:dyDescent="0.25">
      <c r="A62" s="29" t="s">
        <v>13</v>
      </c>
      <c r="B62" s="31" t="str">
        <f>'Build Plan w Hours'!C17</f>
        <v>.QC4</v>
      </c>
      <c r="C62" s="40" t="str">
        <f>'Build Plan w Hours'!D17</f>
        <v>QC Inspection - Top/Bottom/Cones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079-25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67</v>
      </c>
    </row>
    <row r="68" spans="1:9" ht="21.75" customHeight="1" x14ac:dyDescent="0.25">
      <c r="A68" s="29" t="s">
        <v>13</v>
      </c>
      <c r="B68" s="31" t="str">
        <f>'Build Plan w Hours'!C18</f>
        <v>.455</v>
      </c>
      <c r="C68" s="40" t="str">
        <f>'Build Plan w Hours'!D18</f>
        <v>Lay out bottom head, burn and clean holes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079-25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67</v>
      </c>
    </row>
    <row r="74" spans="1:9" ht="21.75" customHeight="1" x14ac:dyDescent="0.25">
      <c r="A74" s="29" t="s">
        <v>13</v>
      </c>
      <c r="B74" s="31" t="str">
        <f>'Build Plan w Hours'!C19</f>
        <v>.465</v>
      </c>
      <c r="C74" s="40" t="str">
        <f>'Build Plan w Hours'!D19</f>
        <v>Set  nozzles in bottom head - tack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079-25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67</v>
      </c>
    </row>
    <row r="80" spans="1:9" ht="21.75" customHeight="1" x14ac:dyDescent="0.25">
      <c r="A80" s="29" t="s">
        <v>13</v>
      </c>
      <c r="B80" s="31" t="str">
        <f>'Build Plan w Hours'!C20</f>
        <v>.466</v>
      </c>
      <c r="C80" s="40" t="str">
        <f>'Build Plan w Hours'!D20</f>
        <v>Weld nozzles in bottom head; weld complete_x000D_
AND INSTAL MESH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079-25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67</v>
      </c>
    </row>
    <row r="86" spans="1:9" ht="21.75" customHeight="1" x14ac:dyDescent="0.25">
      <c r="A86" s="29" t="s">
        <v>13</v>
      </c>
      <c r="B86" s="31" t="str">
        <f>'Build Plan w Hours'!C21</f>
        <v>.OI1</v>
      </c>
      <c r="C86" s="40" t="str">
        <f>'Build Plan w Hours'!D21</f>
        <v>ASME Hold Point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079-25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67</v>
      </c>
    </row>
    <row r="92" spans="1:9" ht="21.75" customHeight="1" x14ac:dyDescent="0.25">
      <c r="A92" s="29" t="s">
        <v>13</v>
      </c>
      <c r="B92" s="31" t="str">
        <f>'Build Plan w Hours'!C22</f>
        <v>.600</v>
      </c>
      <c r="C92" s="40" t="str">
        <f>'Build Plan w Hours'!D22</f>
        <v>Fit bottom head to shell_x000D_
AND WELD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079-25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67</v>
      </c>
    </row>
    <row r="98" spans="1:9" ht="21.75" customHeight="1" x14ac:dyDescent="0.25">
      <c r="A98" s="29" t="s">
        <v>13</v>
      </c>
      <c r="B98" s="31" t="str">
        <f>'Build Plan w Hours'!C23</f>
        <v>.620</v>
      </c>
      <c r="C98" s="40" t="str">
        <f>'Build Plan w Hours'!D23</f>
        <v>Lay out shell,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079-25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67</v>
      </c>
    </row>
    <row r="104" spans="1:9" ht="21.75" customHeight="1" x14ac:dyDescent="0.25">
      <c r="A104" s="29" t="s">
        <v>13</v>
      </c>
      <c r="B104" s="31" t="str">
        <f>'Build Plan w Hours'!C24</f>
        <v>.QC5</v>
      </c>
      <c r="C104" s="40" t="str">
        <f>'Build Plan w Hours'!D24</f>
        <v>QC Inspection - Internal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079-25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67</v>
      </c>
    </row>
    <row r="110" spans="1:9" ht="21.75" customHeight="1" x14ac:dyDescent="0.25">
      <c r="A110" s="29" t="s">
        <v>13</v>
      </c>
      <c r="B110" s="31" t="str">
        <f>'Build Plan w Hours'!C25</f>
        <v>.640</v>
      </c>
      <c r="C110" s="40" t="str">
        <f>'Build Plan w Hours'!D25</f>
        <v>Fit top head to shell - tack_x000D_
AND WELD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079-25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67</v>
      </c>
    </row>
    <row r="116" spans="1:9" ht="21.75" customHeight="1" x14ac:dyDescent="0.25">
      <c r="A116" s="29" t="s">
        <v>13</v>
      </c>
      <c r="B116" s="31" t="str">
        <f>'Build Plan w Hours'!C26</f>
        <v>.800</v>
      </c>
      <c r="C116" s="40" t="str">
        <f>'Build Plan w Hours'!D26</f>
        <v>Move tank to detail rolls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079-25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67</v>
      </c>
    </row>
    <row r="122" spans="1:9" ht="21.75" customHeight="1" x14ac:dyDescent="0.25">
      <c r="A122" s="29" t="s">
        <v>13</v>
      </c>
      <c r="B122" s="31" t="str">
        <f>'Build Plan w Hours'!C27</f>
        <v>.720</v>
      </c>
      <c r="C122" s="40" t="str">
        <f>'Build Plan w Hours'!D27</f>
        <v>Install supports - legs, lugs, anchors, saddles, skirt_x000D_
AND WELD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079-25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67</v>
      </c>
    </row>
    <row r="128" spans="1:9" ht="21.75" customHeight="1" x14ac:dyDescent="0.25">
      <c r="A128" s="29" t="s">
        <v>13</v>
      </c>
      <c r="B128" s="31" t="str">
        <f>'Build Plan w Hours'!C28</f>
        <v>.725</v>
      </c>
      <c r="C128" s="40" t="str">
        <f>'Build Plan w Hours'!D28</f>
        <v>Set nozzles in shell - tack_x000D_
AND PREP FOR FULL PEN WELDS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079-25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67</v>
      </c>
    </row>
    <row r="134" spans="1:9" ht="21.75" customHeight="1" x14ac:dyDescent="0.25">
      <c r="A134" s="29" t="s">
        <v>13</v>
      </c>
      <c r="B134" s="31" t="str">
        <f>'Build Plan w Hours'!C29</f>
        <v>.726</v>
      </c>
      <c r="C134" s="40" t="str">
        <f>'Build Plan w Hours'!D29</f>
        <v>Weld shell nozzles, manways, etc.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079-25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67</v>
      </c>
    </row>
    <row r="140" spans="1:9" ht="21.75" customHeight="1" x14ac:dyDescent="0.25">
      <c r="A140" s="29" t="s">
        <v>13</v>
      </c>
      <c r="B140" s="31" t="str">
        <f>'Build Plan w Hours'!C30</f>
        <v>.765</v>
      </c>
      <c r="C140" s="40" t="str">
        <f>'Build Plan w Hours'!D30</f>
        <v>Install name tag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079-25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67</v>
      </c>
    </row>
    <row r="146" spans="1:9" ht="21.75" customHeight="1" x14ac:dyDescent="0.25">
      <c r="A146" s="29" t="s">
        <v>13</v>
      </c>
      <c r="B146" s="31" t="str">
        <f>'Build Plan w Hours'!C31</f>
        <v>.770</v>
      </c>
      <c r="C146" s="40" t="str">
        <f>'Build Plan w Hours'!D31</f>
        <v>Inspect tank, make repairs, get QC inspector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079-25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67</v>
      </c>
    </row>
    <row r="152" spans="1:9" ht="21.75" customHeight="1" x14ac:dyDescent="0.25">
      <c r="A152" s="29" t="s">
        <v>13</v>
      </c>
      <c r="B152" s="31" t="str">
        <f>'Build Plan w Hours'!C32</f>
        <v>.QC6</v>
      </c>
      <c r="C152" s="40" t="str">
        <f>'Build Plan w Hours'!D32</f>
        <v>QC Inspection - Fabrication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079-25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67</v>
      </c>
    </row>
    <row r="158" spans="1:9" ht="21.75" customHeight="1" x14ac:dyDescent="0.25">
      <c r="A158" s="29" t="s">
        <v>13</v>
      </c>
      <c r="B158" s="31" t="str">
        <f>'Build Plan w Hours'!C33</f>
        <v>.OI2</v>
      </c>
      <c r="C158" s="40" t="str">
        <f>'Build Plan w Hours'!D33</f>
        <v>ASME Inspection Internal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079-25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67</v>
      </c>
    </row>
    <row r="164" spans="1:9" ht="21.75" customHeight="1" x14ac:dyDescent="0.25">
      <c r="A164" s="29" t="s">
        <v>13</v>
      </c>
      <c r="B164" s="31" t="str">
        <f>'Build Plan w Hours'!C34</f>
        <v>.801</v>
      </c>
      <c r="C164" s="40" t="str">
        <f>'Build Plan w Hours'!D34</f>
        <v>Move to shop test area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079-25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67</v>
      </c>
    </row>
    <row r="170" spans="1:9" ht="21.75" customHeight="1" x14ac:dyDescent="0.25">
      <c r="A170" s="29" t="s">
        <v>13</v>
      </c>
      <c r="B170" s="31" t="str">
        <f>'Build Plan w Hours'!C35</f>
        <v>.910</v>
      </c>
      <c r="C170" s="40" t="str">
        <f>'Build Plan w Hours'!D35</f>
        <v>Test tank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079-25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67</v>
      </c>
    </row>
    <row r="176" spans="1:9" ht="21.75" customHeight="1" x14ac:dyDescent="0.25">
      <c r="A176" s="29" t="s">
        <v>13</v>
      </c>
      <c r="B176" s="31" t="str">
        <f>'Build Plan w Hours'!C36</f>
        <v>.QC7</v>
      </c>
      <c r="C176" s="40" t="str">
        <f>'Build Plan w Hours'!D36</f>
        <v>QC Inspection - Test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079-25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67</v>
      </c>
    </row>
    <row r="182" spans="1:9" ht="21.75" customHeight="1" x14ac:dyDescent="0.25">
      <c r="A182" s="29" t="s">
        <v>13</v>
      </c>
      <c r="B182" s="31" t="str">
        <f>'Build Plan w Hours'!C37</f>
        <v>.OI3</v>
      </c>
      <c r="C182" s="40" t="str">
        <f>'Build Plan w Hours'!D37</f>
        <v>ASME Inspection Test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079-25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67</v>
      </c>
    </row>
    <row r="188" spans="1:9" ht="21.75" customHeight="1" x14ac:dyDescent="0.25">
      <c r="A188" s="29" t="s">
        <v>13</v>
      </c>
      <c r="B188" s="31" t="str">
        <f>'Build Plan w Hours'!C38</f>
        <v>.920</v>
      </c>
      <c r="C188" s="40" t="str">
        <f>'Build Plan w Hours'!D38</f>
        <v>Clean tank complete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079-25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67</v>
      </c>
    </row>
    <row r="194" spans="1:9" ht="21.75" customHeight="1" x14ac:dyDescent="0.25">
      <c r="A194" s="29" t="s">
        <v>13</v>
      </c>
      <c r="B194" s="31" t="str">
        <f>'Build Plan w Hours'!C39</f>
        <v>.QC8</v>
      </c>
      <c r="C194" s="40" t="str">
        <f>'Build Plan w Hours'!D39</f>
        <v>QC Inspection - Clean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079-25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67</v>
      </c>
    </row>
    <row r="200" spans="1:9" ht="21.75" customHeight="1" x14ac:dyDescent="0.25">
      <c r="A200" s="29" t="s">
        <v>13</v>
      </c>
      <c r="B200" s="31" t="str">
        <f>'Build Plan w Hours'!C40</f>
        <v>.QC95</v>
      </c>
      <c r="C200" s="40" t="str">
        <f>'Build Plan w Hours'!D40</f>
        <v>QC Inspection - Final &amp; Loose Items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079-25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67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079-25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67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079-25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67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079-25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67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079-25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67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079-25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67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079-25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67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079-25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67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079-25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67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079-25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67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079-25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67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079-25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67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079-25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67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079-25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67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079-25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67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079-25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67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079-25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67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079-25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67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079-25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67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079-25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67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079-25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67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079-25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67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079-25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67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079-25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67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079-25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67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079-25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67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079-25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67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079-25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67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079-25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67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079-25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67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079-25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67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079-25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67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079-25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67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079-25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67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079-25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67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079-25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67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079-25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67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079-25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67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079-25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67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079-25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67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079-25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67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079-25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67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079-25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67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079-25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67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079-25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67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079-25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67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079-25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67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079-25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67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2025-10-24T17:28:24Z</cp:lastPrinted>
  <dcterms:created xsi:type="dcterms:W3CDTF">2016-06-28T20:53:17Z</dcterms:created>
  <dcterms:modified xsi:type="dcterms:W3CDTF">2025-10-24T17:33:08Z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